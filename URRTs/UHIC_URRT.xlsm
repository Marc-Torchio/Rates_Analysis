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SG\"/>
    </mc:Choice>
  </mc:AlternateContent>
  <xr:revisionPtr revIDLastSave="0" documentId="8_{2B115C60-76F2-4A1C-80B8-E6E267534403}" xr6:coauthVersionLast="47" xr6:coauthVersionMax="47" xr10:uidLastSave="{00000000-0000-0000-0000-000000000000}"/>
  <workbookProtection workbookAlgorithmName="SHA-512" workbookHashValue="TR9YmNdp63ViCiNOPSvDswK1AgEzrQXRlSh09fLK5xqnwvi6yg4Qq2NEomAvZrgjVpYEv+mxRMEh9IkyUEY0iA==" workbookSaltValue="RR8gVfJR+G44zqUExRi3Yg==" workbookSpinCount="100000" lockStructure="1"/>
  <bookViews>
    <workbookView xWindow="1080" yWindow="2535" windowWidth="21600" windowHeight="11295"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35" i="13"/>
  <c r="D34" i="13"/>
  <c r="D33" i="13"/>
  <c r="D32" i="13"/>
  <c r="D31" i="13"/>
  <c r="D29" i="13"/>
  <c r="D28" i="13"/>
  <c r="D27" i="13"/>
  <c r="D26" i="13"/>
  <c r="D82" i="13" l="1"/>
  <c r="D79" i="13"/>
  <c r="D38" i="13"/>
  <c r="D39" i="13"/>
  <c r="D81" i="13"/>
  <c r="D40" i="13"/>
  <c r="D44" i="13"/>
  <c r="D78" i="13"/>
  <c r="D76" i="13"/>
  <c r="D77" i="13"/>
  <c r="D30" i="13"/>
  <c r="D41" i="13"/>
  <c r="D43" i="13"/>
  <c r="D70" i="13"/>
  <c r="C5" i="1"/>
  <c r="D74" i="13" l="1"/>
  <c r="D80" i="13"/>
  <c r="D36" i="13"/>
  <c r="D42"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 r="AS82" i="13"/>
  <c r="AR82" i="13"/>
  <c r="AQ82" i="13"/>
  <c r="AP82" i="13"/>
  <c r="AO82" i="13"/>
  <c r="AN82" i="13"/>
  <c r="AM82" i="13"/>
  <c r="AL82" i="13"/>
  <c r="AK82" i="13"/>
  <c r="AJ82" i="13"/>
  <c r="AI82" i="13"/>
  <c r="AH82" i="13"/>
  <c r="AG82" i="13"/>
  <c r="AF82" i="13"/>
  <c r="AE82" i="13"/>
  <c r="AD82" i="13"/>
  <c r="AC82" i="13"/>
  <c r="AB82" i="13"/>
  <c r="AA82" i="13"/>
  <c r="Z82" i="13"/>
  <c r="Y82" i="13"/>
  <c r="X82" i="13"/>
  <c r="W82" i="13"/>
  <c r="V82" i="13"/>
  <c r="U82" i="13"/>
  <c r="T82" i="13"/>
  <c r="S82" i="13"/>
  <c r="R82" i="13"/>
  <c r="Q82" i="13"/>
  <c r="P82" i="13"/>
  <c r="O82" i="13"/>
  <c r="N82" i="13"/>
  <c r="M82" i="13"/>
  <c r="L82" i="13"/>
  <c r="K82" i="13"/>
  <c r="J82" i="13"/>
  <c r="I82" i="13"/>
  <c r="H82" i="13"/>
  <c r="G82" i="13"/>
  <c r="F82" i="13"/>
  <c r="E82" i="13"/>
  <c r="AS81" i="13"/>
  <c r="AR81" i="13"/>
  <c r="AQ81" i="13"/>
  <c r="AP81" i="13"/>
  <c r="AO81" i="13"/>
  <c r="AN81" i="13"/>
  <c r="AM81" i="13"/>
  <c r="AL81" i="13"/>
  <c r="AK81" i="13"/>
  <c r="AJ81" i="13"/>
  <c r="AI81" i="13"/>
  <c r="AH81" i="13"/>
  <c r="AG81" i="13"/>
  <c r="AF81" i="13"/>
  <c r="AE81" i="13"/>
  <c r="AD81" i="13"/>
  <c r="AC81" i="13"/>
  <c r="AB81" i="13"/>
  <c r="AA81" i="13"/>
  <c r="Z81" i="13"/>
  <c r="Y81" i="13"/>
  <c r="X81" i="13"/>
  <c r="W81" i="13"/>
  <c r="V81" i="13"/>
  <c r="U81" i="13"/>
  <c r="T81" i="13"/>
  <c r="S81" i="13"/>
  <c r="R81" i="13"/>
  <c r="Q81" i="13"/>
  <c r="P81" i="13"/>
  <c r="O81" i="13"/>
  <c r="N81" i="13"/>
  <c r="M81" i="13"/>
  <c r="L81" i="13"/>
  <c r="K81" i="13"/>
  <c r="J81" i="13"/>
  <c r="I81" i="13"/>
  <c r="H81" i="13"/>
  <c r="G81" i="13"/>
  <c r="F81" i="13"/>
  <c r="E81" i="13"/>
  <c r="AS80" i="13"/>
  <c r="AR80" i="13"/>
  <c r="AQ80" i="13"/>
  <c r="AP80" i="13"/>
  <c r="AO80" i="13"/>
  <c r="AN80" i="13"/>
  <c r="AM80" i="13"/>
  <c r="AL80" i="13"/>
  <c r="AK80" i="13"/>
  <c r="AJ80" i="13"/>
  <c r="AI80" i="13"/>
  <c r="AH80" i="13"/>
  <c r="AG80" i="13"/>
  <c r="AF80" i="13"/>
  <c r="AE80" i="13"/>
  <c r="AD80" i="13"/>
  <c r="AC80" i="13"/>
  <c r="AB80" i="13"/>
  <c r="AA80" i="13"/>
  <c r="Z80" i="13"/>
  <c r="Y80" i="13"/>
  <c r="X80" i="13"/>
  <c r="W80" i="13"/>
  <c r="V80" i="13"/>
  <c r="U80" i="13"/>
  <c r="T80" i="13"/>
  <c r="S80" i="13"/>
  <c r="R80" i="13"/>
  <c r="Q80" i="13"/>
  <c r="P80" i="13"/>
  <c r="O80" i="13"/>
  <c r="N80" i="13"/>
  <c r="M80" i="13"/>
  <c r="L80" i="13"/>
  <c r="K80" i="13"/>
  <c r="J80" i="13"/>
  <c r="I80" i="13"/>
  <c r="H80" i="13"/>
  <c r="G80" i="13"/>
  <c r="F80" i="13"/>
  <c r="E80" i="13"/>
  <c r="AS79" i="13"/>
  <c r="AR79" i="13"/>
  <c r="AQ79" i="13"/>
  <c r="AP79" i="13"/>
  <c r="AO79" i="13"/>
  <c r="AN79" i="13"/>
  <c r="AM79" i="13"/>
  <c r="AL79" i="13"/>
  <c r="AK79" i="13"/>
  <c r="AJ79" i="13"/>
  <c r="AI79" i="13"/>
  <c r="AH79" i="13"/>
  <c r="AG79" i="13"/>
  <c r="AF79" i="13"/>
  <c r="AE79" i="13"/>
  <c r="AD79" i="13"/>
  <c r="AC79" i="13"/>
  <c r="AB79" i="13"/>
  <c r="AA79" i="13"/>
  <c r="Z79" i="13"/>
  <c r="Y79" i="13"/>
  <c r="X79" i="13"/>
  <c r="W79" i="13"/>
  <c r="V79" i="13"/>
  <c r="U79" i="13"/>
  <c r="T79" i="13"/>
  <c r="S79" i="13"/>
  <c r="R79" i="13"/>
  <c r="Q79" i="13"/>
  <c r="P79" i="13"/>
  <c r="O79" i="13"/>
  <c r="N79" i="13"/>
  <c r="M79" i="13"/>
  <c r="L79" i="13"/>
  <c r="K79" i="13"/>
  <c r="J79" i="13"/>
  <c r="I79" i="13"/>
  <c r="H79" i="13"/>
  <c r="G79" i="13"/>
  <c r="F79" i="13"/>
  <c r="E79"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E78" i="13"/>
  <c r="AS77" i="13"/>
  <c r="AR77" i="13"/>
  <c r="AQ77" i="13"/>
  <c r="AP77" i="13"/>
  <c r="AO77" i="13"/>
  <c r="AN77" i="13"/>
  <c r="AM77" i="13"/>
  <c r="AL77" i="13"/>
  <c r="AK77" i="13"/>
  <c r="AJ77" i="13"/>
  <c r="AI77" i="13"/>
  <c r="AH77" i="13"/>
  <c r="AG77" i="13"/>
  <c r="AF77" i="13"/>
  <c r="AE77" i="13"/>
  <c r="AD77" i="13"/>
  <c r="AC77" i="13"/>
  <c r="AB77" i="13"/>
  <c r="AA77" i="13"/>
  <c r="Z77" i="13"/>
  <c r="Y77" i="13"/>
  <c r="X77" i="13"/>
  <c r="W77" i="13"/>
  <c r="V77" i="13"/>
  <c r="U77" i="13"/>
  <c r="T77" i="13"/>
  <c r="S77" i="13"/>
  <c r="R77" i="13"/>
  <c r="Q77" i="13"/>
  <c r="P77" i="13"/>
  <c r="O77" i="13"/>
  <c r="N77" i="13"/>
  <c r="M77" i="13"/>
  <c r="L77" i="13"/>
  <c r="K77" i="13"/>
  <c r="J77" i="13"/>
  <c r="I77" i="13"/>
  <c r="H77" i="13"/>
  <c r="G77" i="13"/>
  <c r="F77" i="13"/>
  <c r="E77" i="13"/>
  <c r="AS76" i="13"/>
  <c r="AR76" i="13"/>
  <c r="AQ76" i="13"/>
  <c r="AP76" i="13"/>
  <c r="AO76" i="13"/>
  <c r="AN76" i="13"/>
  <c r="AM76" i="13"/>
  <c r="AL76" i="13"/>
  <c r="AK76" i="13"/>
  <c r="AJ76" i="13"/>
  <c r="AI76" i="13"/>
  <c r="AH76" i="13"/>
  <c r="AG76" i="13"/>
  <c r="AF76" i="13"/>
  <c r="AE76" i="13"/>
  <c r="AD76" i="13"/>
  <c r="AC76" i="13"/>
  <c r="AB76" i="13"/>
  <c r="AA76" i="13"/>
  <c r="Z76" i="13"/>
  <c r="Y76" i="13"/>
  <c r="X76" i="13"/>
  <c r="W76" i="13"/>
  <c r="V76" i="13"/>
  <c r="U76" i="13"/>
  <c r="T76" i="13"/>
  <c r="S76" i="13"/>
  <c r="R76" i="13"/>
  <c r="Q76" i="13"/>
  <c r="P76" i="13"/>
  <c r="O76" i="13"/>
  <c r="N76" i="13"/>
  <c r="M76" i="13"/>
  <c r="L76" i="13"/>
  <c r="K76" i="13"/>
  <c r="J76" i="13"/>
  <c r="I76" i="13"/>
  <c r="H76" i="13"/>
  <c r="G76" i="13"/>
  <c r="F76" i="13"/>
  <c r="E76" i="13"/>
  <c r="AS74" i="13"/>
  <c r="AR74" i="13"/>
  <c r="AQ74" i="13"/>
  <c r="AP74" i="13"/>
  <c r="AO74" i="13"/>
  <c r="AN74" i="13"/>
  <c r="AM74" i="13"/>
  <c r="AL74" i="13"/>
  <c r="AK74" i="13"/>
  <c r="AJ74" i="13"/>
  <c r="AI74" i="13"/>
  <c r="AH74" i="13"/>
  <c r="AG74" i="13"/>
  <c r="AF74" i="13"/>
  <c r="AE74" i="13"/>
  <c r="AD74" i="13"/>
  <c r="AC74" i="13"/>
  <c r="AB74" i="13"/>
  <c r="AA74" i="13"/>
  <c r="Z74" i="13"/>
  <c r="Y74" i="13"/>
  <c r="X74" i="13"/>
  <c r="W74" i="13"/>
  <c r="V74" i="13"/>
  <c r="U74" i="13"/>
  <c r="T74" i="13"/>
  <c r="S74" i="13"/>
  <c r="R74" i="13"/>
  <c r="Q74" i="13"/>
  <c r="P74" i="13"/>
  <c r="O74" i="13"/>
  <c r="N74" i="13"/>
  <c r="M74" i="13"/>
  <c r="L74" i="13"/>
  <c r="K74" i="13"/>
  <c r="J74" i="13"/>
  <c r="I74" i="13"/>
  <c r="H74" i="13"/>
  <c r="G74" i="13"/>
  <c r="F74" i="13"/>
  <c r="E74" i="13"/>
  <c r="AS73" i="13"/>
  <c r="AR73" i="13"/>
  <c r="AQ73" i="13"/>
  <c r="AP73" i="13"/>
  <c r="AO73" i="13"/>
  <c r="AN73" i="13"/>
  <c r="AM73" i="13"/>
  <c r="AL73" i="13"/>
  <c r="AK73" i="13"/>
  <c r="AJ73" i="13"/>
  <c r="AI73" i="13"/>
  <c r="AH73" i="13"/>
  <c r="AG73" i="13"/>
  <c r="AF73" i="13"/>
  <c r="AE73" i="13"/>
  <c r="AD73" i="13"/>
  <c r="AC73" i="13"/>
  <c r="AB73" i="13"/>
  <c r="AA73" i="13"/>
  <c r="Z73" i="13"/>
  <c r="Y73" i="13"/>
  <c r="X73" i="13"/>
  <c r="W73" i="13"/>
  <c r="V73" i="13"/>
  <c r="U73" i="13"/>
  <c r="T73" i="13"/>
  <c r="S73" i="13"/>
  <c r="R73" i="13"/>
  <c r="Q73" i="13"/>
  <c r="P73" i="13"/>
  <c r="O73" i="13"/>
  <c r="N73" i="13"/>
  <c r="M73" i="13"/>
  <c r="L73" i="13"/>
  <c r="K73" i="13"/>
  <c r="J73" i="13"/>
  <c r="I73" i="13"/>
  <c r="H73" i="13"/>
  <c r="G73" i="13"/>
  <c r="F73" i="13"/>
  <c r="E73" i="13"/>
  <c r="AS72" i="13"/>
  <c r="AR72" i="13"/>
  <c r="AQ72" i="13"/>
  <c r="AP72" i="13"/>
  <c r="AO72" i="13"/>
  <c r="AN72" i="13"/>
  <c r="AM72" i="13"/>
  <c r="AL72" i="13"/>
  <c r="AK72" i="13"/>
  <c r="AJ72" i="13"/>
  <c r="AI72" i="13"/>
  <c r="AH72" i="13"/>
  <c r="AG72" i="13"/>
  <c r="AF72" i="13"/>
  <c r="AE72" i="13"/>
  <c r="AD72" i="13"/>
  <c r="AC72" i="13"/>
  <c r="AB72" i="13"/>
  <c r="AA72" i="13"/>
  <c r="Z72" i="13"/>
  <c r="Y72" i="13"/>
  <c r="X72" i="13"/>
  <c r="W72" i="13"/>
  <c r="V72" i="13"/>
  <c r="U72" i="13"/>
  <c r="T72" i="13"/>
  <c r="S72" i="13"/>
  <c r="R72" i="13"/>
  <c r="Q72" i="13"/>
  <c r="P72" i="13"/>
  <c r="O72" i="13"/>
  <c r="N72" i="13"/>
  <c r="M72" i="13"/>
  <c r="L72" i="13"/>
  <c r="K72" i="13"/>
  <c r="J72" i="13"/>
  <c r="I72" i="13"/>
  <c r="H72" i="13"/>
  <c r="G72" i="13"/>
  <c r="F72" i="13"/>
  <c r="E72" i="13"/>
  <c r="AS71" i="13"/>
  <c r="AR71" i="13"/>
  <c r="AQ71" i="13"/>
  <c r="AP71" i="13"/>
  <c r="AO71" i="13"/>
  <c r="AN71" i="13"/>
  <c r="AM71" i="13"/>
  <c r="AL71" i="13"/>
  <c r="AK71" i="13"/>
  <c r="AJ71" i="13"/>
  <c r="AI71" i="13"/>
  <c r="AH71" i="13"/>
  <c r="AG71" i="13"/>
  <c r="AF71" i="13"/>
  <c r="AE71" i="13"/>
  <c r="AD71" i="13"/>
  <c r="AC71" i="13"/>
  <c r="AB71" i="13"/>
  <c r="AA71" i="13"/>
  <c r="Z71" i="13"/>
  <c r="Y71" i="13"/>
  <c r="X71" i="13"/>
  <c r="W71" i="13"/>
  <c r="V71" i="13"/>
  <c r="U71" i="13"/>
  <c r="T71" i="13"/>
  <c r="S71" i="13"/>
  <c r="R71" i="13"/>
  <c r="Q71" i="13"/>
  <c r="P71" i="13"/>
  <c r="O71" i="13"/>
  <c r="N71" i="13"/>
  <c r="M71" i="13"/>
  <c r="L71" i="13"/>
  <c r="K71" i="13"/>
  <c r="J71" i="13"/>
  <c r="I71" i="13"/>
  <c r="H71" i="13"/>
  <c r="G71" i="13"/>
  <c r="F71" i="13"/>
  <c r="E71" i="13"/>
  <c r="AS70" i="13"/>
  <c r="AR70" i="13"/>
  <c r="AQ70" i="13"/>
  <c r="AP70" i="13"/>
  <c r="AO70" i="13"/>
  <c r="AN70" i="13"/>
  <c r="AM70" i="13"/>
  <c r="AL70" i="13"/>
  <c r="AK70" i="13"/>
  <c r="AJ70" i="13"/>
  <c r="AI70" i="13"/>
  <c r="AH70" i="13"/>
  <c r="AG70" i="13"/>
  <c r="AF70" i="13"/>
  <c r="AE70" i="13"/>
  <c r="AD70" i="13"/>
  <c r="AC70" i="13"/>
  <c r="AB70" i="13"/>
  <c r="AA70" i="13"/>
  <c r="Z70" i="13"/>
  <c r="Y70" i="13"/>
  <c r="X70" i="13"/>
  <c r="W70" i="13"/>
  <c r="V70" i="13"/>
  <c r="U70" i="13"/>
  <c r="T70" i="13"/>
  <c r="S70" i="13"/>
  <c r="R70" i="13"/>
  <c r="Q70" i="13"/>
  <c r="P70" i="13"/>
  <c r="O70" i="13"/>
  <c r="N70" i="13"/>
  <c r="M70" i="13"/>
  <c r="L70" i="13"/>
  <c r="K70" i="13"/>
  <c r="J70" i="13"/>
  <c r="I70" i="13"/>
  <c r="H70" i="13"/>
  <c r="G70" i="13"/>
  <c r="F70" i="13"/>
  <c r="E70" i="13"/>
  <c r="AS69" i="13"/>
  <c r="AR69" i="13"/>
  <c r="AQ69" i="13"/>
  <c r="AP69" i="13"/>
  <c r="AO69" i="13"/>
  <c r="AN69" i="13"/>
  <c r="AM69" i="13"/>
  <c r="AL69" i="13"/>
  <c r="AK69" i="13"/>
  <c r="AJ69" i="13"/>
  <c r="AI69" i="13"/>
  <c r="AH69" i="13"/>
  <c r="AG69" i="13"/>
  <c r="AF69" i="13"/>
  <c r="AE69" i="13"/>
  <c r="AD69" i="13"/>
  <c r="AC69" i="13"/>
  <c r="AB69" i="13"/>
  <c r="AA69" i="13"/>
  <c r="Z69" i="13"/>
  <c r="Y69" i="13"/>
  <c r="X69" i="13"/>
  <c r="W69" i="13"/>
  <c r="V69" i="13"/>
  <c r="U69" i="13"/>
  <c r="T69" i="13"/>
  <c r="S69" i="13"/>
  <c r="R69" i="13"/>
  <c r="Q69" i="13"/>
  <c r="P69" i="13"/>
  <c r="O69" i="13"/>
  <c r="N69" i="13"/>
  <c r="M69" i="13"/>
  <c r="L69" i="13"/>
  <c r="K69" i="13"/>
  <c r="J69" i="13"/>
  <c r="I69" i="13"/>
  <c r="H69" i="13"/>
  <c r="G69" i="13"/>
  <c r="F69" i="13"/>
  <c r="E69" i="13"/>
  <c r="AS68" i="13"/>
  <c r="AR68" i="13"/>
  <c r="AQ68" i="13"/>
  <c r="AP68" i="13"/>
  <c r="AO68" i="13"/>
  <c r="AN68" i="13"/>
  <c r="AM68" i="13"/>
  <c r="AL68" i="13"/>
  <c r="AK68" i="13"/>
  <c r="AJ68" i="13"/>
  <c r="AI68" i="13"/>
  <c r="AH68" i="13"/>
  <c r="AG68" i="13"/>
  <c r="AF68" i="13"/>
  <c r="AE68" i="13"/>
  <c r="AD68" i="13"/>
  <c r="AC68" i="13"/>
  <c r="AB68" i="13"/>
  <c r="AA68" i="13"/>
  <c r="Z68" i="13"/>
  <c r="Y68" i="13"/>
  <c r="X68" i="13"/>
  <c r="W68" i="13"/>
  <c r="V68" i="13"/>
  <c r="U68" i="13"/>
  <c r="T68" i="13"/>
  <c r="S68" i="13"/>
  <c r="R68" i="13"/>
  <c r="Q68" i="13"/>
  <c r="P68" i="13"/>
  <c r="O68" i="13"/>
  <c r="N68" i="13"/>
  <c r="M68" i="13"/>
  <c r="L68" i="13"/>
  <c r="K68" i="13"/>
  <c r="J68" i="13"/>
  <c r="I68" i="13"/>
  <c r="H68" i="13"/>
  <c r="G68" i="13"/>
  <c r="F68" i="13"/>
  <c r="E68"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E67" i="13"/>
  <c r="AS66" i="13"/>
  <c r="AR66" i="13"/>
  <c r="AQ66" i="13"/>
  <c r="AP66" i="13"/>
  <c r="AO66" i="13"/>
  <c r="AN66" i="13"/>
  <c r="AM66" i="13"/>
  <c r="AL66" i="13"/>
  <c r="AK66" i="13"/>
  <c r="AJ66" i="13"/>
  <c r="AI66" i="13"/>
  <c r="AH66" i="13"/>
  <c r="AG66" i="13"/>
  <c r="AF66" i="13"/>
  <c r="AE66" i="13"/>
  <c r="AD66" i="13"/>
  <c r="AC66" i="13"/>
  <c r="AB66" i="13"/>
  <c r="AA66" i="13"/>
  <c r="Z66" i="13"/>
  <c r="Y66" i="13"/>
  <c r="X66" i="13"/>
  <c r="W66" i="13"/>
  <c r="V66" i="13"/>
  <c r="U66" i="13"/>
  <c r="T66" i="13"/>
  <c r="S66" i="13"/>
  <c r="R66" i="13"/>
  <c r="Q66" i="13"/>
  <c r="P66" i="13"/>
  <c r="O66" i="13"/>
  <c r="N66" i="13"/>
  <c r="M66" i="13"/>
  <c r="L66" i="13"/>
  <c r="K66" i="13"/>
  <c r="J66" i="13"/>
  <c r="I66" i="13"/>
  <c r="H66" i="13"/>
  <c r="G66" i="13"/>
  <c r="F66" i="13"/>
  <c r="E66" i="13"/>
  <c r="AS65" i="13"/>
  <c r="AR65" i="13"/>
  <c r="AQ65" i="13"/>
  <c r="AP65" i="13"/>
  <c r="AO65" i="13"/>
  <c r="AN65" i="13"/>
  <c r="AM65" i="13"/>
  <c r="AL65" i="13"/>
  <c r="AK65" i="13"/>
  <c r="AJ65" i="13"/>
  <c r="AI65" i="13"/>
  <c r="AH65" i="13"/>
  <c r="AG65" i="13"/>
  <c r="AF65" i="13"/>
  <c r="AE65" i="13"/>
  <c r="AD65" i="13"/>
  <c r="AC65" i="13"/>
  <c r="AB65" i="13"/>
  <c r="AA65" i="13"/>
  <c r="Z65" i="13"/>
  <c r="Y65" i="13"/>
  <c r="X65" i="13"/>
  <c r="W65" i="13"/>
  <c r="V65" i="13"/>
  <c r="U65" i="13"/>
  <c r="T65" i="13"/>
  <c r="S65" i="13"/>
  <c r="R65" i="13"/>
  <c r="Q65" i="13"/>
  <c r="P65" i="13"/>
  <c r="O65" i="13"/>
  <c r="N65" i="13"/>
  <c r="M65" i="13"/>
  <c r="L65" i="13"/>
  <c r="K65" i="13"/>
  <c r="J65" i="13"/>
  <c r="I65" i="13"/>
  <c r="H65" i="13"/>
  <c r="G65" i="13"/>
  <c r="F65" i="13"/>
  <c r="E65" i="13"/>
  <c r="AS62" i="13"/>
  <c r="AR62" i="13"/>
  <c r="AQ62" i="13"/>
  <c r="AP62" i="13"/>
  <c r="AO62" i="13"/>
  <c r="AN62" i="13"/>
  <c r="AM62" i="13"/>
  <c r="AL62" i="13"/>
  <c r="AK62" i="13"/>
  <c r="AJ62" i="13"/>
  <c r="AI62" i="13"/>
  <c r="AH62" i="13"/>
  <c r="AG62" i="13"/>
  <c r="AF62" i="13"/>
  <c r="AE62" i="13"/>
  <c r="AD62" i="13"/>
  <c r="AC62" i="13"/>
  <c r="AB62" i="13"/>
  <c r="AA62" i="13"/>
  <c r="Z62" i="13"/>
  <c r="Y62" i="13"/>
  <c r="X62" i="13"/>
  <c r="W62" i="13"/>
  <c r="V62" i="13"/>
  <c r="U62" i="13"/>
  <c r="T62" i="13"/>
  <c r="S62" i="13"/>
  <c r="R62" i="13"/>
  <c r="Q62" i="13"/>
  <c r="P62" i="13"/>
  <c r="O62" i="13"/>
  <c r="N62" i="13"/>
  <c r="M62" i="13"/>
  <c r="L62" i="13"/>
  <c r="K62" i="13"/>
  <c r="J62" i="13"/>
  <c r="I62" i="13"/>
  <c r="H62" i="13"/>
  <c r="G62" i="13"/>
  <c r="F62" i="13"/>
  <c r="E62" i="13"/>
  <c r="E61" i="13"/>
  <c r="E60" i="13"/>
  <c r="E59" i="13"/>
  <c r="AS57" i="13"/>
  <c r="AR57" i="13"/>
  <c r="AQ57" i="13"/>
  <c r="AP57" i="13"/>
  <c r="AO57" i="13"/>
  <c r="AN57" i="13"/>
  <c r="AM57" i="13"/>
  <c r="AL57" i="13"/>
  <c r="AK57" i="13"/>
  <c r="AJ57" i="13"/>
  <c r="AI57" i="13"/>
  <c r="AH57" i="13"/>
  <c r="AG57" i="13"/>
  <c r="AF57" i="13"/>
  <c r="AE57" i="13"/>
  <c r="AD57" i="13"/>
  <c r="AC57" i="13"/>
  <c r="AB57" i="13"/>
  <c r="AA57" i="13"/>
  <c r="Z57" i="13"/>
  <c r="Y57" i="13"/>
  <c r="X57" i="13"/>
  <c r="W57" i="13"/>
  <c r="V57" i="13"/>
  <c r="U57" i="13"/>
  <c r="T57" i="13"/>
  <c r="S57" i="13"/>
  <c r="R57" i="13"/>
  <c r="Q57" i="13"/>
  <c r="P57" i="13"/>
  <c r="O57" i="13"/>
  <c r="N57" i="13"/>
  <c r="M57" i="13"/>
  <c r="L57" i="13"/>
  <c r="K57" i="13"/>
  <c r="J57" i="13"/>
  <c r="I57" i="13"/>
  <c r="H57" i="13"/>
  <c r="G57" i="13"/>
  <c r="F57" i="13"/>
  <c r="E57" i="13"/>
  <c r="E48" i="13"/>
  <c r="AS47" i="13"/>
  <c r="AR47" i="13"/>
  <c r="AQ47" i="13"/>
  <c r="AP47" i="13"/>
  <c r="AO47" i="13"/>
  <c r="AN47" i="13"/>
  <c r="AM47" i="13"/>
  <c r="AL47" i="13"/>
  <c r="AK47" i="13"/>
  <c r="AJ47" i="13"/>
  <c r="AI47" i="13"/>
  <c r="AH47" i="13"/>
  <c r="AG47" i="13"/>
  <c r="AF47" i="13"/>
  <c r="AE47" i="13"/>
  <c r="AD47" i="13"/>
  <c r="AC47" i="13"/>
  <c r="AB47" i="13"/>
  <c r="AA47" i="13"/>
  <c r="Z47" i="13"/>
  <c r="Y47" i="13"/>
  <c r="X47" i="13"/>
  <c r="W47" i="13"/>
  <c r="V47" i="13"/>
  <c r="U47" i="13"/>
  <c r="T47" i="13"/>
  <c r="S47" i="13"/>
  <c r="R47" i="13"/>
  <c r="Q47" i="13"/>
  <c r="P47" i="13"/>
  <c r="O47" i="13"/>
  <c r="N47" i="13"/>
  <c r="M47" i="13"/>
  <c r="L47" i="13"/>
  <c r="K47" i="13"/>
  <c r="J47" i="13"/>
  <c r="I47" i="13"/>
  <c r="H47" i="13"/>
  <c r="G47" i="13"/>
  <c r="F47" i="13"/>
  <c r="E47" i="13"/>
  <c r="AS44" i="13"/>
  <c r="AR44" i="13"/>
  <c r="AQ44" i="13"/>
  <c r="AP44" i="13"/>
  <c r="AO44" i="13"/>
  <c r="AN44" i="13"/>
  <c r="AM44" i="13"/>
  <c r="AL44" i="13"/>
  <c r="AK44" i="13"/>
  <c r="AJ44" i="13"/>
  <c r="AI44" i="13"/>
  <c r="AH44" i="13"/>
  <c r="AG44" i="13"/>
  <c r="AF44" i="13"/>
  <c r="AE44" i="13"/>
  <c r="AD44" i="13"/>
  <c r="AC44" i="13"/>
  <c r="AB44" i="13"/>
  <c r="AA44" i="13"/>
  <c r="Z44" i="13"/>
  <c r="Y44" i="13"/>
  <c r="X44" i="13"/>
  <c r="W44" i="13"/>
  <c r="V44" i="13"/>
  <c r="U44" i="13"/>
  <c r="T44" i="13"/>
  <c r="S44" i="13"/>
  <c r="R44" i="13"/>
  <c r="Q44" i="13"/>
  <c r="P44" i="13"/>
  <c r="O44" i="13"/>
  <c r="N44" i="13"/>
  <c r="M44" i="13"/>
  <c r="L44" i="13"/>
  <c r="K44" i="13"/>
  <c r="J44" i="13"/>
  <c r="I44" i="13"/>
  <c r="H44" i="13"/>
  <c r="G44" i="13"/>
  <c r="F44" i="13"/>
  <c r="E44" i="13"/>
  <c r="AS43" i="13"/>
  <c r="AR43" i="13"/>
  <c r="AQ43" i="13"/>
  <c r="AP43" i="13"/>
  <c r="AO43" i="13"/>
  <c r="AN43" i="13"/>
  <c r="AM43" i="13"/>
  <c r="AL43" i="13"/>
  <c r="AK43" i="13"/>
  <c r="AJ43" i="13"/>
  <c r="AI43" i="13"/>
  <c r="AH43" i="13"/>
  <c r="AG43" i="13"/>
  <c r="AF43" i="13"/>
  <c r="AE43" i="13"/>
  <c r="AD43" i="13"/>
  <c r="AC43" i="13"/>
  <c r="AB43" i="13"/>
  <c r="AA43" i="13"/>
  <c r="Z43" i="13"/>
  <c r="Y43" i="13"/>
  <c r="X43" i="13"/>
  <c r="W43" i="13"/>
  <c r="V43" i="13"/>
  <c r="U43" i="13"/>
  <c r="T43" i="13"/>
  <c r="S43" i="13"/>
  <c r="R43" i="13"/>
  <c r="Q43" i="13"/>
  <c r="P43" i="13"/>
  <c r="O43" i="13"/>
  <c r="N43" i="13"/>
  <c r="M43" i="13"/>
  <c r="L43" i="13"/>
  <c r="K43" i="13"/>
  <c r="J43" i="13"/>
  <c r="I43" i="13"/>
  <c r="H43" i="13"/>
  <c r="G43" i="13"/>
  <c r="F43" i="13"/>
  <c r="E43" i="13"/>
  <c r="AS42" i="13"/>
  <c r="AR42" i="13"/>
  <c r="AQ42" i="13"/>
  <c r="AP42" i="13"/>
  <c r="AO42" i="13"/>
  <c r="AN42" i="13"/>
  <c r="AM42" i="13"/>
  <c r="AL42" i="13"/>
  <c r="AK42" i="13"/>
  <c r="AJ42" i="13"/>
  <c r="AI42" i="13"/>
  <c r="AH42" i="13"/>
  <c r="AG42" i="13"/>
  <c r="AF42" i="13"/>
  <c r="AE42" i="13"/>
  <c r="AD42" i="13"/>
  <c r="AC42" i="13"/>
  <c r="AB42" i="13"/>
  <c r="AA42" i="13"/>
  <c r="Z42" i="13"/>
  <c r="Y42" i="13"/>
  <c r="X42" i="13"/>
  <c r="W42" i="13"/>
  <c r="V42" i="13"/>
  <c r="U42" i="13"/>
  <c r="T42" i="13"/>
  <c r="S42" i="13"/>
  <c r="R42" i="13"/>
  <c r="Q42" i="13"/>
  <c r="P42" i="13"/>
  <c r="O42" i="13"/>
  <c r="N42" i="13"/>
  <c r="M42" i="13"/>
  <c r="L42" i="13"/>
  <c r="K42" i="13"/>
  <c r="J42" i="13"/>
  <c r="I42" i="13"/>
  <c r="H42" i="13"/>
  <c r="G42" i="13"/>
  <c r="F42" i="13"/>
  <c r="E42" i="13"/>
  <c r="AS41" i="13"/>
  <c r="AR41" i="13"/>
  <c r="AQ41" i="13"/>
  <c r="AP41" i="13"/>
  <c r="AO41" i="13"/>
  <c r="AN41" i="13"/>
  <c r="AM41" i="13"/>
  <c r="AL41" i="13"/>
  <c r="AK41" i="13"/>
  <c r="AJ41" i="13"/>
  <c r="AI41" i="13"/>
  <c r="AH41" i="13"/>
  <c r="AG41" i="13"/>
  <c r="AF41" i="13"/>
  <c r="AE41" i="13"/>
  <c r="AD41" i="13"/>
  <c r="AC41" i="13"/>
  <c r="AB41" i="13"/>
  <c r="AA41" i="13"/>
  <c r="Z41" i="13"/>
  <c r="Y41" i="13"/>
  <c r="X41" i="13"/>
  <c r="W41" i="13"/>
  <c r="V41" i="13"/>
  <c r="U41" i="13"/>
  <c r="T41" i="13"/>
  <c r="S41" i="13"/>
  <c r="R41" i="13"/>
  <c r="Q41" i="13"/>
  <c r="P41" i="13"/>
  <c r="O41" i="13"/>
  <c r="N41" i="13"/>
  <c r="M41" i="13"/>
  <c r="L41" i="13"/>
  <c r="K41" i="13"/>
  <c r="J41" i="13"/>
  <c r="I41" i="13"/>
  <c r="H41" i="13"/>
  <c r="G41" i="13"/>
  <c r="F41" i="13"/>
  <c r="E41" i="13"/>
  <c r="AS40" i="13"/>
  <c r="AR40" i="13"/>
  <c r="AQ40" i="13"/>
  <c r="AP40" i="13"/>
  <c r="AO40" i="13"/>
  <c r="AN40" i="13"/>
  <c r="AM40" i="13"/>
  <c r="AL40" i="13"/>
  <c r="AK40" i="13"/>
  <c r="AJ40" i="13"/>
  <c r="AI40" i="13"/>
  <c r="AH40" i="13"/>
  <c r="AG40" i="13"/>
  <c r="AF40" i="13"/>
  <c r="AE40" i="13"/>
  <c r="AD40" i="13"/>
  <c r="AC40" i="13"/>
  <c r="AB40" i="13"/>
  <c r="AA40" i="13"/>
  <c r="Z40" i="13"/>
  <c r="Y40" i="13"/>
  <c r="X40" i="13"/>
  <c r="W40" i="13"/>
  <c r="V40" i="13"/>
  <c r="U40" i="13"/>
  <c r="T40" i="13"/>
  <c r="S40" i="13"/>
  <c r="R40" i="13"/>
  <c r="Q40" i="13"/>
  <c r="P40" i="13"/>
  <c r="O40" i="13"/>
  <c r="N40" i="13"/>
  <c r="M40" i="13"/>
  <c r="L40" i="13"/>
  <c r="K40" i="13"/>
  <c r="J40" i="13"/>
  <c r="I40" i="13"/>
  <c r="H40" i="13"/>
  <c r="G40" i="13"/>
  <c r="F40" i="13"/>
  <c r="E40" i="13"/>
  <c r="AS39" i="13"/>
  <c r="AR39" i="13"/>
  <c r="AQ39" i="13"/>
  <c r="AP39" i="13"/>
  <c r="AO39" i="13"/>
  <c r="AN39" i="13"/>
  <c r="AM39" i="13"/>
  <c r="AL39" i="13"/>
  <c r="AK39" i="13"/>
  <c r="AJ39" i="13"/>
  <c r="AI39" i="13"/>
  <c r="AH39" i="13"/>
  <c r="AG39" i="13"/>
  <c r="AF39" i="13"/>
  <c r="AE39" i="13"/>
  <c r="AD39" i="13"/>
  <c r="AC39" i="13"/>
  <c r="AB39" i="13"/>
  <c r="AA39" i="13"/>
  <c r="Z39" i="13"/>
  <c r="Y39" i="13"/>
  <c r="X39" i="13"/>
  <c r="W39" i="13"/>
  <c r="V39" i="13"/>
  <c r="U39" i="13"/>
  <c r="T39" i="13"/>
  <c r="S39" i="13"/>
  <c r="R39" i="13"/>
  <c r="Q39" i="13"/>
  <c r="P39" i="13"/>
  <c r="O39" i="13"/>
  <c r="N39" i="13"/>
  <c r="M39" i="13"/>
  <c r="L39" i="13"/>
  <c r="K39" i="13"/>
  <c r="J39" i="13"/>
  <c r="I39" i="13"/>
  <c r="H39" i="13"/>
  <c r="G39" i="13"/>
  <c r="F39" i="13"/>
  <c r="E39" i="13"/>
  <c r="AS38" i="13"/>
  <c r="AR38" i="13"/>
  <c r="AQ38" i="13"/>
  <c r="AP38" i="13"/>
  <c r="AO38" i="13"/>
  <c r="AN38" i="13"/>
  <c r="AM38" i="13"/>
  <c r="AL38" i="13"/>
  <c r="AK38" i="13"/>
  <c r="AJ38" i="13"/>
  <c r="AI38" i="13"/>
  <c r="AH38" i="13"/>
  <c r="AG38" i="13"/>
  <c r="AF38" i="13"/>
  <c r="AE38" i="13"/>
  <c r="AD38" i="13"/>
  <c r="AC38" i="13"/>
  <c r="AB38" i="13"/>
  <c r="AA38" i="13"/>
  <c r="Z38" i="13"/>
  <c r="Y38" i="13"/>
  <c r="X38" i="13"/>
  <c r="W38" i="13"/>
  <c r="V38" i="13"/>
  <c r="U38" i="13"/>
  <c r="T38" i="13"/>
  <c r="S38" i="13"/>
  <c r="R38" i="13"/>
  <c r="Q38" i="13"/>
  <c r="P38" i="13"/>
  <c r="O38" i="13"/>
  <c r="N38" i="13"/>
  <c r="M38" i="13"/>
  <c r="L38" i="13"/>
  <c r="K38" i="13"/>
  <c r="J38" i="13"/>
  <c r="I38" i="13"/>
  <c r="H38" i="13"/>
  <c r="G38" i="13"/>
  <c r="F38" i="13"/>
  <c r="E38" i="13"/>
  <c r="AS36" i="13"/>
  <c r="AR36" i="13"/>
  <c r="AQ36" i="13"/>
  <c r="AP36" i="13"/>
  <c r="AO36" i="13"/>
  <c r="AN36" i="13"/>
  <c r="AM36" i="13"/>
  <c r="AL36" i="13"/>
  <c r="AK36" i="13"/>
  <c r="AJ36" i="13"/>
  <c r="AI36" i="13"/>
  <c r="AH36" i="13"/>
  <c r="AG36" i="13"/>
  <c r="AF36" i="13"/>
  <c r="AE36" i="13"/>
  <c r="AD36" i="13"/>
  <c r="AC36" i="13"/>
  <c r="AB36" i="13"/>
  <c r="AA36" i="13"/>
  <c r="Z36" i="13"/>
  <c r="Y36" i="13"/>
  <c r="X36" i="13"/>
  <c r="W36" i="13"/>
  <c r="V36" i="13"/>
  <c r="U36" i="13"/>
  <c r="T36" i="13"/>
  <c r="S36" i="13"/>
  <c r="R36" i="13"/>
  <c r="Q36" i="13"/>
  <c r="P36" i="13"/>
  <c r="O36" i="13"/>
  <c r="N36" i="13"/>
  <c r="M36" i="13"/>
  <c r="L36" i="13"/>
  <c r="K36" i="13"/>
  <c r="J36" i="13"/>
  <c r="I36" i="13"/>
  <c r="H36" i="13"/>
  <c r="G36" i="13"/>
  <c r="F36" i="13"/>
  <c r="E36" i="13"/>
  <c r="AS35" i="13"/>
  <c r="AR35" i="13"/>
  <c r="AQ35" i="13"/>
  <c r="AP35" i="13"/>
  <c r="AO35" i="13"/>
  <c r="AN35" i="13"/>
  <c r="AM35" i="13"/>
  <c r="AL35" i="13"/>
  <c r="AK35" i="13"/>
  <c r="AJ35" i="13"/>
  <c r="AI35" i="13"/>
  <c r="AH35" i="13"/>
  <c r="AG35" i="13"/>
  <c r="AF35" i="13"/>
  <c r="AE35" i="13"/>
  <c r="AD35" i="13"/>
  <c r="AC35" i="13"/>
  <c r="AB35" i="13"/>
  <c r="AA35" i="13"/>
  <c r="Z35" i="13"/>
  <c r="Y35" i="13"/>
  <c r="X35" i="13"/>
  <c r="W35" i="13"/>
  <c r="V35" i="13"/>
  <c r="U35" i="13"/>
  <c r="T35" i="13"/>
  <c r="S35" i="13"/>
  <c r="R35" i="13"/>
  <c r="Q35" i="13"/>
  <c r="P35" i="13"/>
  <c r="O35" i="13"/>
  <c r="N35" i="13"/>
  <c r="M35" i="13"/>
  <c r="L35" i="13"/>
  <c r="K35" i="13"/>
  <c r="J35" i="13"/>
  <c r="I35" i="13"/>
  <c r="H35" i="13"/>
  <c r="G35" i="13"/>
  <c r="F35" i="13"/>
  <c r="E35" i="13"/>
  <c r="AS34" i="13"/>
  <c r="AR34" i="13"/>
  <c r="AQ34" i="13"/>
  <c r="AP34" i="13"/>
  <c r="AO34" i="13"/>
  <c r="AN34" i="13"/>
  <c r="AM34" i="13"/>
  <c r="AL34" i="13"/>
  <c r="AK34" i="13"/>
  <c r="AJ34" i="13"/>
  <c r="AI34" i="13"/>
  <c r="AH34" i="13"/>
  <c r="AG34" i="13"/>
  <c r="AF34" i="13"/>
  <c r="AE34" i="13"/>
  <c r="AD34" i="13"/>
  <c r="AC34" i="13"/>
  <c r="AB34" i="13"/>
  <c r="AA34" i="13"/>
  <c r="Z34" i="13"/>
  <c r="Y34" i="13"/>
  <c r="X34" i="13"/>
  <c r="W34" i="13"/>
  <c r="V34" i="13"/>
  <c r="U34" i="13"/>
  <c r="T34" i="13"/>
  <c r="S34" i="13"/>
  <c r="R34" i="13"/>
  <c r="Q34" i="13"/>
  <c r="P34" i="13"/>
  <c r="O34" i="13"/>
  <c r="N34" i="13"/>
  <c r="M34" i="13"/>
  <c r="L34" i="13"/>
  <c r="K34" i="13"/>
  <c r="J34" i="13"/>
  <c r="I34" i="13"/>
  <c r="H34" i="13"/>
  <c r="G34" i="13"/>
  <c r="F34" i="13"/>
  <c r="E34" i="13"/>
  <c r="AS33" i="13"/>
  <c r="AR33" i="13"/>
  <c r="AQ33" i="13"/>
  <c r="AP33" i="13"/>
  <c r="AO33" i="13"/>
  <c r="AN33" i="13"/>
  <c r="AM33" i="13"/>
  <c r="AL33" i="13"/>
  <c r="AK33" i="13"/>
  <c r="AJ33" i="13"/>
  <c r="AI33" i="13"/>
  <c r="AH33" i="13"/>
  <c r="AG33" i="13"/>
  <c r="AF33" i="13"/>
  <c r="AE33" i="13"/>
  <c r="AD33" i="13"/>
  <c r="AC33" i="13"/>
  <c r="AB33" i="13"/>
  <c r="AA33" i="13"/>
  <c r="Z33" i="13"/>
  <c r="Y33" i="13"/>
  <c r="X33" i="13"/>
  <c r="W33" i="13"/>
  <c r="V33" i="13"/>
  <c r="U33" i="13"/>
  <c r="T33" i="13"/>
  <c r="S33" i="13"/>
  <c r="R33" i="13"/>
  <c r="Q33" i="13"/>
  <c r="P33" i="13"/>
  <c r="O33" i="13"/>
  <c r="N33" i="13"/>
  <c r="M33" i="13"/>
  <c r="L33" i="13"/>
  <c r="K33" i="13"/>
  <c r="J33" i="13"/>
  <c r="I33" i="13"/>
  <c r="H33" i="13"/>
  <c r="G33" i="13"/>
  <c r="F33" i="13"/>
  <c r="E33" i="13"/>
  <c r="AS32" i="13"/>
  <c r="AR32" i="13"/>
  <c r="AQ32" i="13"/>
  <c r="AP32" i="13"/>
  <c r="AO32" i="13"/>
  <c r="AN32" i="13"/>
  <c r="AM32" i="13"/>
  <c r="AL32" i="13"/>
  <c r="AK32" i="13"/>
  <c r="AJ32" i="13"/>
  <c r="AI32" i="13"/>
  <c r="AH32" i="13"/>
  <c r="AG32" i="13"/>
  <c r="AF32" i="13"/>
  <c r="AE32" i="13"/>
  <c r="AD32" i="13"/>
  <c r="AC32" i="13"/>
  <c r="AB32" i="13"/>
  <c r="AA32" i="13"/>
  <c r="Z32" i="13"/>
  <c r="Y32" i="13"/>
  <c r="X32" i="13"/>
  <c r="W32" i="13"/>
  <c r="V32" i="13"/>
  <c r="U32" i="13"/>
  <c r="T32" i="13"/>
  <c r="S32" i="13"/>
  <c r="R32" i="13"/>
  <c r="Q32" i="13"/>
  <c r="P32" i="13"/>
  <c r="O32" i="13"/>
  <c r="N32" i="13"/>
  <c r="M32" i="13"/>
  <c r="L32" i="13"/>
  <c r="K32" i="13"/>
  <c r="J32" i="13"/>
  <c r="I32" i="13"/>
  <c r="H32" i="13"/>
  <c r="G32" i="13"/>
  <c r="F32" i="13"/>
  <c r="E32" i="13"/>
  <c r="AS31" i="13"/>
  <c r="AR31" i="13"/>
  <c r="AQ31" i="13"/>
  <c r="AP31" i="13"/>
  <c r="AO31" i="13"/>
  <c r="AN31" i="13"/>
  <c r="AM31" i="13"/>
  <c r="AL31" i="13"/>
  <c r="AK31" i="13"/>
  <c r="AJ31" i="13"/>
  <c r="AI31" i="13"/>
  <c r="AH31" i="13"/>
  <c r="AG31" i="13"/>
  <c r="AF31" i="13"/>
  <c r="AE31" i="13"/>
  <c r="AD31" i="13"/>
  <c r="AC31" i="13"/>
  <c r="AB31" i="13"/>
  <c r="AA31" i="13"/>
  <c r="Z31" i="13"/>
  <c r="Y31" i="13"/>
  <c r="X31" i="13"/>
  <c r="W31" i="13"/>
  <c r="V31" i="13"/>
  <c r="U31" i="13"/>
  <c r="T31" i="13"/>
  <c r="S31" i="13"/>
  <c r="R31" i="13"/>
  <c r="Q31" i="13"/>
  <c r="P31" i="13"/>
  <c r="O31" i="13"/>
  <c r="N31" i="13"/>
  <c r="M31" i="13"/>
  <c r="L31" i="13"/>
  <c r="K31" i="13"/>
  <c r="J31" i="13"/>
  <c r="I31" i="13"/>
  <c r="H31" i="13"/>
  <c r="G31" i="13"/>
  <c r="F31" i="13"/>
  <c r="E31" i="13"/>
  <c r="AS30" i="13"/>
  <c r="AR30" i="13"/>
  <c r="AQ30" i="13"/>
  <c r="AP30" i="13"/>
  <c r="AO30" i="13"/>
  <c r="AN30" i="13"/>
  <c r="AM30" i="13"/>
  <c r="AL30" i="13"/>
  <c r="AK30" i="13"/>
  <c r="AJ30" i="13"/>
  <c r="AI30" i="13"/>
  <c r="AH30" i="13"/>
  <c r="AG30" i="13"/>
  <c r="AF30" i="13"/>
  <c r="AE30" i="13"/>
  <c r="AD30" i="13"/>
  <c r="AC30" i="13"/>
  <c r="AB30" i="13"/>
  <c r="AA30" i="13"/>
  <c r="Z30" i="13"/>
  <c r="Y30" i="13"/>
  <c r="X30" i="13"/>
  <c r="W30" i="13"/>
  <c r="V30" i="13"/>
  <c r="U30" i="13"/>
  <c r="T30" i="13"/>
  <c r="S30" i="13"/>
  <c r="R30" i="13"/>
  <c r="Q30" i="13"/>
  <c r="P30" i="13"/>
  <c r="O30" i="13"/>
  <c r="N30" i="13"/>
  <c r="M30" i="13"/>
  <c r="L30" i="13"/>
  <c r="K30" i="13"/>
  <c r="J30" i="13"/>
  <c r="I30" i="13"/>
  <c r="H30" i="13"/>
  <c r="G30" i="13"/>
  <c r="F30" i="13"/>
  <c r="E30" i="13"/>
  <c r="AS29" i="13"/>
  <c r="AR29" i="13"/>
  <c r="AQ29" i="13"/>
  <c r="AP29" i="13"/>
  <c r="AO29" i="13"/>
  <c r="AN29" i="13"/>
  <c r="AM29" i="13"/>
  <c r="AL29" i="13"/>
  <c r="AK29" i="13"/>
  <c r="AJ29" i="13"/>
  <c r="AI29" i="13"/>
  <c r="AH29" i="13"/>
  <c r="AG29" i="13"/>
  <c r="AF29" i="13"/>
  <c r="AE29" i="13"/>
  <c r="AD29" i="13"/>
  <c r="AC29" i="13"/>
  <c r="AB29" i="13"/>
  <c r="AA29" i="13"/>
  <c r="Z29" i="13"/>
  <c r="Y29" i="13"/>
  <c r="X29" i="13"/>
  <c r="W29" i="13"/>
  <c r="V29" i="13"/>
  <c r="U29" i="13"/>
  <c r="T29" i="13"/>
  <c r="S29" i="13"/>
  <c r="R29" i="13"/>
  <c r="Q29" i="13"/>
  <c r="P29" i="13"/>
  <c r="O29" i="13"/>
  <c r="N29" i="13"/>
  <c r="M29" i="13"/>
  <c r="L29" i="13"/>
  <c r="K29" i="13"/>
  <c r="J29" i="13"/>
  <c r="I29" i="13"/>
  <c r="H29" i="13"/>
  <c r="G29" i="13"/>
  <c r="F29" i="13"/>
  <c r="E29" i="13"/>
  <c r="AS28" i="13"/>
  <c r="AR28" i="13"/>
  <c r="AQ28" i="13"/>
  <c r="AP28" i="13"/>
  <c r="AO28" i="13"/>
  <c r="AN28" i="13"/>
  <c r="AM28" i="13"/>
  <c r="AL28" i="13"/>
  <c r="AK28" i="13"/>
  <c r="AJ28" i="13"/>
  <c r="AI28" i="13"/>
  <c r="AH28" i="13"/>
  <c r="AG28" i="13"/>
  <c r="AF28" i="13"/>
  <c r="AE28" i="13"/>
  <c r="AD28" i="13"/>
  <c r="AC28" i="13"/>
  <c r="AB28" i="13"/>
  <c r="AA28" i="13"/>
  <c r="Z28" i="13"/>
  <c r="Y28" i="13"/>
  <c r="X28" i="13"/>
  <c r="W28" i="13"/>
  <c r="V28" i="13"/>
  <c r="U28" i="13"/>
  <c r="T28" i="13"/>
  <c r="S28" i="13"/>
  <c r="R28" i="13"/>
  <c r="Q28" i="13"/>
  <c r="P28" i="13"/>
  <c r="O28" i="13"/>
  <c r="N28" i="13"/>
  <c r="M28" i="13"/>
  <c r="L28" i="13"/>
  <c r="K28" i="13"/>
  <c r="J28" i="13"/>
  <c r="I28" i="13"/>
  <c r="H28" i="13"/>
  <c r="G28" i="13"/>
  <c r="F28" i="13"/>
  <c r="E28" i="13"/>
  <c r="AS27" i="13"/>
  <c r="AR27" i="13"/>
  <c r="AQ27" i="13"/>
  <c r="AP27" i="13"/>
  <c r="AO27" i="13"/>
  <c r="AN27" i="13"/>
  <c r="AM27" i="13"/>
  <c r="AL27" i="13"/>
  <c r="AK27" i="13"/>
  <c r="AJ27" i="13"/>
  <c r="AI27" i="13"/>
  <c r="AH27" i="13"/>
  <c r="AG27" i="13"/>
  <c r="AF27" i="13"/>
  <c r="AE27" i="13"/>
  <c r="AD27" i="13"/>
  <c r="AC27" i="13"/>
  <c r="AB27" i="13"/>
  <c r="AA27" i="13"/>
  <c r="Z27" i="13"/>
  <c r="Y27" i="13"/>
  <c r="X27" i="13"/>
  <c r="W27" i="13"/>
  <c r="V27" i="13"/>
  <c r="U27" i="13"/>
  <c r="T27" i="13"/>
  <c r="S27" i="13"/>
  <c r="R27" i="13"/>
  <c r="Q27" i="13"/>
  <c r="P27" i="13"/>
  <c r="O27" i="13"/>
  <c r="N27" i="13"/>
  <c r="M27" i="13"/>
  <c r="L27" i="13"/>
  <c r="K27" i="13"/>
  <c r="J27" i="13"/>
  <c r="I27" i="13"/>
  <c r="H27" i="13"/>
  <c r="G27" i="13"/>
  <c r="F27" i="13"/>
  <c r="E27" i="13"/>
  <c r="AS26" i="13"/>
  <c r="AR26" i="13"/>
  <c r="AQ26" i="13"/>
  <c r="AP26" i="13"/>
  <c r="AO26" i="13"/>
  <c r="AN26" i="13"/>
  <c r="AM26" i="13"/>
  <c r="AL26" i="13"/>
  <c r="AK26" i="13"/>
  <c r="AJ26" i="13"/>
  <c r="AI26" i="13"/>
  <c r="AH26" i="13"/>
  <c r="AG26" i="13"/>
  <c r="AF26" i="13"/>
  <c r="AE26" i="13"/>
  <c r="AD26" i="13"/>
  <c r="AC26" i="13"/>
  <c r="AB26" i="13"/>
  <c r="AA26" i="13"/>
  <c r="Z26" i="13"/>
  <c r="Y26" i="13"/>
  <c r="X26" i="13"/>
  <c r="W26" i="13"/>
  <c r="V26" i="13"/>
  <c r="U26" i="13"/>
  <c r="T26" i="13"/>
  <c r="S26" i="13"/>
  <c r="R26" i="13"/>
  <c r="Q26" i="13"/>
  <c r="P26" i="13"/>
  <c r="O26" i="13"/>
  <c r="N26" i="13"/>
  <c r="M26" i="13"/>
  <c r="L26" i="13"/>
  <c r="K26" i="13"/>
  <c r="J26" i="13"/>
  <c r="I26" i="13"/>
  <c r="H26" i="13"/>
  <c r="G26" i="13"/>
  <c r="F26" i="13"/>
  <c r="E26" i="13"/>
  <c r="AS25" i="13"/>
  <c r="AR25" i="13"/>
  <c r="AQ25" i="13"/>
  <c r="AP25" i="13"/>
  <c r="AO25" i="13"/>
  <c r="AN25" i="13"/>
  <c r="AM25" i="13"/>
  <c r="AL25" i="13"/>
  <c r="AK25" i="13"/>
  <c r="AJ25" i="13"/>
  <c r="AI25" i="13"/>
  <c r="AH25" i="13"/>
  <c r="AG25" i="13"/>
  <c r="AF25" i="13"/>
  <c r="AE25" i="13"/>
  <c r="AD25" i="13"/>
  <c r="AC25" i="13"/>
  <c r="AB25" i="13"/>
  <c r="AA25" i="13"/>
  <c r="Z25" i="13"/>
  <c r="Y25" i="13"/>
  <c r="X25" i="13"/>
  <c r="W25" i="13"/>
  <c r="V25" i="13"/>
  <c r="U25" i="13"/>
  <c r="T25" i="13"/>
  <c r="S25" i="13"/>
  <c r="R25" i="13"/>
  <c r="Q25" i="13"/>
  <c r="P25" i="13"/>
  <c r="O25" i="13"/>
  <c r="N25" i="13"/>
  <c r="M25" i="13"/>
  <c r="L25" i="13"/>
  <c r="K25" i="13"/>
  <c r="J25" i="13"/>
  <c r="I25" i="13"/>
  <c r="H25" i="13"/>
  <c r="G25" i="13"/>
  <c r="F25" i="13"/>
  <c r="E25" i="13"/>
  <c r="E22" i="13"/>
  <c r="G21" i="13"/>
  <c r="E21" i="13"/>
</calcChain>
</file>

<file path=xl/sharedStrings.xml><?xml version="1.0" encoding="utf-8"?>
<sst xmlns="http://schemas.openxmlformats.org/spreadsheetml/2006/main" count="705" uniqueCount="335">
  <si>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</si>
  <si>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</si>
  <si>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</si>
  <si>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</si>
  <si>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</si>
  <si>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</si>
  <si>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</si>
  <si>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</si>
  <si>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</si>
  <si>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</si>
  <si>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</si>
  <si>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</si>
  <si>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</si>
  <si>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</si>
  <si>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</si>
  <si>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</si>
  <si>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</si>
  <si>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</si>
  <si>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</si>
  <si>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</si>
  <si>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</si>
  <si>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</si>
  <si>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</si>
  <si>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</si>
  <si>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</si>
  <si>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</si>
  <si>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</si>
  <si>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</si>
  <si>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</si>
  <si>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</si>
  <si>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</si>
  <si>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</si>
  <si>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</si>
  <si>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</si>
  <si>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</si>
  <si>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</si>
  <si>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</si>
  <si>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</si>
  <si>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</si>
  <si>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</si>
  <si>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</si>
  <si>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</si>
  <si>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</si>
  <si>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</si>
  <si>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</si>
  <si>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</si>
  <si>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</si>
  <si>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</si>
  <si>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</si>
  <si>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</si>
  <si>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</si>
  <si>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</si>
  <si>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</si>
  <si>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</si>
  <si>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</si>
  <si>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</si>
  <si>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</si>
  <si>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</si>
  <si>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</si>
  <si>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</si>
  <si>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</si>
  <si>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</si>
  <si>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</si>
  <si>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</si>
  <si>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</si>
  <si>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</si>
  <si>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</si>
  <si>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</si>
  <si>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</si>
  <si>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</si>
  <si>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</si>
  <si>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</si>
  <si>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</si>
  <si>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</si>
  <si>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</si>
  <si>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</si>
  <si>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</si>
  <si>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</si>
  <si>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</si>
  <si>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</si>
  <si>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</si>
  <si>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</si>
  <si>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</si>
  <si>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</si>
  <si>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</si>
  <si>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</si>
  <si>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</si>
  <si>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</si>
  <si>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</si>
  <si>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</si>
  <si>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</si>
  <si>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</si>
  <si>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</si>
  <si>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</si>
  <si>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</si>
  <si>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</si>
  <si>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</si>
  <si>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</si>
  <si>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</si>
  <si>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</si>
  <si>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</si>
  <si>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</si>
  <si>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</si>
  <si>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</si>
  <si>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</si>
  <si>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</si>
  <si>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</si>
  <si>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</si>
  <si>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</si>
  <si>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</si>
  <si>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</si>
  <si>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</si>
  <si>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</si>
  <si>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</si>
  <si>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</si>
  <si>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</si>
  <si>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</si>
  <si>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</si>
  <si>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</si>
  <si>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</si>
  <si>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</si>
  <si>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</si>
  <si>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</si>
  <si>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</si>
  <si>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</si>
  <si>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</si>
  <si>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</si>
  <si>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</si>
  <si>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</si>
  <si>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</si>
  <si>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</si>
  <si>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</si>
  <si>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</si>
  <si>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</si>
  <si>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</si>
  <si>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</si>
  <si>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</si>
  <si>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</si>
  <si>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</si>
  <si>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</si>
  <si>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</si>
  <si>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</si>
  <si>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</si>
  <si>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</si>
  <si>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</si>
  <si>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</si>
  <si>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</si>
  <si>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</si>
  <si>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</si>
  <si>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</si>
  <si>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</si>
  <si>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</si>
  <si>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</si>
  <si>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</si>
  <si>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</si>
  <si>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</si>
  <si>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</si>
  <si>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</si>
  <si>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</si>
  <si>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</si>
  <si>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</si>
  <si>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</si>
  <si>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</si>
  <si>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</si>
  <si>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</si>
  <si>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</si>
  <si>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</si>
  <si>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</si>
  <si>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</si>
  <si>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</si>
  <si>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</si>
  <si>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</si>
  <si>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</si>
  <si>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</si>
  <si>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</si>
  <si>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</si>
  <si>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</si>
  <si>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</si>
  <si>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</si>
  <si>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</si>
  <si>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</si>
  <si>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</si>
  <si>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</si>
  <si>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</si>
  <si>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</si>
  <si>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</si>
  <si>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</si>
  <si>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</si>
  <si>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</si>
  <si>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</si>
  <si>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</si>
  <si>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</si>
  <si>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</si>
  <si>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</si>
  <si>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</si>
  <si>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</si>
  <si>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</si>
  <si>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</si>
  <si>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</si>
  <si>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</si>
  <si>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</si>
  <si>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</si>
  <si>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</si>
  <si>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</si>
  <si>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</si>
  <si>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</si>
  <si>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</si>
  <si>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</si>
  <si>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</si>
  <si>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</si>
  <si>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</si>
  <si>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</si>
  <si>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</si>
  <si>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</si>
  <si>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</si>
  <si>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</si>
  <si>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</si>
  <si>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</si>
  <si>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</si>
  <si>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</si>
  <si>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</si>
  <si>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</si>
  <si>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</si>
  <si>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</si>
  <si>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</si>
  <si>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</si>
  <si>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</si>
  <si>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</si>
  <si>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</si>
  <si>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UnitedHealthcare Insurance Company</t>
  </si>
  <si>
    <t>Small Group</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</si>
  <si>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</si>
  <si>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</si>
  <si>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</si>
  <si>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</si>
  <si>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</si>
  <si>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</si>
  <si>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</si>
  <si>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</si>
  <si>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</si>
  <si>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</si>
  <si>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</si>
  <si>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</si>
  <si>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</si>
  <si>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</si>
  <si>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</si>
  <si>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</si>
  <si>
    <t>13535GA001</t>
  </si>
  <si>
    <t>13535GA001 Plans</t>
  </si>
  <si>
    <t>13535GA0010091</t>
  </si>
  <si>
    <t>BS-XT</t>
  </si>
  <si>
    <t>POS</t>
  </si>
  <si>
    <t>13535GA0010098</t>
  </si>
  <si>
    <t>BS-XV</t>
  </si>
  <si>
    <t>13535GA013</t>
  </si>
  <si>
    <t>13535GA013 Plans</t>
  </si>
  <si>
    <t>13535GA0130041</t>
  </si>
  <si>
    <t>DGSC</t>
  </si>
  <si>
    <t>13535GA0130042</t>
  </si>
  <si>
    <t>DGSD</t>
  </si>
  <si>
    <t>13535GA0130043</t>
  </si>
  <si>
    <t>DGSE</t>
  </si>
  <si>
    <t>13535GA0130044</t>
  </si>
  <si>
    <t>DGSF</t>
  </si>
  <si>
    <t>13535GA0130045</t>
  </si>
  <si>
    <t>DGSG</t>
  </si>
  <si>
    <t>13535GA0130004</t>
  </si>
  <si>
    <t>DGSX</t>
  </si>
  <si>
    <t>13535GA0130005</t>
  </si>
  <si>
    <t>DGSY</t>
  </si>
  <si>
    <t>13535GA0130006</t>
  </si>
  <si>
    <t>DGSN</t>
  </si>
  <si>
    <t>13535GA0130007</t>
  </si>
  <si>
    <t>DGSZ</t>
  </si>
  <si>
    <t>13535GA0130008</t>
  </si>
  <si>
    <t>DGSO</t>
  </si>
  <si>
    <t>13535GA0130009</t>
  </si>
  <si>
    <t>DGSP</t>
  </si>
  <si>
    <t>13535GA0130019</t>
  </si>
  <si>
    <t>DGRZ</t>
  </si>
  <si>
    <t>13535GA0130021</t>
  </si>
  <si>
    <t>DGR4</t>
  </si>
  <si>
    <t>13535GA0130023</t>
  </si>
  <si>
    <t>DGR5</t>
  </si>
  <si>
    <t>13535GA0130025</t>
  </si>
  <si>
    <t>DGR8</t>
  </si>
  <si>
    <t>13535GA0130026</t>
  </si>
  <si>
    <t>DGR9</t>
  </si>
  <si>
    <t>13535GA0130027</t>
  </si>
  <si>
    <t>DGSA</t>
  </si>
  <si>
    <t>13535GA0130028</t>
  </si>
  <si>
    <t>DGR3</t>
  </si>
  <si>
    <t>13535GA0130029</t>
  </si>
  <si>
    <t>DGSB</t>
  </si>
  <si>
    <t>13535GA0130030</t>
  </si>
  <si>
    <t>DGR7</t>
  </si>
  <si>
    <t>13535GA0130031</t>
  </si>
  <si>
    <t>DGR2</t>
  </si>
  <si>
    <t>13535GA0130032</t>
  </si>
  <si>
    <t>DGSM</t>
  </si>
  <si>
    <t>13535GA0130033</t>
  </si>
  <si>
    <t>DGSR</t>
  </si>
  <si>
    <t>13535GA0130034</t>
  </si>
  <si>
    <t>DGSS</t>
  </si>
  <si>
    <t>13535GA0130035</t>
  </si>
  <si>
    <t>DGS2</t>
  </si>
  <si>
    <t>13535GA0130036</t>
  </si>
  <si>
    <t>DGST</t>
  </si>
  <si>
    <t>13535GA0130037</t>
  </si>
  <si>
    <t>DGS3</t>
  </si>
  <si>
    <t>13535GA0130038</t>
  </si>
  <si>
    <t>DGSV</t>
  </si>
  <si>
    <t>13535GA0130039</t>
  </si>
  <si>
    <t>DGSW</t>
  </si>
  <si>
    <t>13535GA0130040</t>
  </si>
  <si>
    <t>DGRY</t>
  </si>
  <si>
    <t>13535GA0130001</t>
  </si>
  <si>
    <t>CF-N4</t>
  </si>
  <si>
    <t>13535GA0130002</t>
  </si>
  <si>
    <t>CF-N5</t>
  </si>
  <si>
    <t>13535GA0130015</t>
  </si>
  <si>
    <t>CF-MT</t>
  </si>
  <si>
    <t>13535GA0130016</t>
  </si>
  <si>
    <t>CF-MV</t>
  </si>
  <si>
    <t>13535GA0130017</t>
  </si>
  <si>
    <t>CF-MX</t>
  </si>
  <si>
    <t>13535GA0130018</t>
  </si>
  <si>
    <t>CF-MY</t>
  </si>
  <si>
    <t>13535GA0130020</t>
  </si>
  <si>
    <t>CF-M2</t>
  </si>
  <si>
    <t>13535GA0130022</t>
  </si>
  <si>
    <t>CF-M4</t>
  </si>
  <si>
    <t>13535GA0130024</t>
  </si>
  <si>
    <t>CF-M6</t>
  </si>
  <si>
    <t>REBUILD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</si>
</sst>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98">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168" fontId="0" fillId="0" borderId="11" xfId="0" applyNumberFormat="1" applyBorder="1" applyAlignment="1">
      <alignment horizontal="center"/>
    </xf>
    <xf numFmtId="170" fontId="0" fillId="0" borderId="7" xfId="0" applyNumberFormat="1" applyBorder="1" applyAlignment="1">
      <alignment horizontal="center"/>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104775</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161925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47625</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13535</v>
      </c>
      <c r="D4" s="207" t="s">
        <v>7</v>
      </c>
      <c r="E4" s="213" t="s">
        <v>37</v>
      </c>
      <c r="F4" s="4"/>
      <c r="G4" s="4"/>
      <c r="H4" s="4"/>
      <c r="K4" s="98" t="s">
        <v>216</v>
      </c>
    </row>
    <row r="5" spans="1:29" ht="15.75">
      <c r="B5" s="96" t="s">
        <v>14</v>
      </c>
      <c r="C5" s="219">
        <f>MAX('Wksh 2 - Plan Product Info'!E19:AS19)</f>
        <v>0</v>
      </c>
      <c r="D5" s="207" t="s">
        <v>9</v>
      </c>
      <c r="E5" s="213" t="s">
        <v>230</v>
      </c>
    </row>
    <row r="6" spans="1:29" ht="18.75">
      <c r="B6" s="3"/>
      <c r="C6" s="3"/>
      <c r="D6" s="3"/>
      <c r="E6" s="3"/>
      <c r="F6" s="4"/>
    </row>
    <row r="7" spans="1:29">
      <c r="F7" s="2"/>
    </row>
    <row r="8" spans="1:29">
      <c r="B8" s="267" t="s">
        <v>3</v>
      </c>
      <c r="C8" s="268"/>
      <c r="D8" s="268"/>
      <c r="E8" s="268"/>
      <c r="F8" s="268"/>
      <c r="G8" s="268"/>
      <c r="H8" s="268"/>
      <c r="I8" s="268"/>
      <c r="J8" s="268"/>
      <c r="K8" s="268"/>
      <c r="L8" s="268"/>
      <c r="M8" s="268"/>
      <c r="N8" s="268"/>
      <c r="O8" s="268"/>
      <c r="P8" s="268"/>
      <c r="Q8" s="269"/>
      <c r="R8"/>
      <c r="S8"/>
      <c r="T8"/>
      <c r="U8"/>
      <c r="V8"/>
      <c r="W8"/>
      <c r="X8"/>
      <c r="Y8"/>
    </row>
    <row r="9" spans="1:29">
      <c r="B9" s="270"/>
      <c r="C9" s="271"/>
      <c r="D9" s="271"/>
      <c r="E9" s="271"/>
      <c r="F9" s="271"/>
      <c r="G9" s="271"/>
      <c r="H9" s="271"/>
      <c r="I9" s="271"/>
      <c r="J9" s="271"/>
      <c r="K9" s="271"/>
      <c r="L9" s="271"/>
      <c r="M9" s="271"/>
      <c r="N9" s="271"/>
      <c r="O9" s="271"/>
      <c r="P9" s="271"/>
      <c r="Q9" s="272"/>
      <c r="R9"/>
      <c r="S9"/>
      <c r="T9"/>
      <c r="U9"/>
      <c r="V9"/>
      <c r="W9"/>
      <c r="X9"/>
      <c r="Y9"/>
    </row>
    <row r="10" spans="1:29">
      <c r="B10" s="19"/>
      <c r="F10" s="2"/>
    </row>
    <row r="11" spans="1:29">
      <c r="B11" s="28" t="s">
        <v>85</v>
      </c>
      <c r="E11" s="29"/>
      <c r="F11" s="2"/>
    </row>
    <row r="12" spans="1:29">
      <c r="B12" s="75" t="s">
        <v>21</v>
      </c>
      <c r="D12" s="214">
        <v>44562</v>
      </c>
      <c r="E12" s="31" t="s">
        <v>11</v>
      </c>
      <c r="F12" s="84" t="str">
        <f>EDATE(D12,12)-1</f>
        <v>12/31/2022</v>
      </c>
      <c r="H12" s="33"/>
      <c r="I12" s="32"/>
    </row>
    <row r="13" spans="1:29">
      <c r="B13" s="30"/>
      <c r="E13" s="69" t="s">
        <v>2</v>
      </c>
      <c r="F13" s="34" t="s">
        <v>23</v>
      </c>
      <c r="G13"/>
      <c r="J13"/>
      <c r="P13"/>
      <c r="Q13"/>
      <c r="U13"/>
      <c r="V13"/>
      <c r="W13"/>
      <c r="X13"/>
      <c r="Y13"/>
      <c r="AC13" s="35"/>
    </row>
    <row r="14" spans="1:29">
      <c r="B14" s="276" t="s">
        <v>86</v>
      </c>
      <c r="C14" s="277"/>
      <c r="D14" s="278"/>
      <c r="E14" s="102">
        <v>156121778.16</v>
      </c>
      <c r="F14" s="103">
        <f>E14/E19</f>
        <v>717.3066</v>
      </c>
      <c r="G14" s="36"/>
      <c r="J14"/>
      <c r="P14"/>
      <c r="Q14"/>
      <c r="U14"/>
      <c r="V14"/>
      <c r="W14"/>
      <c r="X14"/>
      <c r="Y14"/>
      <c r="AC14" s="35"/>
    </row>
    <row r="15" spans="1:29">
      <c r="B15" s="279" t="s">
        <v>87</v>
      </c>
      <c r="C15" s="279"/>
      <c r="D15" s="279"/>
      <c r="E15" s="102">
        <v>0</v>
      </c>
      <c r="F15" s="104">
        <f>E15/E19</f>
        <v>0</v>
      </c>
      <c r="G15" s="36"/>
      <c r="J15"/>
      <c r="P15"/>
      <c r="Q15"/>
      <c r="U15"/>
      <c r="V15"/>
      <c r="W15"/>
      <c r="X15"/>
      <c r="Y15"/>
      <c r="AC15" s="35"/>
    </row>
    <row r="16" spans="1:29">
      <c r="B16" s="279" t="s">
        <v>88</v>
      </c>
      <c r="C16" s="279"/>
      <c r="D16" s="279"/>
      <c r="E16" s="102">
        <v>130532366.15000001</v>
      </c>
      <c r="F16" s="104">
        <f>E16/E19</f>
        <v>599.73519999999996</v>
      </c>
      <c r="G16" s="36"/>
      <c r="J16"/>
      <c r="P16"/>
      <c r="Q16"/>
      <c r="U16"/>
      <c r="V16"/>
      <c r="W16"/>
      <c r="X16"/>
      <c r="Y16"/>
      <c r="AC16" s="35"/>
    </row>
    <row r="17" spans="2:31">
      <c r="B17" s="279" t="s">
        <v>89</v>
      </c>
      <c r="C17" s="279"/>
      <c r="D17" s="279"/>
      <c r="E17" s="105">
        <v>-2228171.12</v>
      </c>
      <c r="F17" s="106">
        <f>E17/E19</f>
        <v>-10.237399999999999</v>
      </c>
      <c r="G17" s="37"/>
      <c r="H17" s="38"/>
      <c r="I17" s="32"/>
      <c r="J17"/>
      <c r="O17" s="39"/>
      <c r="P17"/>
      <c r="Q17"/>
      <c r="U17"/>
      <c r="V17"/>
      <c r="W17"/>
      <c r="X17"/>
      <c r="Y17"/>
      <c r="AC17" s="35"/>
    </row>
    <row r="18" spans="2:31">
      <c r="B18" s="279" t="s">
        <v>90</v>
      </c>
      <c r="C18" s="279"/>
      <c r="D18" s="279"/>
      <c r="E18" s="105">
        <v>158026320.38</v>
      </c>
      <c r="F18" s="107">
        <f>E18/E19</f>
        <v>726.05709999999999</v>
      </c>
      <c r="G18" s="40"/>
      <c r="H18" s="38"/>
      <c r="I18" s="32"/>
      <c r="J18"/>
      <c r="P18"/>
      <c r="Q18"/>
      <c r="U18"/>
      <c r="V18"/>
      <c r="W18"/>
      <c r="X18"/>
      <c r="Y18"/>
      <c r="AC18" s="35"/>
    </row>
    <row r="19" spans="2:31">
      <c r="B19" s="279" t="s">
        <v>22</v>
      </c>
      <c r="C19" s="279"/>
      <c r="D19" s="279"/>
      <c r="E19" s="215">
        <f>'Wksh 2 - Plan Product Info'!D33</f>
        <v>217650</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73" t="s">
        <v>92</v>
      </c>
      <c r="E22" s="274"/>
      <c r="F22" s="275" t="s">
        <v>93</v>
      </c>
      <c r="G22" s="275"/>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151.58000000000001</v>
      </c>
      <c r="D24" s="122">
        <v>1.048</v>
      </c>
      <c r="E24" s="125">
        <v>1.042</v>
      </c>
      <c r="F24" s="122">
        <v>1.046</v>
      </c>
      <c r="G24" s="127">
        <v>1.052</v>
      </c>
      <c r="H24" s="131">
        <f t="shared" ref="H24:H29" si="0">PRODUCT(C24:G24)</f>
        <v>182.1455</v>
      </c>
      <c r="I24" s="38"/>
      <c r="J24" s="32"/>
      <c r="K24" s="38"/>
      <c r="L24"/>
      <c r="R24"/>
      <c r="S24"/>
      <c r="W24"/>
      <c r="X24"/>
      <c r="Y24"/>
      <c r="Z24"/>
      <c r="AA24"/>
      <c r="AE24" s="35"/>
    </row>
    <row r="25" spans="2:31">
      <c r="B25" s="111" t="s">
        <v>19</v>
      </c>
      <c r="C25" s="130">
        <v>256.58</v>
      </c>
      <c r="D25" s="123">
        <v>1.048</v>
      </c>
      <c r="E25" s="124">
        <v>1.042</v>
      </c>
      <c r="F25" s="123">
        <v>1.046</v>
      </c>
      <c r="G25" s="126">
        <v>1.052</v>
      </c>
      <c r="H25" s="132">
        <f t="shared" si="0"/>
        <v>308.31819999999999</v>
      </c>
      <c r="I25" s="38"/>
      <c r="J25" s="32"/>
      <c r="K25" s="38"/>
      <c r="L25"/>
      <c r="R25"/>
      <c r="S25"/>
      <c r="W25"/>
      <c r="X25"/>
      <c r="Y25"/>
      <c r="Z25"/>
      <c r="AA25"/>
      <c r="AE25" s="35"/>
    </row>
    <row r="26" spans="2:31">
      <c r="B26" s="111" t="s">
        <v>0</v>
      </c>
      <c r="C26" s="130">
        <v>161.28</v>
      </c>
      <c r="D26" s="123">
        <v>1.048</v>
      </c>
      <c r="E26" s="124">
        <v>1.042</v>
      </c>
      <c r="F26" s="123">
        <v>1.046</v>
      </c>
      <c r="G26" s="128">
        <v>1.052</v>
      </c>
      <c r="H26" s="132">
        <f t="shared" si="0"/>
        <v>193.8014</v>
      </c>
      <c r="I26" s="38"/>
      <c r="J26" s="32"/>
      <c r="K26" s="38"/>
      <c r="L26"/>
      <c r="R26"/>
      <c r="S26"/>
      <c r="W26"/>
      <c r="X26"/>
      <c r="Y26"/>
      <c r="Z26"/>
      <c r="AA26"/>
      <c r="AE26" s="35"/>
    </row>
    <row r="27" spans="2:31">
      <c r="B27" s="111" t="s">
        <v>18</v>
      </c>
      <c r="C27" s="130">
        <v>2.48</v>
      </c>
      <c r="D27" s="123">
        <v>1.048</v>
      </c>
      <c r="E27" s="124">
        <v>1.042</v>
      </c>
      <c r="F27" s="123">
        <v>1.046</v>
      </c>
      <c r="G27" s="126">
        <v>1.052</v>
      </c>
      <c r="H27" s="132">
        <f t="shared" si="0"/>
        <v>2.9801000000000002</v>
      </c>
      <c r="I27" s="38"/>
      <c r="J27" s="32"/>
      <c r="K27" s="38"/>
      <c r="L27"/>
      <c r="R27"/>
      <c r="S27"/>
      <c r="W27"/>
      <c r="X27"/>
      <c r="Y27"/>
      <c r="Z27"/>
      <c r="AA27"/>
      <c r="AE27" s="35"/>
    </row>
    <row r="28" spans="2:31">
      <c r="B28" s="111" t="s">
        <v>1</v>
      </c>
      <c r="C28" s="130">
        <v>16.22</v>
      </c>
      <c r="D28" s="120">
        <v>1.048</v>
      </c>
      <c r="E28" s="121">
        <v>1.042</v>
      </c>
      <c r="F28" s="123">
        <v>1.046</v>
      </c>
      <c r="G28" s="126">
        <v>1.052</v>
      </c>
      <c r="H28" s="132">
        <f t="shared" si="0"/>
        <v>19.4907</v>
      </c>
      <c r="I28" s="38"/>
      <c r="J28" s="32"/>
      <c r="K28" s="38"/>
      <c r="L28"/>
      <c r="R28"/>
      <c r="S28"/>
      <c r="W28"/>
      <c r="X28"/>
      <c r="Y28"/>
      <c r="Z28"/>
      <c r="AA28"/>
      <c r="AE28" s="35"/>
    </row>
    <row r="29" spans="2:31" ht="15.75" thickBot="1">
      <c r="B29" s="111" t="s">
        <v>20</v>
      </c>
      <c r="C29" s="114">
        <v>127.99</v>
      </c>
      <c r="D29" s="119">
        <v>1.048</v>
      </c>
      <c r="E29" s="118">
        <v>1.042</v>
      </c>
      <c r="F29" s="119">
        <v>1.046</v>
      </c>
      <c r="G29" s="85">
        <v>1.052</v>
      </c>
      <c r="H29" s="116">
        <f t="shared" si="0"/>
        <v>153.79859999999999</v>
      </c>
      <c r="I29" s="38"/>
      <c r="J29" s="32"/>
      <c r="K29" s="38"/>
      <c r="L29"/>
      <c r="R29"/>
      <c r="S29"/>
      <c r="W29"/>
      <c r="X29"/>
      <c r="Y29"/>
      <c r="Z29"/>
      <c r="AA29"/>
      <c r="AE29" s="35"/>
    </row>
    <row r="30" spans="2:31" ht="15.75" thickBot="1">
      <c r="B30" s="112" t="s">
        <v>2</v>
      </c>
      <c r="C30" s="113">
        <f>SUM(C24:C29)</f>
        <v>716.13</v>
      </c>
      <c r="D30" s="264"/>
      <c r="E30" s="265"/>
      <c r="F30" s="265"/>
      <c r="G30" s="265"/>
      <c r="H30" s="144">
        <f>SUM(H24:H29)</f>
        <v>860.53449999999998</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1.032</v>
      </c>
      <c r="G32" s="40"/>
      <c r="H32" s="38"/>
      <c r="I32" s="38"/>
      <c r="J32" s="32"/>
      <c r="K32" s="38"/>
      <c r="L32"/>
      <c r="R32"/>
      <c r="S32"/>
      <c r="W32"/>
      <c r="X32"/>
      <c r="Y32"/>
      <c r="Z32"/>
      <c r="AA32"/>
      <c r="AE32" s="35"/>
    </row>
    <row r="33" spans="2:31">
      <c r="B33" s="223" t="s">
        <v>99</v>
      </c>
      <c r="C33" s="224"/>
      <c r="D33" s="224"/>
      <c r="E33" s="225"/>
      <c r="F33" s="136">
        <v>1</v>
      </c>
      <c r="G33" s="40"/>
      <c r="H33" s="38"/>
      <c r="I33" s="38"/>
      <c r="J33" s="32"/>
      <c r="K33" s="38"/>
      <c r="L33"/>
      <c r="R33"/>
      <c r="S33"/>
      <c r="W33"/>
      <c r="X33"/>
      <c r="Y33"/>
      <c r="Z33"/>
      <c r="AA33"/>
      <c r="AE33" s="35"/>
    </row>
    <row r="34" spans="2:31">
      <c r="B34" s="223" t="s">
        <v>100</v>
      </c>
      <c r="C34" s="224"/>
      <c r="D34" s="224"/>
      <c r="E34" s="225"/>
      <c r="F34" s="136">
        <v>1</v>
      </c>
      <c r="G34" s="40"/>
      <c r="H34" s="38"/>
      <c r="I34" s="38"/>
      <c r="J34" s="32"/>
      <c r="K34" s="38"/>
      <c r="L34"/>
      <c r="R34"/>
      <c r="S34"/>
      <c r="W34"/>
      <c r="X34"/>
      <c r="Y34"/>
      <c r="Z34"/>
      <c r="AA34"/>
      <c r="AE34" s="35"/>
    </row>
    <row r="35" spans="2:31">
      <c r="B35" s="223" t="s">
        <v>17</v>
      </c>
      <c r="C35" s="224"/>
      <c r="D35" s="224"/>
      <c r="E35" s="225"/>
      <c r="F35" s="136">
        <v>0.97799999999999998</v>
      </c>
      <c r="G35" s="40"/>
      <c r="H35" s="38"/>
      <c r="I35" s="38"/>
      <c r="J35" s="32"/>
      <c r="K35" s="38"/>
      <c r="L35"/>
      <c r="R35"/>
      <c r="S35"/>
      <c r="W35"/>
      <c r="X35"/>
      <c r="Y35"/>
      <c r="Z35"/>
      <c r="AA35"/>
      <c r="AE35" s="35"/>
    </row>
    <row r="36" spans="2:31">
      <c r="B36" s="223" t="s">
        <v>220</v>
      </c>
      <c r="C36" s="224"/>
      <c r="D36" s="137" t="str">
        <f>IF(C5&lt;&gt;"",C5,"")</f>
        <v>1/1/2024</v>
      </c>
      <c r="E36" s="138"/>
      <c r="F36" s="135">
        <f>H30*PRODUCT(F32:F35)</f>
        <v>868.53399999999999</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844.57</v>
      </c>
      <c r="G38" s="40"/>
      <c r="H38" s="38"/>
      <c r="I38" s="38"/>
      <c r="J38" s="32"/>
      <c r="K38" s="38"/>
      <c r="L38"/>
      <c r="R38"/>
      <c r="S38"/>
      <c r="W38"/>
      <c r="X38"/>
      <c r="Y38"/>
      <c r="Z38"/>
      <c r="AA38"/>
      <c r="AE38" s="35"/>
    </row>
    <row r="39" spans="2:31">
      <c r="B39" s="223" t="s">
        <v>219</v>
      </c>
      <c r="C39" s="224"/>
      <c r="D39" s="224"/>
      <c r="E39" s="225"/>
      <c r="F39" s="134">
        <v>0</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t="str">
        <f>IF(C5&lt;&gt;"",C5,"")</f>
        <v>1/1/2024</v>
      </c>
      <c r="E42" s="139"/>
      <c r="F42" s="135">
        <f>ROUND(F39*F36+(1-F39)*F38,2)</f>
        <v>844.57</v>
      </c>
      <c r="G42" s="140">
        <f>F42*F48</f>
        <v>198576142.97</v>
      </c>
      <c r="H42" s="38"/>
      <c r="I42" s="38"/>
      <c r="J42" s="32"/>
      <c r="K42" s="38"/>
      <c r="L42"/>
      <c r="R42"/>
      <c r="S42"/>
      <c r="W42"/>
      <c r="X42"/>
      <c r="Y42"/>
      <c r="Z42"/>
      <c r="AA42"/>
      <c r="AE42" s="35"/>
    </row>
    <row r="43" spans="2:31">
      <c r="B43" s="223" t="s">
        <v>87</v>
      </c>
      <c r="C43" s="224"/>
      <c r="D43" s="224"/>
      <c r="E43" s="225"/>
      <c r="F43" s="133">
        <v>0</v>
      </c>
      <c r="G43" s="140">
        <f>F43*F48</f>
        <v>0</v>
      </c>
      <c r="H43" s="38"/>
      <c r="I43" s="38"/>
      <c r="J43" s="32"/>
      <c r="K43" s="38"/>
      <c r="L43"/>
      <c r="R43"/>
      <c r="S43"/>
      <c r="W43"/>
      <c r="X43"/>
      <c r="Y43"/>
      <c r="Z43"/>
      <c r="AA43"/>
      <c r="AE43" s="35"/>
    </row>
    <row r="44" spans="2:31">
      <c r="B44" s="223" t="s">
        <v>138</v>
      </c>
      <c r="C44" s="224"/>
      <c r="D44" s="224"/>
      <c r="E44" s="225"/>
      <c r="F44" s="133">
        <v>-15.59</v>
      </c>
      <c r="G44" s="140">
        <f>F44*F48</f>
        <v>-3665536.39</v>
      </c>
      <c r="H44" s="38"/>
      <c r="I44" s="38"/>
      <c r="J44" s="32"/>
      <c r="K44" s="38"/>
      <c r="L44"/>
      <c r="R44"/>
      <c r="S44"/>
      <c r="W44"/>
      <c r="X44"/>
      <c r="Y44"/>
      <c r="Z44"/>
      <c r="AA44"/>
      <c r="AE44" s="35"/>
    </row>
    <row r="45" spans="2:31">
      <c r="B45" s="223" t="s">
        <v>102</v>
      </c>
      <c r="C45" s="224"/>
      <c r="D45" s="224"/>
      <c r="E45" s="225"/>
      <c r="F45" s="142">
        <v>0</v>
      </c>
      <c r="G45" s="141">
        <f>F45*F46*F48</f>
        <v>0</v>
      </c>
      <c r="H45" s="38"/>
      <c r="I45" s="38"/>
      <c r="J45" s="32"/>
      <c r="K45" s="38"/>
      <c r="L45"/>
      <c r="R45"/>
      <c r="S45"/>
      <c r="W45"/>
      <c r="X45"/>
      <c r="Y45"/>
      <c r="Z45"/>
      <c r="AA45"/>
      <c r="AE45" s="35"/>
    </row>
    <row r="46" spans="2:31">
      <c r="B46" s="223" t="s">
        <v>122</v>
      </c>
      <c r="C46" s="224"/>
      <c r="D46" s="224"/>
      <c r="E46" s="225"/>
      <c r="F46" s="135">
        <f>(F42-F43-F44)/(1-F45)</f>
        <v>860.16</v>
      </c>
      <c r="G46" s="143">
        <f>F46*F48</f>
        <v>202241679.36000001</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235121</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66" t="s">
        <v>148</v>
      </c>
      <c r="C50" s="266"/>
      <c r="D50" s="266"/>
      <c r="E50" s="266"/>
      <c r="F50" s="266"/>
      <c r="G50" s="266"/>
      <c r="H50" s="266"/>
      <c r="I50" s="266"/>
      <c r="J50" s="266"/>
      <c r="K50" s="266"/>
      <c r="L50" s="266"/>
      <c r="M50" s="266"/>
      <c r="N50" s="266"/>
      <c r="O50" s="266"/>
      <c r="P50" s="266"/>
      <c r="Q50" s="266"/>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66"/>
      <c r="B112" s="266"/>
      <c r="C112" s="266"/>
      <c r="D112" s="266"/>
      <c r="E112" s="266"/>
      <c r="F112" s="266"/>
      <c r="G112" s="266"/>
      <c r="H112" s="266"/>
      <c r="I112" s="266"/>
      <c r="J112" s="266"/>
      <c r="K112" s="266"/>
      <c r="L112" s="266"/>
      <c r="M112" s="266"/>
      <c r="N112" s="266"/>
      <c r="O112" s="266"/>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password="BD7E" sheet="1" objects="1" scenario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S83"/>
  <sheetViews>
    <sheetView showGridLines="0"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45" ht="18.600000000000001" customHeight="1">
      <c r="A1" s="100" t="s">
        <v>226</v>
      </c>
      <c r="C1" s="16" t="s">
        <v>221</v>
      </c>
      <c r="D1" s="16"/>
      <c r="E1" s="3"/>
      <c r="F1" s="3"/>
      <c r="G1" s="3"/>
      <c r="H1" s="4"/>
      <c r="I1" s="1"/>
      <c r="J1" s="1"/>
      <c r="K1" s="1"/>
      <c r="L1" s="1"/>
      <c r="M1" s="1"/>
      <c r="N1" s="1"/>
      <c r="O1" s="1"/>
      <c r="P1" s="98" t="s">
        <v>213</v>
      </c>
      <c r="Q1" s="1"/>
      <c r="S1" s="1"/>
      <c r="T1" s="1"/>
      <c r="U1" s="1"/>
    </row>
    <row r="2" spans="1:45" ht="18.75">
      <c r="C2" s="3"/>
      <c r="D2" s="3"/>
      <c r="E2" s="3"/>
      <c r="F2" s="3"/>
      <c r="G2" s="3"/>
      <c r="H2" s="4"/>
      <c r="I2" s="1"/>
      <c r="J2" s="1"/>
      <c r="K2" s="1"/>
      <c r="L2" s="1"/>
      <c r="M2" s="1"/>
      <c r="N2" s="1"/>
      <c r="O2" s="1"/>
      <c r="P2" s="98" t="s">
        <v>214</v>
      </c>
      <c r="Q2" s="1"/>
      <c r="S2" s="1"/>
      <c r="T2" s="1"/>
      <c r="U2" s="1"/>
    </row>
    <row r="3" spans="1:45" ht="18.75">
      <c r="C3" s="96" t="s">
        <v>5</v>
      </c>
      <c r="D3" s="93" t="str">
        <f>IF('Wksh 1 - Market Experience'!C3&lt;&gt;"", 'Wksh 1 - Market Experience'!C3,"")</f>
        <v/>
      </c>
      <c r="F3" s="6"/>
      <c r="G3" s="6"/>
      <c r="J3" s="1"/>
      <c r="K3" s="1"/>
      <c r="P3" s="99" t="s">
        <v>215</v>
      </c>
    </row>
    <row r="4" spans="1:45" ht="18.75">
      <c r="C4" s="97" t="s">
        <v>6</v>
      </c>
      <c r="D4" s="94" t="str">
        <f>IF('Wksh 1 - Market Experience'!C4&lt;&gt;"", 'Wksh 1 - Market Experience'!C4,"")</f>
        <v/>
      </c>
      <c r="E4" s="96" t="s">
        <v>7</v>
      </c>
      <c r="F4" s="101" t="str">
        <f>IF('Wksh 1 - Market Experience'!E4&lt;&gt;"",'Wksh 1 - Market Experience'!E4,"")</f>
        <v/>
      </c>
      <c r="G4" s="7"/>
      <c r="J4" s="1"/>
      <c r="K4" s="1"/>
      <c r="P4" s="99" t="s">
        <v>216</v>
      </c>
    </row>
    <row r="5" spans="1:45" ht="15.75">
      <c r="C5" s="96" t="s">
        <v>14</v>
      </c>
      <c r="D5" s="95">
        <f>IF('Wksh 1 - Market Experience'!C5&lt;&gt;"", 'Wksh 1 - Market Experience'!C5,"")</f>
        <v>0</v>
      </c>
      <c r="E5" s="96" t="s">
        <v>9</v>
      </c>
      <c r="F5" s="101" t="str">
        <f>IF('Wksh 1 - Market Experience'!E5&lt;&gt;"",'Wksh 1 - Market Experience'!E5,"")</f>
        <v/>
      </c>
      <c r="G5" s="1"/>
      <c r="H5" s="1"/>
      <c r="I5" s="1"/>
      <c r="J5" s="1"/>
      <c r="K5" s="1"/>
      <c r="L5" s="1"/>
      <c r="P5" s="99" t="s">
        <v>223</v>
      </c>
    </row>
    <row r="6" spans="1:45">
      <c r="C6" s="1"/>
      <c r="D6" s="1"/>
      <c r="E6" s="1"/>
      <c r="F6" s="1"/>
      <c r="G6" s="1"/>
      <c r="H6" s="2"/>
      <c r="I6" s="1"/>
      <c r="J6" s="1"/>
      <c r="K6" s="1"/>
      <c r="L6" s="1"/>
      <c r="M6" s="1"/>
      <c r="N6" s="1"/>
      <c r="O6" s="1"/>
      <c r="P6" s="99" t="s">
        <v>224</v>
      </c>
      <c r="Q6" s="1"/>
      <c r="R6" s="1"/>
      <c r="S6" s="1"/>
      <c r="T6" s="1"/>
      <c r="U6" s="1"/>
    </row>
    <row r="7" spans="1:45">
      <c r="C7" s="280" t="s">
        <v>15</v>
      </c>
      <c r="D7" s="281"/>
      <c r="E7" s="281"/>
      <c r="F7" s="281"/>
      <c r="G7" s="281"/>
      <c r="H7" s="281"/>
      <c r="I7" s="281"/>
      <c r="J7" s="281"/>
      <c r="K7" s="281"/>
      <c r="L7" s="281"/>
      <c r="M7" s="281"/>
      <c r="N7" s="281"/>
      <c r="O7" s="281"/>
      <c r="P7" s="281"/>
      <c r="Q7" s="281"/>
      <c r="R7" s="281"/>
      <c r="S7" s="281"/>
      <c r="T7" s="281"/>
      <c r="U7" s="281"/>
      <c r="V7" s="282"/>
    </row>
    <row r="8" spans="1:45">
      <c r="C8" s="283"/>
      <c r="D8" s="284"/>
      <c r="E8" s="284"/>
      <c r="F8" s="284"/>
      <c r="G8" s="284"/>
      <c r="H8" s="284"/>
      <c r="I8" s="284"/>
      <c r="J8" s="284"/>
      <c r="K8" s="284"/>
      <c r="L8" s="284"/>
      <c r="M8" s="284"/>
      <c r="N8" s="284"/>
      <c r="O8" s="284"/>
      <c r="P8" s="284"/>
      <c r="Q8" s="284"/>
      <c r="R8" s="284"/>
      <c r="S8" s="284"/>
      <c r="T8" s="284"/>
      <c r="U8" s="284"/>
      <c r="V8" s="285"/>
    </row>
    <row r="9" spans="1:45">
      <c r="B9" t="s">
        <v>103</v>
      </c>
      <c r="C9" s="19" t="s">
        <v>77</v>
      </c>
      <c r="D9" s="19"/>
      <c r="E9" s="17"/>
      <c r="F9" s="17"/>
      <c r="G9" s="17"/>
      <c r="H9" s="18"/>
      <c r="I9" s="17"/>
      <c r="J9" s="17"/>
      <c r="K9" s="17"/>
      <c r="L9" s="17"/>
      <c r="M9" s="17"/>
      <c r="N9" s="17"/>
      <c r="O9" s="17"/>
      <c r="P9" s="17"/>
      <c r="Q9" s="17"/>
      <c r="R9" s="17"/>
      <c r="S9" s="17"/>
      <c r="T9" s="17"/>
      <c r="U9" s="17"/>
    </row>
    <row r="10" spans="1:45" ht="15" customHeight="1">
      <c r="B10" s="146" t="s">
        <v>155</v>
      </c>
      <c r="C10" s="168" t="s">
        <v>104</v>
      </c>
      <c r="D10" s="220"/>
      <c r="E10" s="286" t="s">
        <v>248</v>
      </c>
      <c r="F10" s="286"/>
      <c r="G10" s="286" t="s">
        <v>255</v>
      </c>
      <c r="H10" s="286"/>
      <c r="I10" s="286"/>
      <c r="J10" s="286"/>
      <c r="K10" s="286"/>
      <c r="L10" s="286"/>
      <c r="M10" s="286"/>
      <c r="N10" s="286"/>
      <c r="O10" s="286"/>
      <c r="P10" s="286"/>
      <c r="Q10" s="286"/>
      <c r="R10" s="286"/>
      <c r="S10" s="286"/>
      <c r="T10" s="286"/>
      <c r="U10" s="286"/>
      <c r="V10" s="286"/>
      <c r="W10" s="286"/>
      <c r="X10" s="286"/>
      <c r="Y10" s="286"/>
      <c r="Z10" s="286"/>
      <c r="AA10" s="286"/>
      <c r="AB10" s="286"/>
      <c r="AC10" s="286"/>
      <c r="AD10" s="286"/>
      <c r="AE10" s="286"/>
      <c r="AF10" s="286"/>
      <c r="AG10" s="286"/>
      <c r="AH10" s="286"/>
      <c r="AI10" s="286"/>
      <c r="AJ10" s="286"/>
      <c r="AK10" s="286"/>
      <c r="AL10" s="286"/>
      <c r="AM10" s="286"/>
      <c r="AN10" s="286"/>
      <c r="AO10" s="286"/>
      <c r="AP10" s="286"/>
      <c r="AQ10" s="286"/>
      <c r="AR10" s="286"/>
      <c r="AS10" s="286"/>
    </row>
    <row r="11" spans="1:45" ht="15" customHeight="1">
      <c r="B11" s="146" t="s">
        <v>156</v>
      </c>
      <c r="C11" s="168" t="s">
        <v>105</v>
      </c>
      <c r="D11" s="221"/>
      <c r="E11" s="286" t="s">
        <v>247</v>
      </c>
      <c r="F11" s="286"/>
      <c r="G11" s="286" t="s">
        <v>254</v>
      </c>
      <c r="H11" s="286"/>
      <c r="I11" s="286"/>
      <c r="J11" s="286"/>
      <c r="K11" s="286"/>
      <c r="L11" s="286"/>
      <c r="M11" s="286"/>
      <c r="N11" s="286"/>
      <c r="O11" s="286"/>
      <c r="P11" s="286"/>
      <c r="Q11" s="286"/>
      <c r="R11" s="286"/>
      <c r="S11" s="286"/>
      <c r="T11" s="286"/>
      <c r="U11" s="286"/>
      <c r="V11" s="286"/>
      <c r="W11" s="286"/>
      <c r="X11" s="286"/>
      <c r="Y11" s="286"/>
      <c r="Z11" s="286"/>
      <c r="AA11" s="286"/>
      <c r="AB11" s="286"/>
      <c r="AC11" s="286"/>
      <c r="AD11" s="286"/>
      <c r="AE11" s="286"/>
      <c r="AF11" s="286"/>
      <c r="AG11" s="286"/>
      <c r="AH11" s="286"/>
      <c r="AI11" s="286"/>
      <c r="AJ11" s="286"/>
      <c r="AK11" s="286"/>
      <c r="AL11" s="286"/>
      <c r="AM11" s="286"/>
      <c r="AN11" s="286"/>
      <c r="AO11" s="286"/>
      <c r="AP11" s="286"/>
      <c r="AQ11" s="286"/>
      <c r="AR11" s="286"/>
      <c r="AS11" s="286"/>
    </row>
    <row r="12" spans="1:45" ht="15" customHeight="1">
      <c r="B12" s="146" t="s">
        <v>157</v>
      </c>
      <c r="C12" s="168" t="s">
        <v>10</v>
      </c>
      <c r="D12" s="221"/>
      <c r="E12" s="179" t="s">
        <v>250</v>
      </c>
      <c r="F12" s="179" t="s">
        <v>253</v>
      </c>
      <c r="G12" s="179" t="s">
        <v>257</v>
      </c>
      <c r="H12" s="179" t="s">
        <v>259</v>
      </c>
      <c r="I12" s="179" t="s">
        <v>261</v>
      </c>
      <c r="J12" s="179" t="s">
        <v>263</v>
      </c>
      <c r="K12" s="179" t="s">
        <v>265</v>
      </c>
      <c r="L12" s="179" t="s">
        <v>267</v>
      </c>
      <c r="M12" s="179" t="s">
        <v>269</v>
      </c>
      <c r="N12" s="179" t="s">
        <v>271</v>
      </c>
      <c r="O12" s="179" t="s">
        <v>273</v>
      </c>
      <c r="P12" s="179" t="s">
        <v>275</v>
      </c>
      <c r="Q12" s="179" t="s">
        <v>277</v>
      </c>
      <c r="R12" s="179" t="s">
        <v>279</v>
      </c>
      <c r="S12" s="179" t="s">
        <v>281</v>
      </c>
      <c r="T12" s="179" t="s">
        <v>283</v>
      </c>
      <c r="U12" s="179" t="s">
        <v>285</v>
      </c>
      <c r="V12" s="179" t="s">
        <v>287</v>
      </c>
      <c r="W12" s="179" t="s">
        <v>289</v>
      </c>
      <c r="X12" s="179" t="s">
        <v>291</v>
      </c>
      <c r="Y12" s="179" t="s">
        <v>293</v>
      </c>
      <c r="Z12" s="179" t="s">
        <v>295</v>
      </c>
      <c r="AA12" s="179" t="s">
        <v>297</v>
      </c>
      <c r="AB12" s="179" t="s">
        <v>299</v>
      </c>
      <c r="AC12" s="179" t="s">
        <v>301</v>
      </c>
      <c r="AD12" s="179" t="s">
        <v>303</v>
      </c>
      <c r="AE12" s="179" t="s">
        <v>305</v>
      </c>
      <c r="AF12" s="179" t="s">
        <v>307</v>
      </c>
      <c r="AG12" s="179" t="s">
        <v>309</v>
      </c>
      <c r="AH12" s="179" t="s">
        <v>311</v>
      </c>
      <c r="AI12" s="179" t="s">
        <v>313</v>
      </c>
      <c r="AJ12" s="179" t="s">
        <v>315</v>
      </c>
      <c r="AK12" s="179" t="s">
        <v>317</v>
      </c>
      <c r="AL12" s="179" t="s">
        <v>319</v>
      </c>
      <c r="AM12" s="179" t="s">
        <v>321</v>
      </c>
      <c r="AN12" s="179" t="s">
        <v>323</v>
      </c>
      <c r="AO12" s="179" t="s">
        <v>325</v>
      </c>
      <c r="AP12" s="179" t="s">
        <v>327</v>
      </c>
      <c r="AQ12" s="179" t="s">
        <v>329</v>
      </c>
      <c r="AR12" s="179" t="s">
        <v>331</v>
      </c>
      <c r="AS12" s="179" t="s">
        <v>333</v>
      </c>
    </row>
    <row r="13" spans="1:45" ht="15" customHeight="1">
      <c r="B13" s="146" t="s">
        <v>158</v>
      </c>
      <c r="C13" s="168" t="s">
        <v>106</v>
      </c>
      <c r="D13" s="221"/>
      <c r="E13" s="180" t="s">
        <v>249</v>
      </c>
      <c r="F13" s="180" t="s">
        <v>252</v>
      </c>
      <c r="G13" s="180" t="s">
        <v>256</v>
      </c>
      <c r="H13" s="180" t="s">
        <v>258</v>
      </c>
      <c r="I13" s="180" t="s">
        <v>260</v>
      </c>
      <c r="J13" s="180" t="s">
        <v>262</v>
      </c>
      <c r="K13" s="180" t="s">
        <v>264</v>
      </c>
      <c r="L13" s="180" t="s">
        <v>266</v>
      </c>
      <c r="M13" s="180" t="s">
        <v>268</v>
      </c>
      <c r="N13" s="180" t="s">
        <v>270</v>
      </c>
      <c r="O13" s="180" t="s">
        <v>272</v>
      </c>
      <c r="P13" s="180" t="s">
        <v>274</v>
      </c>
      <c r="Q13" s="180" t="s">
        <v>276</v>
      </c>
      <c r="R13" s="180" t="s">
        <v>278</v>
      </c>
      <c r="S13" s="180" t="s">
        <v>280</v>
      </c>
      <c r="T13" s="180" t="s">
        <v>282</v>
      </c>
      <c r="U13" s="180" t="s">
        <v>284</v>
      </c>
      <c r="V13" s="180" t="s">
        <v>286</v>
      </c>
      <c r="W13" s="180" t="s">
        <v>288</v>
      </c>
      <c r="X13" s="180" t="s">
        <v>290</v>
      </c>
      <c r="Y13" s="180" t="s">
        <v>292</v>
      </c>
      <c r="Z13" s="180" t="s">
        <v>294</v>
      </c>
      <c r="AA13" s="180" t="s">
        <v>296</v>
      </c>
      <c r="AB13" s="180" t="s">
        <v>298</v>
      </c>
      <c r="AC13" s="180" t="s">
        <v>300</v>
      </c>
      <c r="AD13" s="180" t="s">
        <v>302</v>
      </c>
      <c r="AE13" s="180" t="s">
        <v>304</v>
      </c>
      <c r="AF13" s="180" t="s">
        <v>306</v>
      </c>
      <c r="AG13" s="180" t="s">
        <v>308</v>
      </c>
      <c r="AH13" s="180" t="s">
        <v>310</v>
      </c>
      <c r="AI13" s="180" t="s">
        <v>312</v>
      </c>
      <c r="AJ13" s="180" t="s">
        <v>314</v>
      </c>
      <c r="AK13" s="180" t="s">
        <v>316</v>
      </c>
      <c r="AL13" s="180" t="s">
        <v>318</v>
      </c>
      <c r="AM13" s="180" t="s">
        <v>320</v>
      </c>
      <c r="AN13" s="180" t="s">
        <v>322</v>
      </c>
      <c r="AO13" s="180" t="s">
        <v>324</v>
      </c>
      <c r="AP13" s="180" t="s">
        <v>326</v>
      </c>
      <c r="AQ13" s="180" t="s">
        <v>328</v>
      </c>
      <c r="AR13" s="180" t="s">
        <v>330</v>
      </c>
      <c r="AS13" s="180" t="s">
        <v>332</v>
      </c>
    </row>
    <row r="14" spans="1:45" ht="15" customHeight="1">
      <c r="B14" s="146" t="s">
        <v>159</v>
      </c>
      <c r="C14" s="168" t="s">
        <v>107</v>
      </c>
      <c r="D14" s="221"/>
      <c r="E14" s="181" t="s">
        <v>140</v>
      </c>
      <c r="F14" s="181" t="s">
        <v>140</v>
      </c>
      <c r="G14" s="181" t="s">
        <v>141</v>
      </c>
      <c r="H14" s="181" t="s">
        <v>141</v>
      </c>
      <c r="I14" s="181" t="s">
        <v>141</v>
      </c>
      <c r="J14" s="181" t="s">
        <v>140</v>
      </c>
      <c r="K14" s="181" t="s">
        <v>140</v>
      </c>
      <c r="L14" s="181" t="s">
        <v>139</v>
      </c>
      <c r="M14" s="181" t="s">
        <v>139</v>
      </c>
      <c r="N14" s="181" t="s">
        <v>140</v>
      </c>
      <c r="O14" s="181" t="s">
        <v>139</v>
      </c>
      <c r="P14" s="181" t="s">
        <v>140</v>
      </c>
      <c r="Q14" s="181" t="s">
        <v>140</v>
      </c>
      <c r="R14" s="181" t="s">
        <v>140</v>
      </c>
      <c r="S14" s="181" t="s">
        <v>141</v>
      </c>
      <c r="T14" s="181" t="s">
        <v>141</v>
      </c>
      <c r="U14" s="181" t="s">
        <v>139</v>
      </c>
      <c r="V14" s="181" t="s">
        <v>139</v>
      </c>
      <c r="W14" s="181" t="s">
        <v>140</v>
      </c>
      <c r="X14" s="181" t="s">
        <v>140</v>
      </c>
      <c r="Y14" s="181" t="s">
        <v>140</v>
      </c>
      <c r="Z14" s="181" t="s">
        <v>140</v>
      </c>
      <c r="AA14" s="181" t="s">
        <v>141</v>
      </c>
      <c r="AB14" s="181" t="s">
        <v>142</v>
      </c>
      <c r="AC14" s="181" t="s">
        <v>140</v>
      </c>
      <c r="AD14" s="181" t="s">
        <v>140</v>
      </c>
      <c r="AE14" s="181" t="s">
        <v>141</v>
      </c>
      <c r="AF14" s="181" t="s">
        <v>140</v>
      </c>
      <c r="AG14" s="181" t="s">
        <v>141</v>
      </c>
      <c r="AH14" s="181" t="s">
        <v>140</v>
      </c>
      <c r="AI14" s="181" t="s">
        <v>140</v>
      </c>
      <c r="AJ14" s="181" t="s">
        <v>140</v>
      </c>
      <c r="AK14" s="181" t="s">
        <v>141</v>
      </c>
      <c r="AL14" s="181" t="s">
        <v>141</v>
      </c>
      <c r="AM14" s="181" t="s">
        <v>141</v>
      </c>
      <c r="AN14" s="181" t="s">
        <v>140</v>
      </c>
      <c r="AO14" s="181" t="s">
        <v>140</v>
      </c>
      <c r="AP14" s="181" t="s">
        <v>140</v>
      </c>
      <c r="AQ14" s="181" t="s">
        <v>141</v>
      </c>
      <c r="AR14" s="181" t="s">
        <v>141</v>
      </c>
      <c r="AS14" s="181" t="s">
        <v>141</v>
      </c>
    </row>
    <row r="15" spans="1:45" ht="15" customHeight="1">
      <c r="B15" s="146" t="s">
        <v>160</v>
      </c>
      <c r="C15" s="168" t="s">
        <v>26</v>
      </c>
      <c r="D15" s="221"/>
      <c r="E15" s="182">
        <v>0.77900000000000003</v>
      </c>
      <c r="F15" s="182">
        <v>0.77700000000000002</v>
      </c>
      <c r="G15" s="182">
        <v>0.71799999999999997</v>
      </c>
      <c r="H15" s="182">
        <v>0.71899999999999997</v>
      </c>
      <c r="I15" s="182">
        <v>0.71299999999999997</v>
      </c>
      <c r="J15" s="182">
        <v>0.78400000000000003</v>
      </c>
      <c r="K15" s="182">
        <v>0.80600000000000005</v>
      </c>
      <c r="L15" s="182">
        <v>0.90100000000000002</v>
      </c>
      <c r="M15" s="182">
        <v>0.90700000000000003</v>
      </c>
      <c r="N15" s="182">
        <v>0.81</v>
      </c>
      <c r="O15" s="182">
        <v>0.88800000000000001</v>
      </c>
      <c r="P15" s="182">
        <v>0.80400000000000005</v>
      </c>
      <c r="Q15" s="182">
        <v>0.79900000000000004</v>
      </c>
      <c r="R15" s="182">
        <v>0.80700000000000005</v>
      </c>
      <c r="S15" s="182">
        <v>0.71899999999999997</v>
      </c>
      <c r="T15" s="182">
        <v>0.71899999999999997</v>
      </c>
      <c r="U15" s="182">
        <v>0.90800000000000003</v>
      </c>
      <c r="V15" s="182">
        <v>0.89700000000000002</v>
      </c>
      <c r="W15" s="182">
        <v>0.81299999999999994</v>
      </c>
      <c r="X15" s="182">
        <v>0.80900000000000005</v>
      </c>
      <c r="Y15" s="182">
        <v>0.81399999999999995</v>
      </c>
      <c r="Z15" s="182">
        <v>0.81200000000000006</v>
      </c>
      <c r="AA15" s="182">
        <v>0.71599999999999997</v>
      </c>
      <c r="AB15" s="182">
        <v>0.64400000000000002</v>
      </c>
      <c r="AC15" s="182">
        <v>0.81599999999999995</v>
      </c>
      <c r="AD15" s="182">
        <v>0.78800000000000003</v>
      </c>
      <c r="AE15" s="182">
        <v>0.71499999999999997</v>
      </c>
      <c r="AF15" s="182">
        <v>0.81699999999999995</v>
      </c>
      <c r="AG15" s="182">
        <v>0.70799999999999996</v>
      </c>
      <c r="AH15" s="182">
        <v>0.81699999999999995</v>
      </c>
      <c r="AI15" s="182">
        <v>0.81599999999999995</v>
      </c>
      <c r="AJ15" s="182">
        <v>0.81899999999999995</v>
      </c>
      <c r="AK15" s="182">
        <v>0.66400000000000003</v>
      </c>
      <c r="AL15" s="182">
        <v>0.71</v>
      </c>
      <c r="AM15" s="182">
        <v>0.71</v>
      </c>
      <c r="AN15" s="182">
        <v>0.81799999999999995</v>
      </c>
      <c r="AO15" s="182">
        <v>0.79200000000000004</v>
      </c>
      <c r="AP15" s="182">
        <v>0.81399999999999995</v>
      </c>
      <c r="AQ15" s="182">
        <v>0.71599999999999997</v>
      </c>
      <c r="AR15" s="182">
        <v>0.70399999999999996</v>
      </c>
      <c r="AS15" s="182">
        <v>0.69499999999999995</v>
      </c>
    </row>
    <row r="16" spans="1:45" ht="15" customHeight="1">
      <c r="B16" s="146" t="s">
        <v>161</v>
      </c>
      <c r="C16" s="168" t="s">
        <v>80</v>
      </c>
      <c r="D16" s="221"/>
      <c r="E16" s="179" t="s">
        <v>83</v>
      </c>
      <c r="F16" s="179" t="s">
        <v>83</v>
      </c>
      <c r="G16" s="179" t="s">
        <v>81</v>
      </c>
      <c r="H16" s="179" t="s">
        <v>81</v>
      </c>
      <c r="I16" s="179" t="s">
        <v>81</v>
      </c>
      <c r="J16" s="179" t="s">
        <v>81</v>
      </c>
      <c r="K16" s="179" t="s">
        <v>81</v>
      </c>
      <c r="L16" s="179" t="s">
        <v>82</v>
      </c>
      <c r="M16" s="179" t="s">
        <v>82</v>
      </c>
      <c r="N16" s="179" t="s">
        <v>82</v>
      </c>
      <c r="O16" s="179" t="s">
        <v>82</v>
      </c>
      <c r="P16" s="179" t="s">
        <v>82</v>
      </c>
      <c r="Q16" s="179" t="s">
        <v>82</v>
      </c>
      <c r="R16" s="179" t="s">
        <v>82</v>
      </c>
      <c r="S16" s="179" t="s">
        <v>82</v>
      </c>
      <c r="T16" s="179" t="s">
        <v>82</v>
      </c>
      <c r="U16" s="179" t="s">
        <v>82</v>
      </c>
      <c r="V16" s="179" t="s">
        <v>82</v>
      </c>
      <c r="W16" s="179" t="s">
        <v>82</v>
      </c>
      <c r="X16" s="179" t="s">
        <v>82</v>
      </c>
      <c r="Y16" s="179" t="s">
        <v>82</v>
      </c>
      <c r="Z16" s="179" t="s">
        <v>82</v>
      </c>
      <c r="AA16" s="179" t="s">
        <v>82</v>
      </c>
      <c r="AB16" s="179" t="s">
        <v>82</v>
      </c>
      <c r="AC16" s="179" t="s">
        <v>82</v>
      </c>
      <c r="AD16" s="179" t="s">
        <v>82</v>
      </c>
      <c r="AE16" s="179" t="s">
        <v>82</v>
      </c>
      <c r="AF16" s="179" t="s">
        <v>82</v>
      </c>
      <c r="AG16" s="179" t="s">
        <v>82</v>
      </c>
      <c r="AH16" s="179" t="s">
        <v>82</v>
      </c>
      <c r="AI16" s="179" t="s">
        <v>82</v>
      </c>
      <c r="AJ16" s="179" t="s">
        <v>82</v>
      </c>
      <c r="AK16" s="179" t="s">
        <v>83</v>
      </c>
      <c r="AL16" s="179" t="s">
        <v>83</v>
      </c>
      <c r="AM16" s="179" t="s">
        <v>83</v>
      </c>
      <c r="AN16" s="179" t="s">
        <v>83</v>
      </c>
      <c r="AO16" s="179" t="s">
        <v>83</v>
      </c>
      <c r="AP16" s="179" t="s">
        <v>83</v>
      </c>
      <c r="AQ16" s="179" t="s">
        <v>83</v>
      </c>
      <c r="AR16" s="179" t="s">
        <v>83</v>
      </c>
      <c r="AS16" s="179" t="s">
        <v>83</v>
      </c>
    </row>
    <row r="17" spans="1:45" ht="15" customHeight="1">
      <c r="B17" s="146" t="s">
        <v>154</v>
      </c>
      <c r="C17" s="169" t="s">
        <v>108</v>
      </c>
      <c r="D17" s="221"/>
      <c r="E17" s="179" t="s">
        <v>251</v>
      </c>
      <c r="F17" s="179" t="s">
        <v>251</v>
      </c>
      <c r="G17" s="179" t="s">
        <v>251</v>
      </c>
      <c r="H17" s="179" t="s">
        <v>251</v>
      </c>
      <c r="I17" s="179" t="s">
        <v>251</v>
      </c>
      <c r="J17" s="179" t="s">
        <v>251</v>
      </c>
      <c r="K17" s="179" t="s">
        <v>251</v>
      </c>
      <c r="L17" s="179" t="s">
        <v>251</v>
      </c>
      <c r="M17" s="179" t="s">
        <v>251</v>
      </c>
      <c r="N17" s="179" t="s">
        <v>251</v>
      </c>
      <c r="O17" s="179" t="s">
        <v>251</v>
      </c>
      <c r="P17" s="179" t="s">
        <v>251</v>
      </c>
      <c r="Q17" s="179" t="s">
        <v>251</v>
      </c>
      <c r="R17" s="179" t="s">
        <v>251</v>
      </c>
      <c r="S17" s="179" t="s">
        <v>251</v>
      </c>
      <c r="T17" s="179" t="s">
        <v>251</v>
      </c>
      <c r="U17" s="179" t="s">
        <v>251</v>
      </c>
      <c r="V17" s="179" t="s">
        <v>251</v>
      </c>
      <c r="W17" s="179" t="s">
        <v>251</v>
      </c>
      <c r="X17" s="179" t="s">
        <v>251</v>
      </c>
      <c r="Y17" s="179" t="s">
        <v>251</v>
      </c>
      <c r="Z17" s="179" t="s">
        <v>251</v>
      </c>
      <c r="AA17" s="179" t="s">
        <v>251</v>
      </c>
      <c r="AB17" s="179" t="s">
        <v>251</v>
      </c>
      <c r="AC17" s="179" t="s">
        <v>251</v>
      </c>
      <c r="AD17" s="179" t="s">
        <v>251</v>
      </c>
      <c r="AE17" s="179" t="s">
        <v>251</v>
      </c>
      <c r="AF17" s="179" t="s">
        <v>251</v>
      </c>
      <c r="AG17" s="179" t="s">
        <v>251</v>
      </c>
      <c r="AH17" s="179" t="s">
        <v>251</v>
      </c>
      <c r="AI17" s="179" t="s">
        <v>251</v>
      </c>
      <c r="AJ17" s="179" t="s">
        <v>251</v>
      </c>
      <c r="AK17" s="179" t="s">
        <v>251</v>
      </c>
      <c r="AL17" s="179" t="s">
        <v>251</v>
      </c>
      <c r="AM17" s="179" t="s">
        <v>251</v>
      </c>
      <c r="AN17" s="179" t="s">
        <v>251</v>
      </c>
      <c r="AO17" s="179" t="s">
        <v>251</v>
      </c>
      <c r="AP17" s="179" t="s">
        <v>251</v>
      </c>
      <c r="AQ17" s="179" t="s">
        <v>251</v>
      </c>
      <c r="AR17" s="179" t="s">
        <v>251</v>
      </c>
      <c r="AS17" s="179" t="s">
        <v>251</v>
      </c>
    </row>
    <row r="18" spans="1:45" ht="15" customHeight="1">
      <c r="B18" s="146" t="s">
        <v>153</v>
      </c>
      <c r="C18" s="168" t="s">
        <v>16</v>
      </c>
      <c r="D18" s="221"/>
      <c r="E18" s="183" t="s">
        <v>146</v>
      </c>
      <c r="F18" s="183" t="s">
        <v>146</v>
      </c>
      <c r="G18" s="183" t="s">
        <v>146</v>
      </c>
      <c r="H18" s="183" t="s">
        <v>146</v>
      </c>
      <c r="I18" s="183" t="s">
        <v>146</v>
      </c>
      <c r="J18" s="183" t="s">
        <v>146</v>
      </c>
      <c r="K18" s="183" t="s">
        <v>146</v>
      </c>
      <c r="L18" s="183" t="s">
        <v>146</v>
      </c>
      <c r="M18" s="183" t="s">
        <v>146</v>
      </c>
      <c r="N18" s="183" t="s">
        <v>146</v>
      </c>
      <c r="O18" s="183" t="s">
        <v>146</v>
      </c>
      <c r="P18" s="183" t="s">
        <v>146</v>
      </c>
      <c r="Q18" s="183" t="s">
        <v>146</v>
      </c>
      <c r="R18" s="183" t="s">
        <v>146</v>
      </c>
      <c r="S18" s="183" t="s">
        <v>146</v>
      </c>
      <c r="T18" s="183" t="s">
        <v>146</v>
      </c>
      <c r="U18" s="183" t="s">
        <v>146</v>
      </c>
      <c r="V18" s="183" t="s">
        <v>146</v>
      </c>
      <c r="W18" s="183" t="s">
        <v>146</v>
      </c>
      <c r="X18" s="183" t="s">
        <v>146</v>
      </c>
      <c r="Y18" s="183" t="s">
        <v>146</v>
      </c>
      <c r="Z18" s="183" t="s">
        <v>146</v>
      </c>
      <c r="AA18" s="183" t="s">
        <v>146</v>
      </c>
      <c r="AB18" s="183" t="s">
        <v>146</v>
      </c>
      <c r="AC18" s="183" t="s">
        <v>146</v>
      </c>
      <c r="AD18" s="183" t="s">
        <v>146</v>
      </c>
      <c r="AE18" s="183" t="s">
        <v>146</v>
      </c>
      <c r="AF18" s="183" t="s">
        <v>146</v>
      </c>
      <c r="AG18" s="183" t="s">
        <v>146</v>
      </c>
      <c r="AH18" s="183" t="s">
        <v>146</v>
      </c>
      <c r="AI18" s="183" t="s">
        <v>146</v>
      </c>
      <c r="AJ18" s="183" t="s">
        <v>146</v>
      </c>
      <c r="AK18" s="183" t="s">
        <v>146</v>
      </c>
      <c r="AL18" s="183" t="s">
        <v>146</v>
      </c>
      <c r="AM18" s="183" t="s">
        <v>146</v>
      </c>
      <c r="AN18" s="183" t="s">
        <v>146</v>
      </c>
      <c r="AO18" s="183" t="s">
        <v>146</v>
      </c>
      <c r="AP18" s="183" t="s">
        <v>146</v>
      </c>
      <c r="AQ18" s="183" t="s">
        <v>146</v>
      </c>
      <c r="AR18" s="183" t="s">
        <v>146</v>
      </c>
      <c r="AS18" s="183" t="s">
        <v>146</v>
      </c>
    </row>
    <row r="19" spans="1:45" ht="15" customHeight="1">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c r="Z19" s="184">
        <v>45292</v>
      </c>
      <c r="AA19" s="184">
        <v>45292</v>
      </c>
      <c r="AB19" s="184">
        <v>45292</v>
      </c>
      <c r="AC19" s="184">
        <v>45292</v>
      </c>
      <c r="AD19" s="184">
        <v>45292</v>
      </c>
      <c r="AE19" s="184">
        <v>45292</v>
      </c>
      <c r="AF19" s="184">
        <v>45292</v>
      </c>
      <c r="AG19" s="184">
        <v>45292</v>
      </c>
      <c r="AH19" s="184">
        <v>45292</v>
      </c>
      <c r="AI19" s="184">
        <v>45292</v>
      </c>
      <c r="AJ19" s="184">
        <v>45292</v>
      </c>
      <c r="AK19" s="184">
        <v>45292</v>
      </c>
      <c r="AL19" s="184">
        <v>45292</v>
      </c>
      <c r="AM19" s="184">
        <v>45292</v>
      </c>
      <c r="AN19" s="184">
        <v>45292</v>
      </c>
      <c r="AO19" s="184">
        <v>45292</v>
      </c>
      <c r="AP19" s="184">
        <v>45292</v>
      </c>
      <c r="AQ19" s="184">
        <v>45292</v>
      </c>
      <c r="AR19" s="184">
        <v>45292</v>
      </c>
      <c r="AS19" s="184">
        <v>45292</v>
      </c>
    </row>
    <row r="20" spans="1:45" ht="15" customHeight="1">
      <c r="B20" s="146" t="s">
        <v>150</v>
      </c>
      <c r="C20" s="168" t="s">
        <v>109</v>
      </c>
      <c r="D20" s="221"/>
      <c r="E20" s="185">
        <v>0</v>
      </c>
      <c r="F20" s="185">
        <v>0</v>
      </c>
      <c r="G20" s="185">
        <v>0</v>
      </c>
      <c r="H20" s="185">
        <v>0</v>
      </c>
      <c r="I20" s="185">
        <v>0</v>
      </c>
      <c r="J20" s="185">
        <v>0</v>
      </c>
      <c r="K20" s="185">
        <v>0</v>
      </c>
      <c r="L20" s="185">
        <v>9.3600000000000003E-2</v>
      </c>
      <c r="M20" s="185">
        <v>0.1593</v>
      </c>
      <c r="N20" s="185">
        <v>0.13639999999999999</v>
      </c>
      <c r="O20" s="185">
        <v>0.1517</v>
      </c>
      <c r="P20" s="185">
        <v>0.14480000000000001</v>
      </c>
      <c r="Q20" s="185">
        <v>0.14729999999999999</v>
      </c>
      <c r="R20" s="185">
        <v>0.1135</v>
      </c>
      <c r="S20" s="185">
        <v>9.4100000000000003E-2</v>
      </c>
      <c r="T20" s="185">
        <v>0.1045</v>
      </c>
      <c r="U20" s="185">
        <v>0.1391</v>
      </c>
      <c r="V20" s="185">
        <v>0.14080000000000001</v>
      </c>
      <c r="W20" s="185">
        <v>0.12809999999999999</v>
      </c>
      <c r="X20" s="185">
        <v>0.13100000000000001</v>
      </c>
      <c r="Y20" s="185">
        <v>0.1111</v>
      </c>
      <c r="Z20" s="185">
        <v>0.1137</v>
      </c>
      <c r="AA20" s="185">
        <v>0.1036</v>
      </c>
      <c r="AB20" s="185">
        <v>5.04E-2</v>
      </c>
      <c r="AC20" s="185">
        <v>0.14580000000000001</v>
      </c>
      <c r="AD20" s="185">
        <v>0.1431</v>
      </c>
      <c r="AE20" s="185">
        <v>0.1263</v>
      </c>
      <c r="AF20" s="185">
        <v>0.14960000000000001</v>
      </c>
      <c r="AG20" s="185">
        <v>0.1288</v>
      </c>
      <c r="AH20" s="185">
        <v>0.1176</v>
      </c>
      <c r="AI20" s="185">
        <v>0.1386</v>
      </c>
      <c r="AJ20" s="185">
        <v>8.0199999999999994E-2</v>
      </c>
      <c r="AK20" s="185">
        <v>0</v>
      </c>
      <c r="AL20" s="185">
        <v>0</v>
      </c>
      <c r="AM20" s="185">
        <v>0</v>
      </c>
      <c r="AN20" s="185">
        <v>0</v>
      </c>
      <c r="AO20" s="185">
        <v>0</v>
      </c>
      <c r="AP20" s="185">
        <v>0</v>
      </c>
      <c r="AQ20" s="185">
        <v>0</v>
      </c>
      <c r="AR20" s="185">
        <v>0</v>
      </c>
      <c r="AS20" s="185">
        <v>0</v>
      </c>
    </row>
    <row r="21" spans="1:45" ht="15" customHeight="1">
      <c r="B21" s="146" t="s">
        <v>151</v>
      </c>
      <c r="C21" s="168" t="s">
        <v>84</v>
      </c>
      <c r="D21" s="221"/>
      <c r="E21" s="287">
        <f>IF(SUMPRODUCT((E16:F16="Renewing")*((E14:F14="Platinum")+(E14:F14="Gold")+(E14:F14="Silver")+(E14:F14="Bronze")+(E14:F14="Catastrophic")))=0, 0, ROUND(ROUND(SUMPRODUCT(1+E20:F20,E34:F34,E35:F35,--(E16:F16="Renewing")*((E14:F14="Platinum")+(E14:F14="Gold")+(E14:F14="Silver")+(E14:F14="Bronze")+(E14:F14="Catastrophic")))/SUMPRODUCT(E34:F34,E35:F35,--(E16:F16="Renewing")*((E14:F14="Platinum")+(E14:F14="Gold")+(E14:F14="Silver")+(E14:F14="Bronze")+(E14:F14="Catastrophic"))), 4)-1, 4))</f>
        <v>0</v>
      </c>
      <c r="F21" s="287"/>
      <c r="G21" s="287">
        <f>IF(SUMPRODUCT((G16:AS16="Renewing")*((G14:AS14="Platinum")+(G14:AS14="Gold")+(G14:AS14="Silver")+(G14:AS14="Bronze")+(G14:AS14="Catastrophic")))=0, 0, ROUND(ROUND(SUMPRODUCT(1+G20:AS20,G34:AS34,G35:AS35,--(G16:AS16="Renewing")*((G14:AS14="Platinum")+(G14:AS14="Gold")+(G14:AS14="Silver")+(G14:AS14="Bronze")+(G14:AS14="Catastrophic")))/SUMPRODUCT(G34:AS34,G35:AS35,--(G16:AS16="Renewing")*((G14:AS14="Platinum")+(G14:AS14="Gold")+(G14:AS14="Silver")+(G14:AS14="Bronze")+(G14:AS14="Catastrophic"))), 4)-1, 4))</f>
        <v>0</v>
      </c>
      <c r="H21" s="287"/>
      <c r="I21" s="287"/>
      <c r="J21" s="287"/>
      <c r="K21" s="287"/>
      <c r="L21" s="287"/>
      <c r="M21" s="287"/>
      <c r="N21" s="287"/>
      <c r="O21" s="287"/>
      <c r="P21" s="287"/>
      <c r="Q21" s="287"/>
      <c r="R21" s="287"/>
      <c r="S21" s="287"/>
      <c r="T21" s="287"/>
      <c r="U21" s="287"/>
      <c r="V21" s="287"/>
      <c r="W21" s="287"/>
      <c r="X21" s="287"/>
      <c r="Y21" s="287"/>
      <c r="Z21" s="287"/>
      <c r="AA21" s="287"/>
      <c r="AB21" s="287"/>
      <c r="AC21" s="287"/>
      <c r="AD21" s="287"/>
      <c r="AE21" s="287"/>
      <c r="AF21" s="287"/>
      <c r="AG21" s="287"/>
      <c r="AH21" s="287"/>
      <c r="AI21" s="287"/>
      <c r="AJ21" s="287"/>
      <c r="AK21" s="287"/>
      <c r="AL21" s="287"/>
      <c r="AM21" s="287"/>
      <c r="AN21" s="287"/>
      <c r="AO21" s="287"/>
      <c r="AP21" s="287"/>
      <c r="AQ21" s="287"/>
      <c r="AR21" s="287"/>
      <c r="AS21" s="287"/>
    </row>
    <row r="22" spans="1:45" ht="15" customHeight="1">
      <c r="B22" s="148" t="s">
        <v>152</v>
      </c>
      <c r="C22" s="139" t="s">
        <v>212</v>
      </c>
      <c r="D22" s="222"/>
      <c r="E22" s="287">
        <f>IF(SUMPRODUCT((E16:AS16="Renewing")*((E14:AS14="Platinum")+(E14:AS14="Gold")+(E14:AS14="Silver")+(E14:AS14="Bronze")+(E14:AS14="Catastrophic")))=0, 0, ROUND(ROUND(SUMPRODUCT(1+E20:AS20,E34:AS34,E35:AS35,--(E16:AS16="Renewing")*((E14:AS14="Platinum")+(E14:AS14="Gold")+(E14:AS14="Silver")+(E14:AS14="Bronze")+(E14:AS14="Catastrophic")))/SUMPRODUCT(E34:AS34,E35:AS35,--(E16:AS16="Renewing")*((E14:AS14="Platinum")+(E14:AS14="Gold")+(E14:AS14="Silver")+(E14:AS14="Bronze")+(E14:AS14="Catastrophic"))), 4)-1, 4))</f>
        <v>0</v>
      </c>
      <c r="F22" s="287"/>
      <c r="G22" s="287"/>
      <c r="H22" s="287"/>
      <c r="I22" s="287"/>
      <c r="J22" s="287"/>
      <c r="K22" s="287"/>
      <c r="L22" s="287"/>
      <c r="M22" s="287"/>
      <c r="N22" s="287"/>
      <c r="O22" s="287"/>
      <c r="P22" s="287"/>
      <c r="Q22" s="287"/>
      <c r="R22" s="287"/>
      <c r="S22" s="287"/>
      <c r="T22" s="287"/>
      <c r="U22" s="287"/>
      <c r="V22" s="287"/>
      <c r="W22" s="287"/>
      <c r="X22" s="287"/>
      <c r="Y22" s="287"/>
      <c r="Z22" s="287"/>
      <c r="AA22" s="287"/>
      <c r="AB22" s="287"/>
      <c r="AC22" s="287"/>
      <c r="AD22" s="287"/>
      <c r="AE22" s="287"/>
      <c r="AF22" s="287"/>
      <c r="AG22" s="287"/>
      <c r="AH22" s="287"/>
      <c r="AI22" s="287"/>
      <c r="AJ22" s="287"/>
      <c r="AK22" s="287"/>
      <c r="AL22" s="287"/>
      <c r="AM22" s="287"/>
      <c r="AN22" s="287"/>
      <c r="AO22" s="287"/>
      <c r="AP22" s="287"/>
      <c r="AQ22" s="287"/>
      <c r="AR22" s="287"/>
      <c r="AS22" s="287"/>
    </row>
    <row r="23" spans="1:45" ht="15" customHeight="1"/>
    <row r="24" spans="1:45" ht="15" customHeight="1">
      <c r="A24" s="71" t="s">
        <v>119</v>
      </c>
      <c r="C24" s="19" t="s">
        <v>110</v>
      </c>
      <c r="D24" s="19"/>
    </row>
    <row r="25" spans="1:45" ht="15" customHeight="1">
      <c r="A25" s="149"/>
      <c r="B25" s="146" t="s">
        <v>162</v>
      </c>
      <c r="C25" s="152" t="s">
        <v>106</v>
      </c>
      <c r="D25" s="150" t="s">
        <v>2</v>
      </c>
      <c r="E25" s="90">
        <f t="shared" ref="E25:AS25" si="0">E13</f>
        <v>0</v>
      </c>
      <c r="F25" s="90">
        <f t="shared" si="0"/>
        <v>0</v>
      </c>
      <c r="G25" s="90">
        <f t="shared" si="0"/>
        <v>0</v>
      </c>
      <c r="H25" s="90">
        <f t="shared" si="0"/>
        <v>0</v>
      </c>
      <c r="I25" s="90">
        <f t="shared" si="0"/>
        <v>0</v>
      </c>
      <c r="J25" s="90">
        <f t="shared" si="0"/>
        <v>0</v>
      </c>
      <c r="K25" s="90">
        <f t="shared" si="0"/>
        <v>0</v>
      </c>
      <c r="L25" s="90">
        <f t="shared" si="0"/>
        <v>0</v>
      </c>
      <c r="M25" s="90">
        <f t="shared" si="0"/>
        <v>0</v>
      </c>
      <c r="N25" s="90">
        <f t="shared" si="0"/>
        <v>0</v>
      </c>
      <c r="O25" s="90">
        <f t="shared" si="0"/>
        <v>0</v>
      </c>
      <c r="P25" s="90">
        <f t="shared" si="0"/>
        <v>0</v>
      </c>
      <c r="Q25" s="90">
        <f t="shared" si="0"/>
        <v>0</v>
      </c>
      <c r="R25" s="90">
        <f t="shared" si="0"/>
        <v>0</v>
      </c>
      <c r="S25" s="90">
        <f t="shared" si="0"/>
        <v>0</v>
      </c>
      <c r="T25" s="90">
        <f t="shared" si="0"/>
        <v>0</v>
      </c>
      <c r="U25" s="90">
        <f t="shared" si="0"/>
        <v>0</v>
      </c>
      <c r="V25" s="90">
        <f t="shared" si="0"/>
        <v>0</v>
      </c>
      <c r="W25" s="90">
        <f t="shared" si="0"/>
        <v>0</v>
      </c>
      <c r="X25" s="90">
        <f t="shared" si="0"/>
        <v>0</v>
      </c>
      <c r="Y25" s="90">
        <f t="shared" si="0"/>
        <v>0</v>
      </c>
      <c r="Z25" s="90">
        <f t="shared" si="0"/>
        <v>0</v>
      </c>
      <c r="AA25" s="90">
        <f t="shared" si="0"/>
        <v>0</v>
      </c>
      <c r="AB25" s="90">
        <f t="shared" si="0"/>
        <v>0</v>
      </c>
      <c r="AC25" s="90">
        <f t="shared" si="0"/>
        <v>0</v>
      </c>
      <c r="AD25" s="90">
        <f t="shared" si="0"/>
        <v>0</v>
      </c>
      <c r="AE25" s="90">
        <f t="shared" si="0"/>
        <v>0</v>
      </c>
      <c r="AF25" s="90">
        <f t="shared" si="0"/>
        <v>0</v>
      </c>
      <c r="AG25" s="90">
        <f t="shared" si="0"/>
        <v>0</v>
      </c>
      <c r="AH25" s="90">
        <f t="shared" si="0"/>
        <v>0</v>
      </c>
      <c r="AI25" s="90">
        <f t="shared" si="0"/>
        <v>0</v>
      </c>
      <c r="AJ25" s="90">
        <f t="shared" si="0"/>
        <v>0</v>
      </c>
      <c r="AK25" s="90">
        <f t="shared" si="0"/>
        <v>0</v>
      </c>
      <c r="AL25" s="90">
        <f t="shared" si="0"/>
        <v>0</v>
      </c>
      <c r="AM25" s="90">
        <f t="shared" si="0"/>
        <v>0</v>
      </c>
      <c r="AN25" s="90">
        <f t="shared" si="0"/>
        <v>0</v>
      </c>
      <c r="AO25" s="90">
        <f t="shared" si="0"/>
        <v>0</v>
      </c>
      <c r="AP25" s="90">
        <f t="shared" si="0"/>
        <v>0</v>
      </c>
      <c r="AQ25" s="90">
        <f t="shared" si="0"/>
        <v>0</v>
      </c>
      <c r="AR25" s="90">
        <f t="shared" si="0"/>
        <v>0</v>
      </c>
      <c r="AS25" s="90">
        <f t="shared" si="0"/>
        <v>0</v>
      </c>
    </row>
    <row r="26" spans="1:45" ht="15" customHeight="1">
      <c r="A26" s="151">
        <f>'Wksh 1 - Market Experience'!E14</f>
        <v>0</v>
      </c>
      <c r="B26" s="146" t="s">
        <v>163</v>
      </c>
      <c r="C26" s="200" t="s">
        <v>86</v>
      </c>
      <c r="D26" s="198">
        <f>SUM(E26:XFD26)</f>
        <v>156121778.16</v>
      </c>
      <c r="E26" s="187">
        <f>18835.93</f>
        <v>0</v>
      </c>
      <c r="F26" s="187">
        <f>0</f>
        <v>0</v>
      </c>
      <c r="G26" s="187">
        <f>0</f>
        <v>0</v>
      </c>
      <c r="H26" s="187">
        <f>0</f>
        <v>0</v>
      </c>
      <c r="I26" s="187">
        <f>0</f>
        <v>0</v>
      </c>
      <c r="J26" s="187">
        <f>0</f>
        <v>0</v>
      </c>
      <c r="K26" s="187">
        <f>0</f>
        <v>0</v>
      </c>
      <c r="L26" s="187">
        <f>5905864.82</f>
        <v>0</v>
      </c>
      <c r="M26" s="187">
        <f>9438073.78</f>
        <v>0</v>
      </c>
      <c r="N26" s="187">
        <f>8775310.52</f>
        <v>0</v>
      </c>
      <c r="O26" s="187">
        <f>15164977.06</f>
        <v>0</v>
      </c>
      <c r="P26" s="187">
        <f>7773999.75</f>
        <v>0</v>
      </c>
      <c r="Q26" s="187">
        <f>4243833.24</f>
        <v>0</v>
      </c>
      <c r="R26" s="187">
        <f>17026930.9</f>
        <v>0</v>
      </c>
      <c r="S26" s="187">
        <f>21729026.81</f>
        <v>0</v>
      </c>
      <c r="T26" s="187">
        <f>13077837.66</f>
        <v>0</v>
      </c>
      <c r="U26" s="187">
        <f>824600.63</f>
        <v>0</v>
      </c>
      <c r="V26" s="187">
        <f>315473.57</f>
        <v>0</v>
      </c>
      <c r="W26" s="187">
        <f>55294.96</f>
        <v>0</v>
      </c>
      <c r="X26" s="187">
        <f>21906.13</f>
        <v>0</v>
      </c>
      <c r="Y26" s="187">
        <f>1659334.79</f>
        <v>0</v>
      </c>
      <c r="Z26" s="187">
        <f>8732438.71</f>
        <v>0</v>
      </c>
      <c r="AA26" s="187">
        <f>3233753.29</f>
        <v>0</v>
      </c>
      <c r="AB26" s="187">
        <f>8871054.48</f>
        <v>0</v>
      </c>
      <c r="AC26" s="187">
        <f>3160627.19</f>
        <v>0</v>
      </c>
      <c r="AD26" s="187">
        <f>1468818.65</f>
        <v>0</v>
      </c>
      <c r="AE26" s="187">
        <f>6897359.98</f>
        <v>0</v>
      </c>
      <c r="AF26" s="187">
        <f>2514293.51</f>
        <v>0</v>
      </c>
      <c r="AG26" s="187">
        <f>770117.43</f>
        <v>0</v>
      </c>
      <c r="AH26" s="187">
        <f>163485.68</f>
        <v>0</v>
      </c>
      <c r="AI26" s="187">
        <f>424823.11</f>
        <v>0</v>
      </c>
      <c r="AJ26" s="187">
        <f>0</f>
        <v>0</v>
      </c>
      <c r="AK26" s="187">
        <f>980841.76</f>
        <v>0</v>
      </c>
      <c r="AL26" s="187">
        <f>3119718.81</f>
        <v>0</v>
      </c>
      <c r="AM26" s="187">
        <f>883899.63</f>
        <v>0</v>
      </c>
      <c r="AN26" s="187">
        <f>530709.1</f>
        <v>0</v>
      </c>
      <c r="AO26" s="187">
        <f>2233293.68</f>
        <v>0</v>
      </c>
      <c r="AP26" s="187">
        <f>2309479.52</f>
        <v>0</v>
      </c>
      <c r="AQ26" s="187">
        <f>934043.32</f>
        <v>0</v>
      </c>
      <c r="AR26" s="187">
        <f>1255882.97</f>
        <v>0</v>
      </c>
      <c r="AS26" s="187">
        <f>1605836.79</f>
        <v>0</v>
      </c>
    </row>
    <row r="27" spans="1:45" ht="15" customHeight="1">
      <c r="A27" s="153">
        <f>'Wksh 1 - Market Experience'!E15</f>
        <v>0</v>
      </c>
      <c r="B27" s="146" t="s">
        <v>164</v>
      </c>
      <c r="C27" s="200" t="s">
        <v>87</v>
      </c>
      <c r="D27" s="198">
        <f>SUM(E27:XFD27)</f>
        <v>0</v>
      </c>
      <c r="E27" s="187">
        <f>0</f>
        <v>0</v>
      </c>
      <c r="F27" s="187">
        <f>0</f>
        <v>0</v>
      </c>
      <c r="G27" s="187">
        <f>0</f>
        <v>0</v>
      </c>
      <c r="H27" s="187">
        <f>0</f>
        <v>0</v>
      </c>
      <c r="I27" s="187">
        <f>0</f>
        <v>0</v>
      </c>
      <c r="J27" s="187">
        <f>0</f>
        <v>0</v>
      </c>
      <c r="K27" s="187">
        <f>0</f>
        <v>0</v>
      </c>
      <c r="L27" s="187">
        <f>0</f>
        <v>0</v>
      </c>
      <c r="M27" s="187">
        <f>0</f>
        <v>0</v>
      </c>
      <c r="N27" s="187">
        <f>0</f>
        <v>0</v>
      </c>
      <c r="O27" s="187">
        <f>0</f>
        <v>0</v>
      </c>
      <c r="P27" s="187">
        <f>0</f>
        <v>0</v>
      </c>
      <c r="Q27" s="187">
        <f>0</f>
        <v>0</v>
      </c>
      <c r="R27" s="187">
        <f>0</f>
        <v>0</v>
      </c>
      <c r="S27" s="187">
        <f>0</f>
        <v>0</v>
      </c>
      <c r="T27" s="187">
        <f>0</f>
        <v>0</v>
      </c>
      <c r="U27" s="187">
        <f>0</f>
        <v>0</v>
      </c>
      <c r="V27" s="187">
        <f>0</f>
        <v>0</v>
      </c>
      <c r="W27" s="187">
        <f>0</f>
        <v>0</v>
      </c>
      <c r="X27" s="187">
        <f>0</f>
        <v>0</v>
      </c>
      <c r="Y27" s="187">
        <f>0</f>
        <v>0</v>
      </c>
      <c r="Z27" s="187">
        <f>0</f>
        <v>0</v>
      </c>
      <c r="AA27" s="187">
        <f>0</f>
        <v>0</v>
      </c>
      <c r="AB27" s="187">
        <f>0</f>
        <v>0</v>
      </c>
      <c r="AC27" s="187">
        <f>0</f>
        <v>0</v>
      </c>
      <c r="AD27" s="187">
        <f>0</f>
        <v>0</v>
      </c>
      <c r="AE27" s="187">
        <f>0</f>
        <v>0</v>
      </c>
      <c r="AF27" s="187">
        <f>0</f>
        <v>0</v>
      </c>
      <c r="AG27" s="187">
        <f>0</f>
        <v>0</v>
      </c>
      <c r="AH27" s="187">
        <f>0</f>
        <v>0</v>
      </c>
      <c r="AI27" s="187">
        <f>0</f>
        <v>0</v>
      </c>
      <c r="AJ27" s="187">
        <f>0</f>
        <v>0</v>
      </c>
      <c r="AK27" s="187">
        <f>0</f>
        <v>0</v>
      </c>
      <c r="AL27" s="187">
        <f>0</f>
        <v>0</v>
      </c>
      <c r="AM27" s="187">
        <f>0</f>
        <v>0</v>
      </c>
      <c r="AN27" s="187">
        <f>0</f>
        <v>0</v>
      </c>
      <c r="AO27" s="187">
        <f>0</f>
        <v>0</v>
      </c>
      <c r="AP27" s="187">
        <f>0</f>
        <v>0</v>
      </c>
      <c r="AQ27" s="187">
        <f>0</f>
        <v>0</v>
      </c>
      <c r="AR27" s="187">
        <f>0</f>
        <v>0</v>
      </c>
      <c r="AS27" s="187">
        <f>0</f>
        <v>0</v>
      </c>
    </row>
    <row r="28" spans="1:45" ht="15" customHeight="1">
      <c r="A28" s="154"/>
      <c r="B28" s="146" t="s">
        <v>165</v>
      </c>
      <c r="C28" s="147" t="s">
        <v>111</v>
      </c>
      <c r="D28" s="201">
        <f>SUM(E28:XFD28)</f>
        <v>25589412.010000002</v>
      </c>
      <c r="E28" s="187">
        <f>6727.49</f>
        <v>0</v>
      </c>
      <c r="F28" s="187">
        <f>0</f>
        <v>0</v>
      </c>
      <c r="G28" s="187">
        <f>0</f>
        <v>0</v>
      </c>
      <c r="H28" s="187">
        <f>0</f>
        <v>0</v>
      </c>
      <c r="I28" s="187">
        <f>0</f>
        <v>0</v>
      </c>
      <c r="J28" s="187">
        <f>0</f>
        <v>0</v>
      </c>
      <c r="K28" s="187">
        <f>0</f>
        <v>0</v>
      </c>
      <c r="L28" s="187">
        <f>462893.48</f>
        <v>0</v>
      </c>
      <c r="M28" s="187">
        <f>826995.8</f>
        <v>0</v>
      </c>
      <c r="N28" s="187">
        <f>1328242.16</f>
        <v>0</v>
      </c>
      <c r="O28" s="187">
        <f>1282738.6</f>
        <v>0</v>
      </c>
      <c r="P28" s="187">
        <f>1356659.18</f>
        <v>0</v>
      </c>
      <c r="Q28" s="187">
        <f>551512.06</f>
        <v>0</v>
      </c>
      <c r="R28" s="187">
        <f>2816135.08</f>
        <v>0</v>
      </c>
      <c r="S28" s="187">
        <f>4482928.55</f>
        <v>0</v>
      </c>
      <c r="T28" s="187">
        <f>3035778.39</f>
        <v>0</v>
      </c>
      <c r="U28" s="187">
        <f>68809.9</f>
        <v>0</v>
      </c>
      <c r="V28" s="187">
        <f>11572.89</f>
        <v>0</v>
      </c>
      <c r="W28" s="187">
        <f>14468.41</f>
        <v>0</v>
      </c>
      <c r="X28" s="187">
        <f>6919.79</f>
        <v>0</v>
      </c>
      <c r="Y28" s="187">
        <f>362311.64</f>
        <v>0</v>
      </c>
      <c r="Z28" s="187">
        <f>1322470.16</f>
        <v>0</v>
      </c>
      <c r="AA28" s="187">
        <f>748863.28</f>
        <v>0</v>
      </c>
      <c r="AB28" s="187">
        <f>1123237.07</f>
        <v>0</v>
      </c>
      <c r="AC28" s="187">
        <f>495921.16</f>
        <v>0</v>
      </c>
      <c r="AD28" s="187">
        <f>310366.26</f>
        <v>0</v>
      </c>
      <c r="AE28" s="187">
        <f>1881516.58</f>
        <v>0</v>
      </c>
      <c r="AF28" s="187">
        <f>258129.72</f>
        <v>0</v>
      </c>
      <c r="AG28" s="187">
        <f>181313.4</f>
        <v>0</v>
      </c>
      <c r="AH28" s="187">
        <f>15448.68</f>
        <v>0</v>
      </c>
      <c r="AI28" s="187">
        <f>63567.91</f>
        <v>0</v>
      </c>
      <c r="AJ28" s="187">
        <f>0</f>
        <v>0</v>
      </c>
      <c r="AK28" s="187">
        <f>229083.02</f>
        <v>0</v>
      </c>
      <c r="AL28" s="187">
        <f>334976.93</f>
        <v>0</v>
      </c>
      <c r="AM28" s="187">
        <f>206312.18</f>
        <v>0</v>
      </c>
      <c r="AN28" s="187">
        <f>75493.78</f>
        <v>0</v>
      </c>
      <c r="AO28" s="187">
        <f>362038.44</f>
        <v>0</v>
      </c>
      <c r="AP28" s="187">
        <f>418994.81</f>
        <v>0</v>
      </c>
      <c r="AQ28" s="187">
        <f>256875.95</f>
        <v>0</v>
      </c>
      <c r="AR28" s="187">
        <f>298121.52</f>
        <v>0</v>
      </c>
      <c r="AS28" s="187">
        <f>391987.74</f>
        <v>0</v>
      </c>
    </row>
    <row r="29" spans="1:45" ht="15" customHeight="1">
      <c r="A29" s="154"/>
      <c r="B29" s="146" t="s">
        <v>166</v>
      </c>
      <c r="C29" s="156" t="s">
        <v>112</v>
      </c>
      <c r="D29" s="201">
        <f>SUM(E29:XFD29)</f>
        <v>0</v>
      </c>
      <c r="E29" s="187">
        <f>0</f>
        <v>0</v>
      </c>
      <c r="F29" s="187">
        <f>0</f>
        <v>0</v>
      </c>
      <c r="G29" s="187">
        <f>0</f>
        <v>0</v>
      </c>
      <c r="H29" s="187">
        <f>0</f>
        <v>0</v>
      </c>
      <c r="I29" s="187">
        <f>0</f>
        <v>0</v>
      </c>
      <c r="J29" s="187">
        <f>0</f>
        <v>0</v>
      </c>
      <c r="K29" s="187">
        <f>0</f>
        <v>0</v>
      </c>
      <c r="L29" s="187">
        <f>0</f>
        <v>0</v>
      </c>
      <c r="M29" s="187">
        <f>0</f>
        <v>0</v>
      </c>
      <c r="N29" s="187">
        <f>0</f>
        <v>0</v>
      </c>
      <c r="O29" s="187">
        <f>0</f>
        <v>0</v>
      </c>
      <c r="P29" s="187">
        <f>0</f>
        <v>0</v>
      </c>
      <c r="Q29" s="187">
        <f>0</f>
        <v>0</v>
      </c>
      <c r="R29" s="187">
        <f>0</f>
        <v>0</v>
      </c>
      <c r="S29" s="187">
        <f>0</f>
        <v>0</v>
      </c>
      <c r="T29" s="187">
        <f>0</f>
        <v>0</v>
      </c>
      <c r="U29" s="187">
        <f>0</f>
        <v>0</v>
      </c>
      <c r="V29" s="187">
        <f>0</f>
        <v>0</v>
      </c>
      <c r="W29" s="187">
        <f>0</f>
        <v>0</v>
      </c>
      <c r="X29" s="187">
        <f>0</f>
        <v>0</v>
      </c>
      <c r="Y29" s="187">
        <f>0</f>
        <v>0</v>
      </c>
      <c r="Z29" s="187">
        <f>0</f>
        <v>0</v>
      </c>
      <c r="AA29" s="187">
        <f>0</f>
        <v>0</v>
      </c>
      <c r="AB29" s="187">
        <f>0</f>
        <v>0</v>
      </c>
      <c r="AC29" s="187">
        <f>0</f>
        <v>0</v>
      </c>
      <c r="AD29" s="187">
        <f>0</f>
        <v>0</v>
      </c>
      <c r="AE29" s="187">
        <f>0</f>
        <v>0</v>
      </c>
      <c r="AF29" s="187">
        <f>0</f>
        <v>0</v>
      </c>
      <c r="AG29" s="187">
        <f>0</f>
        <v>0</v>
      </c>
      <c r="AH29" s="187">
        <f>0</f>
        <v>0</v>
      </c>
      <c r="AI29" s="187">
        <f>0</f>
        <v>0</v>
      </c>
      <c r="AJ29" s="187">
        <f>0</f>
        <v>0</v>
      </c>
      <c r="AK29" s="187">
        <f>0</f>
        <v>0</v>
      </c>
      <c r="AL29" s="187">
        <f>0</f>
        <v>0</v>
      </c>
      <c r="AM29" s="187">
        <f>0</f>
        <v>0</v>
      </c>
      <c r="AN29" s="187">
        <f>0</f>
        <v>0</v>
      </c>
      <c r="AO29" s="187">
        <f>0</f>
        <v>0</v>
      </c>
      <c r="AP29" s="187">
        <f>0</f>
        <v>0</v>
      </c>
      <c r="AQ29" s="187">
        <f>0</f>
        <v>0</v>
      </c>
      <c r="AR29" s="187">
        <f>0</f>
        <v>0</v>
      </c>
      <c r="AS29" s="187">
        <f>0</f>
        <v>0</v>
      </c>
    </row>
    <row r="30" spans="1:45" ht="15" customHeight="1">
      <c r="A30" s="153">
        <f>'Wksh 1 - Market Experience'!E16</f>
        <v>0</v>
      </c>
      <c r="B30" s="146" t="s">
        <v>167</v>
      </c>
      <c r="C30" s="147" t="s">
        <v>113</v>
      </c>
      <c r="D30" s="201">
        <f t="shared" ref="D30:AS30" si="1">D26-D27-D28-D29</f>
        <v>130532366.15000001</v>
      </c>
      <c r="E30" s="217">
        <f t="shared" si="1"/>
        <v>0</v>
      </c>
      <c r="F30" s="217">
        <f t="shared" si="1"/>
        <v>0</v>
      </c>
      <c r="G30" s="217">
        <f t="shared" si="1"/>
        <v>0</v>
      </c>
      <c r="H30" s="217">
        <f t="shared" si="1"/>
        <v>0</v>
      </c>
      <c r="I30" s="217">
        <f t="shared" si="1"/>
        <v>0</v>
      </c>
      <c r="J30" s="217">
        <f t="shared" si="1"/>
        <v>0</v>
      </c>
      <c r="K30" s="217">
        <f t="shared" si="1"/>
        <v>0</v>
      </c>
      <c r="L30" s="217">
        <f t="shared" si="1"/>
        <v>0</v>
      </c>
      <c r="M30" s="217">
        <f t="shared" si="1"/>
        <v>0</v>
      </c>
      <c r="N30" s="217">
        <f t="shared" si="1"/>
        <v>0</v>
      </c>
      <c r="O30" s="217">
        <f t="shared" si="1"/>
        <v>0</v>
      </c>
      <c r="P30" s="217">
        <f t="shared" si="1"/>
        <v>0</v>
      </c>
      <c r="Q30" s="217">
        <f t="shared" si="1"/>
        <v>0</v>
      </c>
      <c r="R30" s="217">
        <f t="shared" si="1"/>
        <v>0</v>
      </c>
      <c r="S30" s="217">
        <f t="shared" si="1"/>
        <v>0</v>
      </c>
      <c r="T30" s="217">
        <f t="shared" si="1"/>
        <v>0</v>
      </c>
      <c r="U30" s="217">
        <f t="shared" si="1"/>
        <v>0</v>
      </c>
      <c r="V30" s="217">
        <f t="shared" si="1"/>
        <v>0</v>
      </c>
      <c r="W30" s="217">
        <f t="shared" si="1"/>
        <v>0</v>
      </c>
      <c r="X30" s="217">
        <f t="shared" si="1"/>
        <v>0</v>
      </c>
      <c r="Y30" s="217">
        <f t="shared" si="1"/>
        <v>0</v>
      </c>
      <c r="Z30" s="217">
        <f t="shared" si="1"/>
        <v>0</v>
      </c>
      <c r="AA30" s="217">
        <f t="shared" si="1"/>
        <v>0</v>
      </c>
      <c r="AB30" s="217">
        <f t="shared" si="1"/>
        <v>0</v>
      </c>
      <c r="AC30" s="217">
        <f t="shared" si="1"/>
        <v>0</v>
      </c>
      <c r="AD30" s="217">
        <f t="shared" si="1"/>
        <v>0</v>
      </c>
      <c r="AE30" s="217">
        <f t="shared" si="1"/>
        <v>0</v>
      </c>
      <c r="AF30" s="217">
        <f t="shared" si="1"/>
        <v>0</v>
      </c>
      <c r="AG30" s="217">
        <f t="shared" si="1"/>
        <v>0</v>
      </c>
      <c r="AH30" s="217">
        <f t="shared" si="1"/>
        <v>0</v>
      </c>
      <c r="AI30" s="217">
        <f t="shared" si="1"/>
        <v>0</v>
      </c>
      <c r="AJ30" s="217">
        <f t="shared" si="1"/>
        <v>0</v>
      </c>
      <c r="AK30" s="217">
        <f t="shared" si="1"/>
        <v>0</v>
      </c>
      <c r="AL30" s="217">
        <f t="shared" si="1"/>
        <v>0</v>
      </c>
      <c r="AM30" s="217">
        <f t="shared" si="1"/>
        <v>0</v>
      </c>
      <c r="AN30" s="217">
        <f t="shared" si="1"/>
        <v>0</v>
      </c>
      <c r="AO30" s="217">
        <f t="shared" si="1"/>
        <v>0</v>
      </c>
      <c r="AP30" s="217">
        <f t="shared" si="1"/>
        <v>0</v>
      </c>
      <c r="AQ30" s="217">
        <f t="shared" si="1"/>
        <v>0</v>
      </c>
      <c r="AR30" s="217">
        <f t="shared" si="1"/>
        <v>0</v>
      </c>
      <c r="AS30" s="217">
        <f t="shared" si="1"/>
        <v>0</v>
      </c>
    </row>
    <row r="31" spans="1:45" ht="15" customHeight="1">
      <c r="A31" s="153">
        <f>'Wksh 1 - Market Experience'!E17</f>
        <v>0</v>
      </c>
      <c r="B31" s="146" t="s">
        <v>168</v>
      </c>
      <c r="C31" s="156" t="s">
        <v>114</v>
      </c>
      <c r="D31" s="201">
        <f>SUM(E31:XFD31)</f>
        <v>-2228171.1</v>
      </c>
      <c r="E31" s="187">
        <f>-1579.43</f>
        <v>0</v>
      </c>
      <c r="F31" s="187">
        <f>0</f>
        <v>0</v>
      </c>
      <c r="G31" s="187">
        <f>0</f>
        <v>0</v>
      </c>
      <c r="H31" s="187">
        <f>0</f>
        <v>0</v>
      </c>
      <c r="I31" s="187">
        <f>0</f>
        <v>0</v>
      </c>
      <c r="J31" s="187">
        <f>0</f>
        <v>0</v>
      </c>
      <c r="K31" s="187">
        <f>0</f>
        <v>0</v>
      </c>
      <c r="L31" s="187">
        <f>-102297.31</f>
        <v>0</v>
      </c>
      <c r="M31" s="187">
        <f>-162143.08</f>
        <v>0</v>
      </c>
      <c r="N31" s="187">
        <f>-138202.36</f>
        <v>0</v>
      </c>
      <c r="O31" s="187">
        <f>-210531.95</f>
        <v>0</v>
      </c>
      <c r="P31" s="187">
        <f>-121132.55</f>
        <v>0</v>
      </c>
      <c r="Q31" s="187">
        <f>-45168.46</f>
        <v>0</v>
      </c>
      <c r="R31" s="187">
        <f>-251644.26</f>
        <v>0</v>
      </c>
      <c r="S31" s="187">
        <f>-288454.43</f>
        <v>0</v>
      </c>
      <c r="T31" s="187">
        <f>-184518.17</f>
        <v>0</v>
      </c>
      <c r="U31" s="187">
        <f>-12765.79</f>
        <v>0</v>
      </c>
      <c r="V31" s="187">
        <f>-1222.32</f>
        <v>0</v>
      </c>
      <c r="W31" s="187">
        <f>-2501.84</f>
        <v>0</v>
      </c>
      <c r="X31" s="187">
        <f>-620.88</f>
        <v>0</v>
      </c>
      <c r="Y31" s="187">
        <f>-39558.99</f>
        <v>0</v>
      </c>
      <c r="Z31" s="187">
        <f>-140470.69</f>
        <v>0</v>
      </c>
      <c r="AA31" s="187">
        <f>-56135.3</f>
        <v>0</v>
      </c>
      <c r="AB31" s="187">
        <f>-64326.3</f>
        <v>0</v>
      </c>
      <c r="AC31" s="187">
        <f>-35164.68</f>
        <v>0</v>
      </c>
      <c r="AD31" s="187">
        <f>-28248.55</f>
        <v>0</v>
      </c>
      <c r="AE31" s="187">
        <f>-122497.64</f>
        <v>0</v>
      </c>
      <c r="AF31" s="187">
        <f>-20362.18</f>
        <v>0</v>
      </c>
      <c r="AG31" s="187">
        <f>-14540.06</f>
        <v>0</v>
      </c>
      <c r="AH31" s="187">
        <f>-842.05</f>
        <v>0</v>
      </c>
      <c r="AI31" s="187">
        <f>-6968.56</f>
        <v>0</v>
      </c>
      <c r="AJ31" s="187">
        <f>0</f>
        <v>0</v>
      </c>
      <c r="AK31" s="187">
        <f>-10606.58</f>
        <v>0</v>
      </c>
      <c r="AL31" s="187">
        <f>-21182.42</f>
        <v>0</v>
      </c>
      <c r="AM31" s="187">
        <f>-12916.01</f>
        <v>0</v>
      </c>
      <c r="AN31" s="187">
        <f>-5131.27</f>
        <v>0</v>
      </c>
      <c r="AO31" s="187">
        <f>-30075.11</f>
        <v>0</v>
      </c>
      <c r="AP31" s="187">
        <f>-40402.32</f>
        <v>0</v>
      </c>
      <c r="AQ31" s="187">
        <f>-14272.43</f>
        <v>0</v>
      </c>
      <c r="AR31" s="187">
        <f>-18514.16</f>
        <v>0</v>
      </c>
      <c r="AS31" s="187">
        <f>-23172.97</f>
        <v>0</v>
      </c>
    </row>
    <row r="32" spans="1:45" ht="15" customHeight="1">
      <c r="A32" s="153">
        <f>'Wksh 1 - Market Experience'!E18</f>
        <v>0</v>
      </c>
      <c r="B32" s="146" t="s">
        <v>169</v>
      </c>
      <c r="C32" s="156" t="s">
        <v>115</v>
      </c>
      <c r="D32" s="201">
        <f>SUM(E32:XFD32)</f>
        <v>158026320.38</v>
      </c>
      <c r="E32" s="187">
        <f>112016.11</f>
        <v>0</v>
      </c>
      <c r="F32" s="187">
        <f>0</f>
        <v>0</v>
      </c>
      <c r="G32" s="187">
        <f>0</f>
        <v>0</v>
      </c>
      <c r="H32" s="187">
        <f>0</f>
        <v>0</v>
      </c>
      <c r="I32" s="187">
        <f>0</f>
        <v>0</v>
      </c>
      <c r="J32" s="187">
        <f>0</f>
        <v>0</v>
      </c>
      <c r="K32" s="187">
        <f>0</f>
        <v>0</v>
      </c>
      <c r="L32" s="187">
        <f>7255128.35</f>
        <v>0</v>
      </c>
      <c r="M32" s="187">
        <f>11499509.02</f>
        <v>0</v>
      </c>
      <c r="N32" s="187">
        <f>9801586.05</f>
        <v>0</v>
      </c>
      <c r="O32" s="187">
        <f>14931344.19</f>
        <v>0</v>
      </c>
      <c r="P32" s="187">
        <f>8590960.65</f>
        <v>0</v>
      </c>
      <c r="Q32" s="187">
        <f>3203437.18</f>
        <v>0</v>
      </c>
      <c r="R32" s="187">
        <f>17847110.6</f>
        <v>0</v>
      </c>
      <c r="S32" s="187">
        <f>20457760.84</f>
        <v>0</v>
      </c>
      <c r="T32" s="187">
        <f>13086395</f>
        <v>0</v>
      </c>
      <c r="U32" s="187">
        <f>905375.09</f>
        <v>0</v>
      </c>
      <c r="V32" s="187">
        <f>86689.31</f>
        <v>0</v>
      </c>
      <c r="W32" s="187">
        <f>177435.74</f>
        <v>0</v>
      </c>
      <c r="X32" s="187">
        <f>44033.88</f>
        <v>0</v>
      </c>
      <c r="Y32" s="187">
        <f>2805602.48</f>
        <v>0</v>
      </c>
      <c r="Z32" s="187">
        <f>9962460.3</f>
        <v>0</v>
      </c>
      <c r="AA32" s="187">
        <f>3981226.91</f>
        <v>0</v>
      </c>
      <c r="AB32" s="187">
        <f>4562148.76</f>
        <v>0</v>
      </c>
      <c r="AC32" s="187">
        <f>2493949.25</f>
        <v>0</v>
      </c>
      <c r="AD32" s="187">
        <f>2003443.59</f>
        <v>0</v>
      </c>
      <c r="AE32" s="187">
        <f>8687775.98</f>
        <v>0</v>
      </c>
      <c r="AF32" s="187">
        <f>1444126.44</f>
        <v>0</v>
      </c>
      <c r="AG32" s="187">
        <f>1031210.1</f>
        <v>0</v>
      </c>
      <c r="AH32" s="187">
        <f>59719.65</f>
        <v>0</v>
      </c>
      <c r="AI32" s="187">
        <f>494224.41</f>
        <v>0</v>
      </c>
      <c r="AJ32" s="187">
        <f>0</f>
        <v>0</v>
      </c>
      <c r="AK32" s="187">
        <f>752239.88</f>
        <v>0</v>
      </c>
      <c r="AL32" s="187">
        <f>1502299.53</f>
        <v>0</v>
      </c>
      <c r="AM32" s="187">
        <f>916028.99</f>
        <v>0</v>
      </c>
      <c r="AN32" s="187">
        <f>363919.75</f>
        <v>0</v>
      </c>
      <c r="AO32" s="187">
        <f>2132986.35</f>
        <v>0</v>
      </c>
      <c r="AP32" s="187">
        <f>2865412.67</f>
        <v>0</v>
      </c>
      <c r="AQ32" s="187">
        <f>1012229.13</f>
        <v>0</v>
      </c>
      <c r="AR32" s="187">
        <f>1313061.11</f>
        <v>0</v>
      </c>
      <c r="AS32" s="187">
        <f>1643473.09</f>
        <v>0</v>
      </c>
    </row>
    <row r="33" spans="1:45" ht="15" customHeight="1">
      <c r="A33" s="157">
        <f>'Wksh 1 - Market Experience'!E19</f>
        <v>0</v>
      </c>
      <c r="B33" s="146" t="s">
        <v>170</v>
      </c>
      <c r="C33" s="156" t="s">
        <v>22</v>
      </c>
      <c r="D33" s="202">
        <f>SUM(E33:XFD33)</f>
        <v>217650</v>
      </c>
      <c r="E33" s="218">
        <f>113</f>
        <v>0</v>
      </c>
      <c r="F33" s="218">
        <f>0</f>
        <v>0</v>
      </c>
      <c r="G33" s="218">
        <f>0</f>
        <v>0</v>
      </c>
      <c r="H33" s="218">
        <f>0</f>
        <v>0</v>
      </c>
      <c r="I33" s="218">
        <f>0</f>
        <v>0</v>
      </c>
      <c r="J33" s="218">
        <f>0</f>
        <v>0</v>
      </c>
      <c r="K33" s="218">
        <f>0</f>
        <v>0</v>
      </c>
      <c r="L33" s="218">
        <f>7941</f>
        <v>0</v>
      </c>
      <c r="M33" s="218">
        <f>12743</f>
        <v>0</v>
      </c>
      <c r="N33" s="218">
        <f>13078</f>
        <v>0</v>
      </c>
      <c r="O33" s="218">
        <f>17173</f>
        <v>0</v>
      </c>
      <c r="P33" s="218">
        <f>11593</f>
        <v>0</v>
      </c>
      <c r="Q33" s="218">
        <f>4204</f>
        <v>0</v>
      </c>
      <c r="R33" s="218">
        <f>24282</f>
        <v>0</v>
      </c>
      <c r="S33" s="218">
        <f>30690</f>
        <v>0</v>
      </c>
      <c r="T33" s="218">
        <f>20558</f>
        <v>0</v>
      </c>
      <c r="U33" s="218">
        <f>1086</f>
        <v>0</v>
      </c>
      <c r="V33" s="218">
        <f>112</f>
        <v>0</v>
      </c>
      <c r="W33" s="218">
        <f>280</f>
        <v>0</v>
      </c>
      <c r="X33" s="218">
        <f>36</f>
        <v>0</v>
      </c>
      <c r="Y33" s="218">
        <f>3934</f>
        <v>0</v>
      </c>
      <c r="Z33" s="218">
        <f>12953</f>
        <v>0</v>
      </c>
      <c r="AA33" s="218">
        <f>5698</f>
        <v>0</v>
      </c>
      <c r="AB33" s="218">
        <f>7790</f>
        <v>0</v>
      </c>
      <c r="AC33" s="218">
        <f>3356</f>
        <v>0</v>
      </c>
      <c r="AD33" s="218">
        <f>2822</f>
        <v>0</v>
      </c>
      <c r="AE33" s="218">
        <f>13047</f>
        <v>0</v>
      </c>
      <c r="AF33" s="218">
        <f>1759</f>
        <v>0</v>
      </c>
      <c r="AG33" s="218">
        <f>1686</f>
        <v>0</v>
      </c>
      <c r="AH33" s="218">
        <f>69</f>
        <v>0</v>
      </c>
      <c r="AI33" s="218">
        <f>633</f>
        <v>0</v>
      </c>
      <c r="AJ33" s="218">
        <f>0</f>
        <v>0</v>
      </c>
      <c r="AK33" s="218">
        <f>1286</f>
        <v>0</v>
      </c>
      <c r="AL33" s="218">
        <f>2263</f>
        <v>0</v>
      </c>
      <c r="AM33" s="218">
        <f>1511</f>
        <v>0</v>
      </c>
      <c r="AN33" s="218">
        <f>565</f>
        <v>0</v>
      </c>
      <c r="AO33" s="218">
        <f>3438</f>
        <v>0</v>
      </c>
      <c r="AP33" s="218">
        <f>4159</f>
        <v>0</v>
      </c>
      <c r="AQ33" s="218">
        <f>1796</f>
        <v>0</v>
      </c>
      <c r="AR33" s="218">
        <f>2187</f>
        <v>0</v>
      </c>
      <c r="AS33" s="218">
        <f>2809</f>
        <v>0</v>
      </c>
    </row>
    <row r="34" spans="1:45" ht="15" customHeight="1">
      <c r="A34" s="154"/>
      <c r="B34" s="146" t="s">
        <v>171</v>
      </c>
      <c r="C34" s="156" t="s">
        <v>116</v>
      </c>
      <c r="D34" s="202">
        <f>SUM(E34:XFD34)</f>
        <v>18618</v>
      </c>
      <c r="E34" s="218">
        <f>0</f>
        <v>0</v>
      </c>
      <c r="F34" s="218">
        <f>0</f>
        <v>0</v>
      </c>
      <c r="G34" s="218">
        <f>0</f>
        <v>0</v>
      </c>
      <c r="H34" s="218">
        <f>0</f>
        <v>0</v>
      </c>
      <c r="I34" s="218">
        <f>0</f>
        <v>0</v>
      </c>
      <c r="J34" s="218">
        <f>0</f>
        <v>0</v>
      </c>
      <c r="K34" s="218">
        <f>0</f>
        <v>0</v>
      </c>
      <c r="L34" s="218">
        <f>620</f>
        <v>0</v>
      </c>
      <c r="M34" s="218">
        <f>942</f>
        <v>0</v>
      </c>
      <c r="N34" s="218">
        <f>1109</f>
        <v>0</v>
      </c>
      <c r="O34" s="218">
        <f>1423</f>
        <v>0</v>
      </c>
      <c r="P34" s="218">
        <f>817</f>
        <v>0</v>
      </c>
      <c r="Q34" s="218">
        <f>340</f>
        <v>0</v>
      </c>
      <c r="R34" s="218">
        <f>2220</f>
        <v>0</v>
      </c>
      <c r="S34" s="218">
        <f>2453</f>
        <v>0</v>
      </c>
      <c r="T34" s="218">
        <f>1605</f>
        <v>0</v>
      </c>
      <c r="U34" s="218">
        <f>161</f>
        <v>0</v>
      </c>
      <c r="V34" s="218">
        <f>21</f>
        <v>0</v>
      </c>
      <c r="W34" s="218">
        <f>30</f>
        <v>0</v>
      </c>
      <c r="X34" s="218">
        <f>3</f>
        <v>0</v>
      </c>
      <c r="Y34" s="218">
        <f>604</f>
        <v>0</v>
      </c>
      <c r="Z34" s="218">
        <f>1576</f>
        <v>0</v>
      </c>
      <c r="AA34" s="218">
        <f>677</f>
        <v>0</v>
      </c>
      <c r="AB34" s="218">
        <f>929</f>
        <v>0</v>
      </c>
      <c r="AC34" s="218">
        <f>472</f>
        <v>0</v>
      </c>
      <c r="AD34" s="218">
        <f>525</f>
        <v>0</v>
      </c>
      <c r="AE34" s="218">
        <f>1506</f>
        <v>0</v>
      </c>
      <c r="AF34" s="218">
        <f>226</f>
        <v>0</v>
      </c>
      <c r="AG34" s="218">
        <f>198</f>
        <v>0</v>
      </c>
      <c r="AH34" s="218">
        <f>14</f>
        <v>0</v>
      </c>
      <c r="AI34" s="218">
        <f>109</f>
        <v>0</v>
      </c>
      <c r="AJ34" s="218">
        <f>0</f>
        <v>0</v>
      </c>
      <c r="AK34" s="218">
        <f>0</f>
        <v>0</v>
      </c>
      <c r="AL34" s="218">
        <f>0</f>
        <v>0</v>
      </c>
      <c r="AM34" s="218">
        <f>0</f>
        <v>0</v>
      </c>
      <c r="AN34" s="218">
        <f>0</f>
        <v>0</v>
      </c>
      <c r="AO34" s="218">
        <f>0</f>
        <v>0</v>
      </c>
      <c r="AP34" s="218">
        <f>30</f>
        <v>0</v>
      </c>
      <c r="AQ34" s="218">
        <f>3</f>
        <v>0</v>
      </c>
      <c r="AR34" s="218">
        <f>5</f>
        <v>0</v>
      </c>
      <c r="AS34" s="218">
        <f>0</f>
        <v>0</v>
      </c>
    </row>
    <row r="35" spans="1:45" ht="15" customHeight="1">
      <c r="A35" s="149"/>
      <c r="B35" s="148" t="s">
        <v>172</v>
      </c>
      <c r="C35" s="138" t="s">
        <v>117</v>
      </c>
      <c r="D35" s="203">
        <f>SUMPRODUCT(E35:XFD35,E34:XFD34)/D34</f>
        <v>763.17250000000001</v>
      </c>
      <c r="E35" s="188">
        <f>0</f>
        <v>0</v>
      </c>
      <c r="F35" s="188">
        <f>0</f>
        <v>0</v>
      </c>
      <c r="G35" s="188">
        <f>0</f>
        <v>0</v>
      </c>
      <c r="H35" s="188">
        <f>0</f>
        <v>0</v>
      </c>
      <c r="I35" s="188">
        <f>0</f>
        <v>0</v>
      </c>
      <c r="J35" s="188">
        <f>0</f>
        <v>0</v>
      </c>
      <c r="K35" s="188">
        <f>0</f>
        <v>0</v>
      </c>
      <c r="L35" s="188">
        <f>975.31</f>
        <v>0</v>
      </c>
      <c r="M35" s="188">
        <f>946.43</f>
        <v>0</v>
      </c>
      <c r="N35" s="188">
        <f>779.95</f>
        <v>0</v>
      </c>
      <c r="O35" s="188">
        <f>922.78</f>
        <v>0</v>
      </c>
      <c r="P35" s="188">
        <f>785.36</f>
        <v>0</v>
      </c>
      <c r="Q35" s="188">
        <f>832.09</f>
        <v>0</v>
      </c>
      <c r="R35" s="188">
        <f>780.34</f>
        <v>0</v>
      </c>
      <c r="S35" s="188">
        <f>709.31</f>
        <v>0</v>
      </c>
      <c r="T35" s="188">
        <f>670.55</f>
        <v>0</v>
      </c>
      <c r="U35" s="188">
        <f>860.8</f>
        <v>0</v>
      </c>
      <c r="V35" s="188">
        <f>759.43</f>
        <v>0</v>
      </c>
      <c r="W35" s="188">
        <f>620.33</f>
        <v>0</v>
      </c>
      <c r="X35" s="188">
        <f>1223.16</f>
        <v>0</v>
      </c>
      <c r="Y35" s="188">
        <f>710.52</f>
        <v>0</v>
      </c>
      <c r="Z35" s="188">
        <f>792.42</f>
        <v>0</v>
      </c>
      <c r="AA35" s="188">
        <f>705.68</f>
        <v>0</v>
      </c>
      <c r="AB35" s="188">
        <f>587.42</f>
        <v>0</v>
      </c>
      <c r="AC35" s="188">
        <f>752.85</f>
        <v>0</v>
      </c>
      <c r="AD35" s="188">
        <f>717.42</f>
        <v>0</v>
      </c>
      <c r="AE35" s="188">
        <f>684.37</f>
        <v>0</v>
      </c>
      <c r="AF35" s="188">
        <f>809.67</f>
        <v>0</v>
      </c>
      <c r="AG35" s="188">
        <f>616.61</f>
        <v>0</v>
      </c>
      <c r="AH35" s="188">
        <f>877.15</f>
        <v>0</v>
      </c>
      <c r="AI35" s="188">
        <f>748.82</f>
        <v>0</v>
      </c>
      <c r="AJ35" s="188">
        <f>0</f>
        <v>0</v>
      </c>
      <c r="AK35" s="188">
        <f>0</f>
        <v>0</v>
      </c>
      <c r="AL35" s="188">
        <f>0</f>
        <v>0</v>
      </c>
      <c r="AM35" s="188">
        <f>0</f>
        <v>0</v>
      </c>
      <c r="AN35" s="188">
        <f>0</f>
        <v>0</v>
      </c>
      <c r="AO35" s="188">
        <f>0</f>
        <v>0</v>
      </c>
      <c r="AP35" s="188">
        <f>553.32</f>
        <v>0</v>
      </c>
      <c r="AQ35" s="188">
        <f>502.58</f>
        <v>0</v>
      </c>
      <c r="AR35" s="188">
        <f>668.52</f>
        <v>0</v>
      </c>
      <c r="AS35" s="188">
        <f>0</f>
        <v>0</v>
      </c>
    </row>
    <row r="36" spans="1:45" ht="15" customHeight="1">
      <c r="A36" s="149"/>
      <c r="B36" s="204" t="s">
        <v>173</v>
      </c>
      <c r="C36" s="205" t="s">
        <v>118</v>
      </c>
      <c r="D36" s="158">
        <f t="shared" ref="D36:AS36" si="2">D30/(D31+D32)</f>
        <v>0.83783001757875597</v>
      </c>
      <c r="E36" s="88">
        <f t="shared" si="2"/>
        <v>0</v>
      </c>
      <c r="F36" s="88">
        <f t="shared" si="2"/>
        <v>0</v>
      </c>
      <c r="G36" s="88">
        <f t="shared" si="2"/>
        <v>0</v>
      </c>
      <c r="H36" s="88">
        <f t="shared" si="2"/>
        <v>0</v>
      </c>
      <c r="I36" s="88">
        <f t="shared" si="2"/>
        <v>0</v>
      </c>
      <c r="J36" s="88">
        <f t="shared" si="2"/>
        <v>0</v>
      </c>
      <c r="K36" s="88">
        <f t="shared" si="2"/>
        <v>0</v>
      </c>
      <c r="L36" s="88">
        <f t="shared" si="2"/>
        <v>0</v>
      </c>
      <c r="M36" s="88">
        <f t="shared" si="2"/>
        <v>0</v>
      </c>
      <c r="N36" s="88">
        <f t="shared" si="2"/>
        <v>0</v>
      </c>
      <c r="O36" s="88">
        <f t="shared" si="2"/>
        <v>0</v>
      </c>
      <c r="P36" s="88">
        <f t="shared" si="2"/>
        <v>0</v>
      </c>
      <c r="Q36" s="88">
        <f t="shared" si="2"/>
        <v>0</v>
      </c>
      <c r="R36" s="88">
        <f t="shared" si="2"/>
        <v>0</v>
      </c>
      <c r="S36" s="88">
        <f t="shared" si="2"/>
        <v>0</v>
      </c>
      <c r="T36" s="88">
        <f t="shared" si="2"/>
        <v>0</v>
      </c>
      <c r="U36" s="88">
        <f t="shared" si="2"/>
        <v>0</v>
      </c>
      <c r="V36" s="88">
        <f t="shared" si="2"/>
        <v>0</v>
      </c>
      <c r="W36" s="88">
        <f t="shared" si="2"/>
        <v>0</v>
      </c>
      <c r="X36" s="88">
        <f t="shared" si="2"/>
        <v>0</v>
      </c>
      <c r="Y36" s="88">
        <f t="shared" si="2"/>
        <v>0</v>
      </c>
      <c r="Z36" s="88">
        <f t="shared" si="2"/>
        <v>0</v>
      </c>
      <c r="AA36" s="88">
        <f t="shared" si="2"/>
        <v>0</v>
      </c>
      <c r="AB36" s="88">
        <f t="shared" si="2"/>
        <v>0</v>
      </c>
      <c r="AC36" s="88">
        <f t="shared" si="2"/>
        <v>0</v>
      </c>
      <c r="AD36" s="88">
        <f t="shared" si="2"/>
        <v>0</v>
      </c>
      <c r="AE36" s="88">
        <f t="shared" si="2"/>
        <v>0</v>
      </c>
      <c r="AF36" s="88">
        <f t="shared" si="2"/>
        <v>0</v>
      </c>
      <c r="AG36" s="88">
        <f t="shared" si="2"/>
        <v>0</v>
      </c>
      <c r="AH36" s="88">
        <f t="shared" si="2"/>
        <v>0</v>
      </c>
      <c r="AI36" s="88">
        <f t="shared" si="2"/>
        <v>0</v>
      </c>
      <c r="AJ36" s="88">
        <f t="shared" si="2"/>
        <v>0</v>
      </c>
      <c r="AK36" s="88">
        <f t="shared" si="2"/>
        <v>0</v>
      </c>
      <c r="AL36" s="88">
        <f t="shared" si="2"/>
        <v>0</v>
      </c>
      <c r="AM36" s="88">
        <f t="shared" si="2"/>
        <v>0</v>
      </c>
      <c r="AN36" s="88">
        <f t="shared" si="2"/>
        <v>0</v>
      </c>
      <c r="AO36" s="88">
        <f t="shared" si="2"/>
        <v>0</v>
      </c>
      <c r="AP36" s="88">
        <f t="shared" si="2"/>
        <v>0</v>
      </c>
      <c r="AQ36" s="88">
        <f t="shared" si="2"/>
        <v>0</v>
      </c>
      <c r="AR36" s="88">
        <f t="shared" si="2"/>
        <v>0</v>
      </c>
      <c r="AS36" s="88">
        <f t="shared" si="2"/>
        <v>0</v>
      </c>
    </row>
    <row r="37" spans="1:45" ht="15" customHeight="1">
      <c r="A37" s="72"/>
      <c r="C37" s="76" t="s">
        <v>120</v>
      </c>
      <c r="D37" s="25"/>
      <c r="F37" s="5"/>
      <c r="G37" s="5"/>
      <c r="H37" s="5"/>
    </row>
    <row r="38" spans="1:45" ht="15" customHeight="1">
      <c r="A38" s="149"/>
      <c r="B38" s="146" t="s">
        <v>174</v>
      </c>
      <c r="C38" s="156" t="s">
        <v>86</v>
      </c>
      <c r="D38" s="86">
        <f t="shared" ref="D38:AS38" si="3">D26/D33</f>
        <v>717.3066</v>
      </c>
      <c r="E38" s="86">
        <f t="shared" si="3"/>
        <v>0</v>
      </c>
      <c r="F38" s="86">
        <f t="shared" si="3"/>
        <v>0</v>
      </c>
      <c r="G38" s="86">
        <f t="shared" si="3"/>
        <v>0</v>
      </c>
      <c r="H38" s="86">
        <f t="shared" si="3"/>
        <v>0</v>
      </c>
      <c r="I38" s="86">
        <f t="shared" si="3"/>
        <v>0</v>
      </c>
      <c r="J38" s="86">
        <f t="shared" si="3"/>
        <v>0</v>
      </c>
      <c r="K38" s="86">
        <f t="shared" si="3"/>
        <v>0</v>
      </c>
      <c r="L38" s="86">
        <f t="shared" si="3"/>
        <v>0</v>
      </c>
      <c r="M38" s="86">
        <f t="shared" si="3"/>
        <v>0</v>
      </c>
      <c r="N38" s="86">
        <f t="shared" si="3"/>
        <v>0</v>
      </c>
      <c r="O38" s="86">
        <f t="shared" si="3"/>
        <v>0</v>
      </c>
      <c r="P38" s="86">
        <f t="shared" si="3"/>
        <v>0</v>
      </c>
      <c r="Q38" s="86">
        <f t="shared" si="3"/>
        <v>0</v>
      </c>
      <c r="R38" s="86">
        <f t="shared" si="3"/>
        <v>0</v>
      </c>
      <c r="S38" s="86">
        <f t="shared" si="3"/>
        <v>0</v>
      </c>
      <c r="T38" s="86">
        <f t="shared" si="3"/>
        <v>0</v>
      </c>
      <c r="U38" s="86">
        <f t="shared" si="3"/>
        <v>0</v>
      </c>
      <c r="V38" s="86">
        <f t="shared" si="3"/>
        <v>0</v>
      </c>
      <c r="W38" s="86">
        <f t="shared" si="3"/>
        <v>0</v>
      </c>
      <c r="X38" s="86">
        <f t="shared" si="3"/>
        <v>0</v>
      </c>
      <c r="Y38" s="86">
        <f t="shared" si="3"/>
        <v>0</v>
      </c>
      <c r="Z38" s="86">
        <f t="shared" si="3"/>
        <v>0</v>
      </c>
      <c r="AA38" s="86">
        <f t="shared" si="3"/>
        <v>0</v>
      </c>
      <c r="AB38" s="86">
        <f t="shared" si="3"/>
        <v>0</v>
      </c>
      <c r="AC38" s="86">
        <f t="shared" si="3"/>
        <v>0</v>
      </c>
      <c r="AD38" s="86">
        <f t="shared" si="3"/>
        <v>0</v>
      </c>
      <c r="AE38" s="86">
        <f t="shared" si="3"/>
        <v>0</v>
      </c>
      <c r="AF38" s="86">
        <f t="shared" si="3"/>
        <v>0</v>
      </c>
      <c r="AG38" s="86">
        <f t="shared" si="3"/>
        <v>0</v>
      </c>
      <c r="AH38" s="86">
        <f t="shared" si="3"/>
        <v>0</v>
      </c>
      <c r="AI38" s="86">
        <f t="shared" si="3"/>
        <v>0</v>
      </c>
      <c r="AJ38" s="86">
        <f t="shared" si="3"/>
        <v>0</v>
      </c>
      <c r="AK38" s="86">
        <f t="shared" si="3"/>
        <v>0</v>
      </c>
      <c r="AL38" s="86">
        <f t="shared" si="3"/>
        <v>0</v>
      </c>
      <c r="AM38" s="86">
        <f t="shared" si="3"/>
        <v>0</v>
      </c>
      <c r="AN38" s="86">
        <f t="shared" si="3"/>
        <v>0</v>
      </c>
      <c r="AO38" s="86">
        <f t="shared" si="3"/>
        <v>0</v>
      </c>
      <c r="AP38" s="86">
        <f t="shared" si="3"/>
        <v>0</v>
      </c>
      <c r="AQ38" s="86">
        <f t="shared" si="3"/>
        <v>0</v>
      </c>
      <c r="AR38" s="86">
        <f t="shared" si="3"/>
        <v>0</v>
      </c>
      <c r="AS38" s="86">
        <f t="shared" si="3"/>
        <v>0</v>
      </c>
    </row>
    <row r="39" spans="1:45" ht="15" customHeight="1">
      <c r="A39" s="149"/>
      <c r="B39" s="146" t="s">
        <v>175</v>
      </c>
      <c r="C39" s="156" t="s">
        <v>87</v>
      </c>
      <c r="D39" s="86">
        <f t="shared" ref="D39:AS39" si="4">D27/D33</f>
        <v>0</v>
      </c>
      <c r="E39" s="86">
        <f t="shared" si="4"/>
        <v>0</v>
      </c>
      <c r="F39" s="86">
        <f t="shared" si="4"/>
        <v>0</v>
      </c>
      <c r="G39" s="86">
        <f t="shared" si="4"/>
        <v>0</v>
      </c>
      <c r="H39" s="86">
        <f t="shared" si="4"/>
        <v>0</v>
      </c>
      <c r="I39" s="86">
        <f t="shared" si="4"/>
        <v>0</v>
      </c>
      <c r="J39" s="86">
        <f t="shared" si="4"/>
        <v>0</v>
      </c>
      <c r="K39" s="86">
        <f t="shared" si="4"/>
        <v>0</v>
      </c>
      <c r="L39" s="86">
        <f t="shared" si="4"/>
        <v>0</v>
      </c>
      <c r="M39" s="86">
        <f t="shared" si="4"/>
        <v>0</v>
      </c>
      <c r="N39" s="86">
        <f t="shared" si="4"/>
        <v>0</v>
      </c>
      <c r="O39" s="86">
        <f t="shared" si="4"/>
        <v>0</v>
      </c>
      <c r="P39" s="86">
        <f t="shared" si="4"/>
        <v>0</v>
      </c>
      <c r="Q39" s="86">
        <f t="shared" si="4"/>
        <v>0</v>
      </c>
      <c r="R39" s="86">
        <f t="shared" si="4"/>
        <v>0</v>
      </c>
      <c r="S39" s="86">
        <f t="shared" si="4"/>
        <v>0</v>
      </c>
      <c r="T39" s="86">
        <f t="shared" si="4"/>
        <v>0</v>
      </c>
      <c r="U39" s="86">
        <f t="shared" si="4"/>
        <v>0</v>
      </c>
      <c r="V39" s="86">
        <f t="shared" si="4"/>
        <v>0</v>
      </c>
      <c r="W39" s="86">
        <f t="shared" si="4"/>
        <v>0</v>
      </c>
      <c r="X39" s="86">
        <f t="shared" si="4"/>
        <v>0</v>
      </c>
      <c r="Y39" s="86">
        <f t="shared" si="4"/>
        <v>0</v>
      </c>
      <c r="Z39" s="86">
        <f t="shared" si="4"/>
        <v>0</v>
      </c>
      <c r="AA39" s="86">
        <f t="shared" si="4"/>
        <v>0</v>
      </c>
      <c r="AB39" s="86">
        <f t="shared" si="4"/>
        <v>0</v>
      </c>
      <c r="AC39" s="86">
        <f t="shared" si="4"/>
        <v>0</v>
      </c>
      <c r="AD39" s="86">
        <f t="shared" si="4"/>
        <v>0</v>
      </c>
      <c r="AE39" s="86">
        <f t="shared" si="4"/>
        <v>0</v>
      </c>
      <c r="AF39" s="86">
        <f t="shared" si="4"/>
        <v>0</v>
      </c>
      <c r="AG39" s="86">
        <f t="shared" si="4"/>
        <v>0</v>
      </c>
      <c r="AH39" s="86">
        <f t="shared" si="4"/>
        <v>0</v>
      </c>
      <c r="AI39" s="86">
        <f t="shared" si="4"/>
        <v>0</v>
      </c>
      <c r="AJ39" s="86">
        <f t="shared" si="4"/>
        <v>0</v>
      </c>
      <c r="AK39" s="86">
        <f t="shared" si="4"/>
        <v>0</v>
      </c>
      <c r="AL39" s="86">
        <f t="shared" si="4"/>
        <v>0</v>
      </c>
      <c r="AM39" s="86">
        <f t="shared" si="4"/>
        <v>0</v>
      </c>
      <c r="AN39" s="86">
        <f t="shared" si="4"/>
        <v>0</v>
      </c>
      <c r="AO39" s="86">
        <f t="shared" si="4"/>
        <v>0</v>
      </c>
      <c r="AP39" s="86">
        <f t="shared" si="4"/>
        <v>0</v>
      </c>
      <c r="AQ39" s="86">
        <f t="shared" si="4"/>
        <v>0</v>
      </c>
      <c r="AR39" s="86">
        <f t="shared" si="4"/>
        <v>0</v>
      </c>
      <c r="AS39" s="86">
        <f t="shared" si="4"/>
        <v>0</v>
      </c>
    </row>
    <row r="40" spans="1:45" ht="15" customHeight="1">
      <c r="A40" s="149"/>
      <c r="B40" s="146" t="s">
        <v>176</v>
      </c>
      <c r="C40" s="156" t="s">
        <v>111</v>
      </c>
      <c r="D40" s="86">
        <f t="shared" ref="D40:AS40" si="5">D28/D33</f>
        <v>117.5714</v>
      </c>
      <c r="E40" s="86">
        <f t="shared" si="5"/>
        <v>0</v>
      </c>
      <c r="F40" s="86">
        <f t="shared" si="5"/>
        <v>0</v>
      </c>
      <c r="G40" s="86">
        <f t="shared" si="5"/>
        <v>0</v>
      </c>
      <c r="H40" s="86">
        <f t="shared" si="5"/>
        <v>0</v>
      </c>
      <c r="I40" s="86">
        <f t="shared" si="5"/>
        <v>0</v>
      </c>
      <c r="J40" s="86">
        <f t="shared" si="5"/>
        <v>0</v>
      </c>
      <c r="K40" s="86">
        <f t="shared" si="5"/>
        <v>0</v>
      </c>
      <c r="L40" s="86">
        <f t="shared" si="5"/>
        <v>0</v>
      </c>
      <c r="M40" s="86">
        <f t="shared" si="5"/>
        <v>0</v>
      </c>
      <c r="N40" s="86">
        <f t="shared" si="5"/>
        <v>0</v>
      </c>
      <c r="O40" s="86">
        <f t="shared" si="5"/>
        <v>0</v>
      </c>
      <c r="P40" s="86">
        <f t="shared" si="5"/>
        <v>0</v>
      </c>
      <c r="Q40" s="86">
        <f t="shared" si="5"/>
        <v>0</v>
      </c>
      <c r="R40" s="86">
        <f t="shared" si="5"/>
        <v>0</v>
      </c>
      <c r="S40" s="86">
        <f t="shared" si="5"/>
        <v>0</v>
      </c>
      <c r="T40" s="86">
        <f t="shared" si="5"/>
        <v>0</v>
      </c>
      <c r="U40" s="86">
        <f t="shared" si="5"/>
        <v>0</v>
      </c>
      <c r="V40" s="86">
        <f t="shared" si="5"/>
        <v>0</v>
      </c>
      <c r="W40" s="86">
        <f t="shared" si="5"/>
        <v>0</v>
      </c>
      <c r="X40" s="86">
        <f t="shared" si="5"/>
        <v>0</v>
      </c>
      <c r="Y40" s="86">
        <f t="shared" si="5"/>
        <v>0</v>
      </c>
      <c r="Z40" s="86">
        <f t="shared" si="5"/>
        <v>0</v>
      </c>
      <c r="AA40" s="86">
        <f t="shared" si="5"/>
        <v>0</v>
      </c>
      <c r="AB40" s="86">
        <f t="shared" si="5"/>
        <v>0</v>
      </c>
      <c r="AC40" s="86">
        <f t="shared" si="5"/>
        <v>0</v>
      </c>
      <c r="AD40" s="86">
        <f t="shared" si="5"/>
        <v>0</v>
      </c>
      <c r="AE40" s="86">
        <f t="shared" si="5"/>
        <v>0</v>
      </c>
      <c r="AF40" s="86">
        <f t="shared" si="5"/>
        <v>0</v>
      </c>
      <c r="AG40" s="86">
        <f t="shared" si="5"/>
        <v>0</v>
      </c>
      <c r="AH40" s="86">
        <f t="shared" si="5"/>
        <v>0</v>
      </c>
      <c r="AI40" s="86">
        <f t="shared" si="5"/>
        <v>0</v>
      </c>
      <c r="AJ40" s="86">
        <f t="shared" si="5"/>
        <v>0</v>
      </c>
      <c r="AK40" s="86">
        <f t="shared" si="5"/>
        <v>0</v>
      </c>
      <c r="AL40" s="86">
        <f t="shared" si="5"/>
        <v>0</v>
      </c>
      <c r="AM40" s="86">
        <f t="shared" si="5"/>
        <v>0</v>
      </c>
      <c r="AN40" s="86">
        <f t="shared" si="5"/>
        <v>0</v>
      </c>
      <c r="AO40" s="86">
        <f t="shared" si="5"/>
        <v>0</v>
      </c>
      <c r="AP40" s="86">
        <f t="shared" si="5"/>
        <v>0</v>
      </c>
      <c r="AQ40" s="86">
        <f t="shared" si="5"/>
        <v>0</v>
      </c>
      <c r="AR40" s="86">
        <f t="shared" si="5"/>
        <v>0</v>
      </c>
      <c r="AS40" s="86">
        <f t="shared" si="5"/>
        <v>0</v>
      </c>
    </row>
    <row r="41" spans="1:45" ht="15" customHeight="1">
      <c r="A41" s="149"/>
      <c r="B41" s="146" t="s">
        <v>177</v>
      </c>
      <c r="C41" s="156" t="s">
        <v>112</v>
      </c>
      <c r="D41" s="86">
        <f t="shared" ref="D41:AS41" si="6">D29/D33</f>
        <v>0</v>
      </c>
      <c r="E41" s="86">
        <f t="shared" si="6"/>
        <v>0</v>
      </c>
      <c r="F41" s="86">
        <f t="shared" si="6"/>
        <v>0</v>
      </c>
      <c r="G41" s="86">
        <f t="shared" si="6"/>
        <v>0</v>
      </c>
      <c r="H41" s="86">
        <f t="shared" si="6"/>
        <v>0</v>
      </c>
      <c r="I41" s="86">
        <f t="shared" si="6"/>
        <v>0</v>
      </c>
      <c r="J41" s="86">
        <f t="shared" si="6"/>
        <v>0</v>
      </c>
      <c r="K41" s="86">
        <f t="shared" si="6"/>
        <v>0</v>
      </c>
      <c r="L41" s="86">
        <f t="shared" si="6"/>
        <v>0</v>
      </c>
      <c r="M41" s="86">
        <f t="shared" si="6"/>
        <v>0</v>
      </c>
      <c r="N41" s="86">
        <f t="shared" si="6"/>
        <v>0</v>
      </c>
      <c r="O41" s="86">
        <f t="shared" si="6"/>
        <v>0</v>
      </c>
      <c r="P41" s="86">
        <f t="shared" si="6"/>
        <v>0</v>
      </c>
      <c r="Q41" s="86">
        <f t="shared" si="6"/>
        <v>0</v>
      </c>
      <c r="R41" s="86">
        <f t="shared" si="6"/>
        <v>0</v>
      </c>
      <c r="S41" s="86">
        <f t="shared" si="6"/>
        <v>0</v>
      </c>
      <c r="T41" s="86">
        <f t="shared" si="6"/>
        <v>0</v>
      </c>
      <c r="U41" s="86">
        <f t="shared" si="6"/>
        <v>0</v>
      </c>
      <c r="V41" s="86">
        <f t="shared" si="6"/>
        <v>0</v>
      </c>
      <c r="W41" s="86">
        <f t="shared" si="6"/>
        <v>0</v>
      </c>
      <c r="X41" s="86">
        <f t="shared" si="6"/>
        <v>0</v>
      </c>
      <c r="Y41" s="86">
        <f t="shared" si="6"/>
        <v>0</v>
      </c>
      <c r="Z41" s="86">
        <f t="shared" si="6"/>
        <v>0</v>
      </c>
      <c r="AA41" s="86">
        <f t="shared" si="6"/>
        <v>0</v>
      </c>
      <c r="AB41" s="86">
        <f t="shared" si="6"/>
        <v>0</v>
      </c>
      <c r="AC41" s="86">
        <f t="shared" si="6"/>
        <v>0</v>
      </c>
      <c r="AD41" s="86">
        <f t="shared" si="6"/>
        <v>0</v>
      </c>
      <c r="AE41" s="86">
        <f t="shared" si="6"/>
        <v>0</v>
      </c>
      <c r="AF41" s="86">
        <f t="shared" si="6"/>
        <v>0</v>
      </c>
      <c r="AG41" s="86">
        <f t="shared" si="6"/>
        <v>0</v>
      </c>
      <c r="AH41" s="86">
        <f t="shared" si="6"/>
        <v>0</v>
      </c>
      <c r="AI41" s="86">
        <f t="shared" si="6"/>
        <v>0</v>
      </c>
      <c r="AJ41" s="86">
        <f t="shared" si="6"/>
        <v>0</v>
      </c>
      <c r="AK41" s="86">
        <f t="shared" si="6"/>
        <v>0</v>
      </c>
      <c r="AL41" s="86">
        <f t="shared" si="6"/>
        <v>0</v>
      </c>
      <c r="AM41" s="86">
        <f t="shared" si="6"/>
        <v>0</v>
      </c>
      <c r="AN41" s="86">
        <f t="shared" si="6"/>
        <v>0</v>
      </c>
      <c r="AO41" s="86">
        <f t="shared" si="6"/>
        <v>0</v>
      </c>
      <c r="AP41" s="86">
        <f t="shared" si="6"/>
        <v>0</v>
      </c>
      <c r="AQ41" s="86">
        <f t="shared" si="6"/>
        <v>0</v>
      </c>
      <c r="AR41" s="86">
        <f t="shared" si="6"/>
        <v>0</v>
      </c>
      <c r="AS41" s="86">
        <f t="shared" si="6"/>
        <v>0</v>
      </c>
    </row>
    <row r="42" spans="1:45" ht="15" customHeight="1">
      <c r="A42" s="149"/>
      <c r="B42" s="146" t="s">
        <v>178</v>
      </c>
      <c r="C42" s="156" t="s">
        <v>113</v>
      </c>
      <c r="D42" s="86">
        <f t="shared" ref="D42:AS42" si="7">D30/D33</f>
        <v>599.73519999999996</v>
      </c>
      <c r="E42" s="86">
        <f t="shared" si="7"/>
        <v>0</v>
      </c>
      <c r="F42" s="86">
        <f t="shared" si="7"/>
        <v>0</v>
      </c>
      <c r="G42" s="86">
        <f t="shared" si="7"/>
        <v>0</v>
      </c>
      <c r="H42" s="86">
        <f t="shared" si="7"/>
        <v>0</v>
      </c>
      <c r="I42" s="86">
        <f t="shared" si="7"/>
        <v>0</v>
      </c>
      <c r="J42" s="86">
        <f t="shared" si="7"/>
        <v>0</v>
      </c>
      <c r="K42" s="86">
        <f t="shared" si="7"/>
        <v>0</v>
      </c>
      <c r="L42" s="86">
        <f t="shared" si="7"/>
        <v>0</v>
      </c>
      <c r="M42" s="86">
        <f t="shared" si="7"/>
        <v>0</v>
      </c>
      <c r="N42" s="86">
        <f t="shared" si="7"/>
        <v>0</v>
      </c>
      <c r="O42" s="86">
        <f t="shared" si="7"/>
        <v>0</v>
      </c>
      <c r="P42" s="86">
        <f t="shared" si="7"/>
        <v>0</v>
      </c>
      <c r="Q42" s="86">
        <f t="shared" si="7"/>
        <v>0</v>
      </c>
      <c r="R42" s="86">
        <f t="shared" si="7"/>
        <v>0</v>
      </c>
      <c r="S42" s="86">
        <f t="shared" si="7"/>
        <v>0</v>
      </c>
      <c r="T42" s="86">
        <f t="shared" si="7"/>
        <v>0</v>
      </c>
      <c r="U42" s="86">
        <f t="shared" si="7"/>
        <v>0</v>
      </c>
      <c r="V42" s="86">
        <f t="shared" si="7"/>
        <v>0</v>
      </c>
      <c r="W42" s="86">
        <f t="shared" si="7"/>
        <v>0</v>
      </c>
      <c r="X42" s="86">
        <f t="shared" si="7"/>
        <v>0</v>
      </c>
      <c r="Y42" s="86">
        <f t="shared" si="7"/>
        <v>0</v>
      </c>
      <c r="Z42" s="86">
        <f t="shared" si="7"/>
        <v>0</v>
      </c>
      <c r="AA42" s="86">
        <f t="shared" si="7"/>
        <v>0</v>
      </c>
      <c r="AB42" s="86">
        <f t="shared" si="7"/>
        <v>0</v>
      </c>
      <c r="AC42" s="86">
        <f t="shared" si="7"/>
        <v>0</v>
      </c>
      <c r="AD42" s="86">
        <f t="shared" si="7"/>
        <v>0</v>
      </c>
      <c r="AE42" s="86">
        <f t="shared" si="7"/>
        <v>0</v>
      </c>
      <c r="AF42" s="86">
        <f t="shared" si="7"/>
        <v>0</v>
      </c>
      <c r="AG42" s="86">
        <f t="shared" si="7"/>
        <v>0</v>
      </c>
      <c r="AH42" s="86">
        <f t="shared" si="7"/>
        <v>0</v>
      </c>
      <c r="AI42" s="86">
        <f t="shared" si="7"/>
        <v>0</v>
      </c>
      <c r="AJ42" s="86">
        <f t="shared" si="7"/>
        <v>0</v>
      </c>
      <c r="AK42" s="86">
        <f t="shared" si="7"/>
        <v>0</v>
      </c>
      <c r="AL42" s="86">
        <f t="shared" si="7"/>
        <v>0</v>
      </c>
      <c r="AM42" s="86">
        <f t="shared" si="7"/>
        <v>0</v>
      </c>
      <c r="AN42" s="86">
        <f t="shared" si="7"/>
        <v>0</v>
      </c>
      <c r="AO42" s="86">
        <f t="shared" si="7"/>
        <v>0</v>
      </c>
      <c r="AP42" s="86">
        <f t="shared" si="7"/>
        <v>0</v>
      </c>
      <c r="AQ42" s="86">
        <f t="shared" si="7"/>
        <v>0</v>
      </c>
      <c r="AR42" s="86">
        <f t="shared" si="7"/>
        <v>0</v>
      </c>
      <c r="AS42" s="86">
        <f t="shared" si="7"/>
        <v>0</v>
      </c>
    </row>
    <row r="43" spans="1:45" ht="15" customHeight="1">
      <c r="A43" s="149"/>
      <c r="B43" s="146" t="s">
        <v>179</v>
      </c>
      <c r="C43" s="156" t="s">
        <v>114</v>
      </c>
      <c r="D43" s="86">
        <f t="shared" ref="D43:AS43" si="8">D31/D33</f>
        <v>-10.237399999999999</v>
      </c>
      <c r="E43" s="86">
        <f t="shared" si="8"/>
        <v>0</v>
      </c>
      <c r="F43" s="86">
        <f t="shared" si="8"/>
        <v>0</v>
      </c>
      <c r="G43" s="86">
        <f t="shared" si="8"/>
        <v>0</v>
      </c>
      <c r="H43" s="86">
        <f t="shared" si="8"/>
        <v>0</v>
      </c>
      <c r="I43" s="86">
        <f t="shared" si="8"/>
        <v>0</v>
      </c>
      <c r="J43" s="86">
        <f t="shared" si="8"/>
        <v>0</v>
      </c>
      <c r="K43" s="86">
        <f t="shared" si="8"/>
        <v>0</v>
      </c>
      <c r="L43" s="86">
        <f t="shared" si="8"/>
        <v>0</v>
      </c>
      <c r="M43" s="86">
        <f t="shared" si="8"/>
        <v>0</v>
      </c>
      <c r="N43" s="86">
        <f t="shared" si="8"/>
        <v>0</v>
      </c>
      <c r="O43" s="86">
        <f t="shared" si="8"/>
        <v>0</v>
      </c>
      <c r="P43" s="86">
        <f t="shared" si="8"/>
        <v>0</v>
      </c>
      <c r="Q43" s="86">
        <f t="shared" si="8"/>
        <v>0</v>
      </c>
      <c r="R43" s="86">
        <f t="shared" si="8"/>
        <v>0</v>
      </c>
      <c r="S43" s="86">
        <f t="shared" si="8"/>
        <v>0</v>
      </c>
      <c r="T43" s="86">
        <f t="shared" si="8"/>
        <v>0</v>
      </c>
      <c r="U43" s="86">
        <f t="shared" si="8"/>
        <v>0</v>
      </c>
      <c r="V43" s="86">
        <f t="shared" si="8"/>
        <v>0</v>
      </c>
      <c r="W43" s="86">
        <f t="shared" si="8"/>
        <v>0</v>
      </c>
      <c r="X43" s="86">
        <f t="shared" si="8"/>
        <v>0</v>
      </c>
      <c r="Y43" s="86">
        <f t="shared" si="8"/>
        <v>0</v>
      </c>
      <c r="Z43" s="86">
        <f t="shared" si="8"/>
        <v>0</v>
      </c>
      <c r="AA43" s="86">
        <f t="shared" si="8"/>
        <v>0</v>
      </c>
      <c r="AB43" s="86">
        <f t="shared" si="8"/>
        <v>0</v>
      </c>
      <c r="AC43" s="86">
        <f t="shared" si="8"/>
        <v>0</v>
      </c>
      <c r="AD43" s="86">
        <f t="shared" si="8"/>
        <v>0</v>
      </c>
      <c r="AE43" s="86">
        <f t="shared" si="8"/>
        <v>0</v>
      </c>
      <c r="AF43" s="86">
        <f t="shared" si="8"/>
        <v>0</v>
      </c>
      <c r="AG43" s="86">
        <f t="shared" si="8"/>
        <v>0</v>
      </c>
      <c r="AH43" s="86">
        <f t="shared" si="8"/>
        <v>0</v>
      </c>
      <c r="AI43" s="86">
        <f t="shared" si="8"/>
        <v>0</v>
      </c>
      <c r="AJ43" s="86">
        <f t="shared" si="8"/>
        <v>0</v>
      </c>
      <c r="AK43" s="86">
        <f t="shared" si="8"/>
        <v>0</v>
      </c>
      <c r="AL43" s="86">
        <f t="shared" si="8"/>
        <v>0</v>
      </c>
      <c r="AM43" s="86">
        <f t="shared" si="8"/>
        <v>0</v>
      </c>
      <c r="AN43" s="86">
        <f t="shared" si="8"/>
        <v>0</v>
      </c>
      <c r="AO43" s="86">
        <f t="shared" si="8"/>
        <v>0</v>
      </c>
      <c r="AP43" s="86">
        <f t="shared" si="8"/>
        <v>0</v>
      </c>
      <c r="AQ43" s="86">
        <f t="shared" si="8"/>
        <v>0</v>
      </c>
      <c r="AR43" s="86">
        <f t="shared" si="8"/>
        <v>0</v>
      </c>
      <c r="AS43" s="86">
        <f t="shared" si="8"/>
        <v>0</v>
      </c>
    </row>
    <row r="44" spans="1:45" ht="15" customHeight="1">
      <c r="A44" s="149"/>
      <c r="B44" s="148" t="s">
        <v>180</v>
      </c>
      <c r="C44" s="155" t="s">
        <v>115</v>
      </c>
      <c r="D44" s="86">
        <f t="shared" ref="D44:AS44" si="9">D32/D33</f>
        <v>726.05709999999999</v>
      </c>
      <c r="E44" s="86">
        <f t="shared" si="9"/>
        <v>0</v>
      </c>
      <c r="F44" s="86">
        <f t="shared" si="9"/>
        <v>0</v>
      </c>
      <c r="G44" s="86">
        <f t="shared" si="9"/>
        <v>0</v>
      </c>
      <c r="H44" s="86">
        <f t="shared" si="9"/>
        <v>0</v>
      </c>
      <c r="I44" s="86">
        <f t="shared" si="9"/>
        <v>0</v>
      </c>
      <c r="J44" s="86">
        <f t="shared" si="9"/>
        <v>0</v>
      </c>
      <c r="K44" s="86">
        <f t="shared" si="9"/>
        <v>0</v>
      </c>
      <c r="L44" s="86">
        <f t="shared" si="9"/>
        <v>0</v>
      </c>
      <c r="M44" s="86">
        <f t="shared" si="9"/>
        <v>0</v>
      </c>
      <c r="N44" s="86">
        <f t="shared" si="9"/>
        <v>0</v>
      </c>
      <c r="O44" s="86">
        <f t="shared" si="9"/>
        <v>0</v>
      </c>
      <c r="P44" s="86">
        <f t="shared" si="9"/>
        <v>0</v>
      </c>
      <c r="Q44" s="86">
        <f t="shared" si="9"/>
        <v>0</v>
      </c>
      <c r="R44" s="86">
        <f t="shared" si="9"/>
        <v>0</v>
      </c>
      <c r="S44" s="86">
        <f t="shared" si="9"/>
        <v>0</v>
      </c>
      <c r="T44" s="86">
        <f t="shared" si="9"/>
        <v>0</v>
      </c>
      <c r="U44" s="86">
        <f t="shared" si="9"/>
        <v>0</v>
      </c>
      <c r="V44" s="86">
        <f t="shared" si="9"/>
        <v>0</v>
      </c>
      <c r="W44" s="86">
        <f t="shared" si="9"/>
        <v>0</v>
      </c>
      <c r="X44" s="86">
        <f t="shared" si="9"/>
        <v>0</v>
      </c>
      <c r="Y44" s="86">
        <f t="shared" si="9"/>
        <v>0</v>
      </c>
      <c r="Z44" s="86">
        <f t="shared" si="9"/>
        <v>0</v>
      </c>
      <c r="AA44" s="86">
        <f t="shared" si="9"/>
        <v>0</v>
      </c>
      <c r="AB44" s="86">
        <f t="shared" si="9"/>
        <v>0</v>
      </c>
      <c r="AC44" s="86">
        <f t="shared" si="9"/>
        <v>0</v>
      </c>
      <c r="AD44" s="86">
        <f t="shared" si="9"/>
        <v>0</v>
      </c>
      <c r="AE44" s="86">
        <f t="shared" si="9"/>
        <v>0</v>
      </c>
      <c r="AF44" s="86">
        <f t="shared" si="9"/>
        <v>0</v>
      </c>
      <c r="AG44" s="86">
        <f t="shared" si="9"/>
        <v>0</v>
      </c>
      <c r="AH44" s="86">
        <f t="shared" si="9"/>
        <v>0</v>
      </c>
      <c r="AI44" s="86">
        <f t="shared" si="9"/>
        <v>0</v>
      </c>
      <c r="AJ44" s="86">
        <f t="shared" si="9"/>
        <v>0</v>
      </c>
      <c r="AK44" s="86">
        <f t="shared" si="9"/>
        <v>0</v>
      </c>
      <c r="AL44" s="86">
        <f t="shared" si="9"/>
        <v>0</v>
      </c>
      <c r="AM44" s="86">
        <f t="shared" si="9"/>
        <v>0</v>
      </c>
      <c r="AN44" s="86">
        <f t="shared" si="9"/>
        <v>0</v>
      </c>
      <c r="AO44" s="86">
        <f t="shared" si="9"/>
        <v>0</v>
      </c>
      <c r="AP44" s="86">
        <f t="shared" si="9"/>
        <v>0</v>
      </c>
      <c r="AQ44" s="86">
        <f t="shared" si="9"/>
        <v>0</v>
      </c>
      <c r="AR44" s="86">
        <f t="shared" si="9"/>
        <v>0</v>
      </c>
      <c r="AS44" s="86">
        <f t="shared" si="9"/>
        <v>0</v>
      </c>
    </row>
    <row r="45" spans="1:45" ht="15" customHeight="1"/>
    <row r="46" spans="1:45" ht="15" customHeight="1">
      <c r="C46" s="76" t="s">
        <v>121</v>
      </c>
    </row>
    <row r="47" spans="1:45" ht="15" customHeight="1">
      <c r="B47" s="146" t="s">
        <v>181</v>
      </c>
      <c r="C47" s="163" t="s">
        <v>106</v>
      </c>
      <c r="D47" s="165"/>
      <c r="E47" s="191">
        <f t="shared" ref="E47:AS47" si="10">E13</f>
        <v>0</v>
      </c>
      <c r="F47" s="191">
        <f t="shared" si="10"/>
        <v>0</v>
      </c>
      <c r="G47" s="191">
        <f t="shared" si="10"/>
        <v>0</v>
      </c>
      <c r="H47" s="191">
        <f t="shared" si="10"/>
        <v>0</v>
      </c>
      <c r="I47" s="191">
        <f t="shared" si="10"/>
        <v>0</v>
      </c>
      <c r="J47" s="191">
        <f t="shared" si="10"/>
        <v>0</v>
      </c>
      <c r="K47" s="191">
        <f t="shared" si="10"/>
        <v>0</v>
      </c>
      <c r="L47" s="191">
        <f t="shared" si="10"/>
        <v>0</v>
      </c>
      <c r="M47" s="191">
        <f t="shared" si="10"/>
        <v>0</v>
      </c>
      <c r="N47" s="191">
        <f t="shared" si="10"/>
        <v>0</v>
      </c>
      <c r="O47" s="191">
        <f t="shared" si="10"/>
        <v>0</v>
      </c>
      <c r="P47" s="191">
        <f t="shared" si="10"/>
        <v>0</v>
      </c>
      <c r="Q47" s="191">
        <f t="shared" si="10"/>
        <v>0</v>
      </c>
      <c r="R47" s="191">
        <f t="shared" si="10"/>
        <v>0</v>
      </c>
      <c r="S47" s="191">
        <f t="shared" si="10"/>
        <v>0</v>
      </c>
      <c r="T47" s="191">
        <f t="shared" si="10"/>
        <v>0</v>
      </c>
      <c r="U47" s="191">
        <f t="shared" si="10"/>
        <v>0</v>
      </c>
      <c r="V47" s="191">
        <f t="shared" si="10"/>
        <v>0</v>
      </c>
      <c r="W47" s="191">
        <f t="shared" si="10"/>
        <v>0</v>
      </c>
      <c r="X47" s="191">
        <f t="shared" si="10"/>
        <v>0</v>
      </c>
      <c r="Y47" s="191">
        <f t="shared" si="10"/>
        <v>0</v>
      </c>
      <c r="Z47" s="191">
        <f t="shared" si="10"/>
        <v>0</v>
      </c>
      <c r="AA47" s="191">
        <f t="shared" si="10"/>
        <v>0</v>
      </c>
      <c r="AB47" s="191">
        <f t="shared" si="10"/>
        <v>0</v>
      </c>
      <c r="AC47" s="191">
        <f t="shared" si="10"/>
        <v>0</v>
      </c>
      <c r="AD47" s="191">
        <f t="shared" si="10"/>
        <v>0</v>
      </c>
      <c r="AE47" s="191">
        <f t="shared" si="10"/>
        <v>0</v>
      </c>
      <c r="AF47" s="191">
        <f t="shared" si="10"/>
        <v>0</v>
      </c>
      <c r="AG47" s="191">
        <f t="shared" si="10"/>
        <v>0</v>
      </c>
      <c r="AH47" s="191">
        <f t="shared" si="10"/>
        <v>0</v>
      </c>
      <c r="AI47" s="191">
        <f t="shared" si="10"/>
        <v>0</v>
      </c>
      <c r="AJ47" s="191">
        <f t="shared" si="10"/>
        <v>0</v>
      </c>
      <c r="AK47" s="191">
        <f t="shared" si="10"/>
        <v>0</v>
      </c>
      <c r="AL47" s="191">
        <f t="shared" si="10"/>
        <v>0</v>
      </c>
      <c r="AM47" s="191">
        <f t="shared" si="10"/>
        <v>0</v>
      </c>
      <c r="AN47" s="191">
        <f t="shared" si="10"/>
        <v>0</v>
      </c>
      <c r="AO47" s="191">
        <f t="shared" si="10"/>
        <v>0</v>
      </c>
      <c r="AP47" s="191">
        <f t="shared" si="10"/>
        <v>0</v>
      </c>
      <c r="AQ47" s="191">
        <f t="shared" si="10"/>
        <v>0</v>
      </c>
      <c r="AR47" s="191">
        <f t="shared" si="10"/>
        <v>0</v>
      </c>
      <c r="AS47" s="191">
        <f t="shared" si="10"/>
        <v>0</v>
      </c>
    </row>
    <row r="48" spans="1:45" ht="15" customHeight="1">
      <c r="B48" s="146" t="s">
        <v>182</v>
      </c>
      <c r="C48" s="163" t="s">
        <v>122</v>
      </c>
      <c r="D48" s="166"/>
      <c r="E48" s="288">
        <f>'Wksh 1 - Market Experience'!F46</f>
        <v>0</v>
      </c>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8"/>
      <c r="AJ48" s="288"/>
      <c r="AK48" s="288"/>
      <c r="AL48" s="288"/>
      <c r="AM48" s="288"/>
      <c r="AN48" s="288"/>
      <c r="AO48" s="288"/>
      <c r="AP48" s="288"/>
      <c r="AQ48" s="288"/>
      <c r="AR48" s="288"/>
      <c r="AS48" s="288"/>
    </row>
    <row r="49" spans="2:45" ht="15" customHeight="1">
      <c r="B49" s="146" t="s">
        <v>183</v>
      </c>
      <c r="C49" s="163" t="s">
        <v>123</v>
      </c>
      <c r="D49" s="166"/>
      <c r="E49" s="193">
        <v>0</v>
      </c>
      <c r="F49" s="193">
        <v>0</v>
      </c>
      <c r="G49" s="193">
        <v>0.78400000000000003</v>
      </c>
      <c r="H49" s="193">
        <v>0.78359999999999996</v>
      </c>
      <c r="I49" s="193">
        <v>0.75570000000000004</v>
      </c>
      <c r="J49" s="193">
        <v>0.89239999999999997</v>
      </c>
      <c r="K49" s="193">
        <v>0.92410000000000003</v>
      </c>
      <c r="L49" s="193">
        <v>1.0089999999999999</v>
      </c>
      <c r="M49" s="193">
        <v>1.0247999999999999</v>
      </c>
      <c r="N49" s="193">
        <v>0.8518</v>
      </c>
      <c r="O49" s="193">
        <v>0.995</v>
      </c>
      <c r="P49" s="193">
        <v>0.83350000000000002</v>
      </c>
      <c r="Q49" s="193">
        <v>0.82269999999999999</v>
      </c>
      <c r="R49" s="193">
        <v>0.84150000000000003</v>
      </c>
      <c r="S49" s="193">
        <v>0.73899999999999999</v>
      </c>
      <c r="T49" s="193">
        <v>0.7359</v>
      </c>
      <c r="U49" s="193">
        <v>1.0371999999999999</v>
      </c>
      <c r="V49" s="193">
        <v>1.0304</v>
      </c>
      <c r="W49" s="193">
        <v>0.93600000000000005</v>
      </c>
      <c r="X49" s="193">
        <v>0.94</v>
      </c>
      <c r="Y49" s="193">
        <v>0.879</v>
      </c>
      <c r="Z49" s="193">
        <v>0.83860000000000001</v>
      </c>
      <c r="AA49" s="193">
        <v>0.73699999999999999</v>
      </c>
      <c r="AB49" s="193">
        <v>0.6653</v>
      </c>
      <c r="AC49" s="193">
        <v>0.86409999999999998</v>
      </c>
      <c r="AD49" s="193">
        <v>0.81799999999999995</v>
      </c>
      <c r="AE49" s="193">
        <v>0.73019999999999996</v>
      </c>
      <c r="AF49" s="193">
        <v>0.86550000000000005</v>
      </c>
      <c r="AG49" s="193">
        <v>0.71970000000000001</v>
      </c>
      <c r="AH49" s="193">
        <v>0.91679999999999995</v>
      </c>
      <c r="AI49" s="193">
        <v>0.90890000000000004</v>
      </c>
      <c r="AJ49" s="193">
        <v>0.90569999999999995</v>
      </c>
      <c r="AK49" s="193">
        <v>0</v>
      </c>
      <c r="AL49" s="193">
        <v>0</v>
      </c>
      <c r="AM49" s="193">
        <v>0</v>
      </c>
      <c r="AN49" s="193">
        <v>0</v>
      </c>
      <c r="AO49" s="193">
        <v>0</v>
      </c>
      <c r="AP49" s="193">
        <v>0</v>
      </c>
      <c r="AQ49" s="193">
        <v>0</v>
      </c>
      <c r="AR49" s="193">
        <v>0</v>
      </c>
      <c r="AS49" s="193">
        <v>0</v>
      </c>
    </row>
    <row r="50" spans="2:45" ht="15" customHeight="1">
      <c r="B50" s="146" t="s">
        <v>184</v>
      </c>
      <c r="C50" s="163" t="s">
        <v>124</v>
      </c>
      <c r="D50" s="166"/>
      <c r="E50" s="193">
        <v>1</v>
      </c>
      <c r="F50" s="193">
        <v>1</v>
      </c>
      <c r="G50" s="193">
        <v>1</v>
      </c>
      <c r="H50" s="193">
        <v>1</v>
      </c>
      <c r="I50" s="193">
        <v>1</v>
      </c>
      <c r="J50" s="193">
        <v>1</v>
      </c>
      <c r="K50" s="193">
        <v>1</v>
      </c>
      <c r="L50" s="193">
        <v>1</v>
      </c>
      <c r="M50" s="193">
        <v>1</v>
      </c>
      <c r="N50" s="193">
        <v>1</v>
      </c>
      <c r="O50" s="193">
        <v>1</v>
      </c>
      <c r="P50" s="193">
        <v>1</v>
      </c>
      <c r="Q50" s="193">
        <v>1</v>
      </c>
      <c r="R50" s="193">
        <v>1</v>
      </c>
      <c r="S50" s="193">
        <v>1</v>
      </c>
      <c r="T50" s="193">
        <v>1</v>
      </c>
      <c r="U50" s="193">
        <v>1</v>
      </c>
      <c r="V50" s="193">
        <v>1</v>
      </c>
      <c r="W50" s="193">
        <v>1</v>
      </c>
      <c r="X50" s="193">
        <v>1</v>
      </c>
      <c r="Y50" s="193">
        <v>1</v>
      </c>
      <c r="Z50" s="193">
        <v>1</v>
      </c>
      <c r="AA50" s="193">
        <v>1</v>
      </c>
      <c r="AB50" s="193">
        <v>1</v>
      </c>
      <c r="AC50" s="193">
        <v>1</v>
      </c>
      <c r="AD50" s="193">
        <v>1</v>
      </c>
      <c r="AE50" s="193">
        <v>1</v>
      </c>
      <c r="AF50" s="193">
        <v>1</v>
      </c>
      <c r="AG50" s="193">
        <v>1</v>
      </c>
      <c r="AH50" s="193">
        <v>1</v>
      </c>
      <c r="AI50" s="193">
        <v>1</v>
      </c>
      <c r="AJ50" s="193">
        <v>1</v>
      </c>
      <c r="AK50" s="193">
        <v>1</v>
      </c>
      <c r="AL50" s="193">
        <v>1</v>
      </c>
      <c r="AM50" s="193">
        <v>1</v>
      </c>
      <c r="AN50" s="193">
        <v>1</v>
      </c>
      <c r="AO50" s="193">
        <v>1</v>
      </c>
      <c r="AP50" s="193">
        <v>1</v>
      </c>
      <c r="AQ50" s="193">
        <v>1</v>
      </c>
      <c r="AR50" s="193">
        <v>1</v>
      </c>
      <c r="AS50" s="193">
        <v>1</v>
      </c>
    </row>
    <row r="51" spans="2:45" ht="15" customHeight="1">
      <c r="B51" s="148" t="s">
        <v>185</v>
      </c>
      <c r="C51" s="164" t="s">
        <v>125</v>
      </c>
      <c r="D51" s="167"/>
      <c r="E51" s="193">
        <v>1</v>
      </c>
      <c r="F51" s="193">
        <v>1</v>
      </c>
      <c r="G51" s="193">
        <v>1.0017</v>
      </c>
      <c r="H51" s="193">
        <v>1.0017</v>
      </c>
      <c r="I51" s="193">
        <v>1.0017</v>
      </c>
      <c r="J51" s="193">
        <v>1.0017</v>
      </c>
      <c r="K51" s="193">
        <v>1.0017</v>
      </c>
      <c r="L51" s="193">
        <v>1.0017</v>
      </c>
      <c r="M51" s="193">
        <v>1.0017</v>
      </c>
      <c r="N51" s="193">
        <v>1.0017</v>
      </c>
      <c r="O51" s="193">
        <v>1.0017</v>
      </c>
      <c r="P51" s="193">
        <v>1.0017</v>
      </c>
      <c r="Q51" s="193">
        <v>1.0017</v>
      </c>
      <c r="R51" s="193">
        <v>1.0017</v>
      </c>
      <c r="S51" s="193">
        <v>1.0017</v>
      </c>
      <c r="T51" s="193">
        <v>1.0017</v>
      </c>
      <c r="U51" s="193">
        <v>1.0017</v>
      </c>
      <c r="V51" s="193">
        <v>1.0017</v>
      </c>
      <c r="W51" s="193">
        <v>1.0017</v>
      </c>
      <c r="X51" s="193">
        <v>1.0017</v>
      </c>
      <c r="Y51" s="193">
        <v>1.0017</v>
      </c>
      <c r="Z51" s="193">
        <v>1.0017</v>
      </c>
      <c r="AA51" s="193">
        <v>1.0017</v>
      </c>
      <c r="AB51" s="193">
        <v>1.0017</v>
      </c>
      <c r="AC51" s="193">
        <v>1.0017</v>
      </c>
      <c r="AD51" s="193">
        <v>1.0017</v>
      </c>
      <c r="AE51" s="193">
        <v>1.0017</v>
      </c>
      <c r="AF51" s="193">
        <v>1.0017</v>
      </c>
      <c r="AG51" s="193">
        <v>1.0017</v>
      </c>
      <c r="AH51" s="193">
        <v>1.0017</v>
      </c>
      <c r="AI51" s="193">
        <v>1.0017</v>
      </c>
      <c r="AJ51" s="193">
        <v>1.0017</v>
      </c>
      <c r="AK51" s="193">
        <v>1</v>
      </c>
      <c r="AL51" s="193">
        <v>1</v>
      </c>
      <c r="AM51" s="193">
        <v>1</v>
      </c>
      <c r="AN51" s="193">
        <v>1</v>
      </c>
      <c r="AO51" s="193">
        <v>1</v>
      </c>
      <c r="AP51" s="193">
        <v>1</v>
      </c>
      <c r="AQ51" s="193">
        <v>1</v>
      </c>
      <c r="AR51" s="193">
        <v>1</v>
      </c>
      <c r="AS51" s="193">
        <v>1</v>
      </c>
    </row>
    <row r="52" spans="2:45" ht="15" customHeight="1">
      <c r="C52" s="77" t="s">
        <v>133</v>
      </c>
    </row>
    <row r="53" spans="2:45" ht="15" customHeight="1">
      <c r="B53" s="146" t="s">
        <v>186</v>
      </c>
      <c r="C53" s="172" t="s">
        <v>134</v>
      </c>
      <c r="D53" s="165"/>
      <c r="E53" s="196">
        <v>0</v>
      </c>
      <c r="F53" s="196">
        <v>0</v>
      </c>
      <c r="G53" s="196">
        <v>8.8400000000000006E-2</v>
      </c>
      <c r="H53" s="196">
        <v>8.8400000000000006E-2</v>
      </c>
      <c r="I53" s="196">
        <v>8.8400000000000006E-2</v>
      </c>
      <c r="J53" s="196">
        <v>8.8400000000000006E-2</v>
      </c>
      <c r="K53" s="196">
        <v>8.8400000000000006E-2</v>
      </c>
      <c r="L53" s="196">
        <v>8.8400000000000006E-2</v>
      </c>
      <c r="M53" s="196">
        <v>8.8400000000000006E-2</v>
      </c>
      <c r="N53" s="196">
        <v>8.8400000000000006E-2</v>
      </c>
      <c r="O53" s="196">
        <v>8.8400000000000006E-2</v>
      </c>
      <c r="P53" s="196">
        <v>8.8400000000000006E-2</v>
      </c>
      <c r="Q53" s="196">
        <v>8.8400000000000006E-2</v>
      </c>
      <c r="R53" s="196">
        <v>8.8400000000000006E-2</v>
      </c>
      <c r="S53" s="196">
        <v>8.8400000000000006E-2</v>
      </c>
      <c r="T53" s="196">
        <v>8.8400000000000006E-2</v>
      </c>
      <c r="U53" s="196">
        <v>8.8400000000000006E-2</v>
      </c>
      <c r="V53" s="196">
        <v>8.8400000000000006E-2</v>
      </c>
      <c r="W53" s="196">
        <v>8.8400000000000006E-2</v>
      </c>
      <c r="X53" s="196">
        <v>8.8400000000000006E-2</v>
      </c>
      <c r="Y53" s="196">
        <v>8.8400000000000006E-2</v>
      </c>
      <c r="Z53" s="196">
        <v>8.8400000000000006E-2</v>
      </c>
      <c r="AA53" s="196">
        <v>8.8400000000000006E-2</v>
      </c>
      <c r="AB53" s="196">
        <v>8.8400000000000006E-2</v>
      </c>
      <c r="AC53" s="196">
        <v>8.8400000000000006E-2</v>
      </c>
      <c r="AD53" s="196">
        <v>8.8400000000000006E-2</v>
      </c>
      <c r="AE53" s="196">
        <v>8.8400000000000006E-2</v>
      </c>
      <c r="AF53" s="196">
        <v>8.8400000000000006E-2</v>
      </c>
      <c r="AG53" s="196">
        <v>8.8400000000000006E-2</v>
      </c>
      <c r="AH53" s="196">
        <v>8.8400000000000006E-2</v>
      </c>
      <c r="AI53" s="196">
        <v>8.8400000000000006E-2</v>
      </c>
      <c r="AJ53" s="196">
        <v>8.8400000000000006E-2</v>
      </c>
      <c r="AK53" s="196">
        <v>0</v>
      </c>
      <c r="AL53" s="196">
        <v>0</v>
      </c>
      <c r="AM53" s="196">
        <v>0</v>
      </c>
      <c r="AN53" s="196">
        <v>0</v>
      </c>
      <c r="AO53" s="196">
        <v>0</v>
      </c>
      <c r="AP53" s="196">
        <v>0</v>
      </c>
      <c r="AQ53" s="196">
        <v>0</v>
      </c>
      <c r="AR53" s="196">
        <v>0</v>
      </c>
      <c r="AS53" s="196">
        <v>0</v>
      </c>
    </row>
    <row r="54" spans="2:45" ht="15" customHeight="1">
      <c r="B54" s="146" t="s">
        <v>187</v>
      </c>
      <c r="C54" s="172" t="s">
        <v>135</v>
      </c>
      <c r="D54" s="166"/>
      <c r="E54" s="196">
        <v>0</v>
      </c>
      <c r="F54" s="196">
        <v>0</v>
      </c>
      <c r="G54" s="196">
        <v>3.6900000000000002E-2</v>
      </c>
      <c r="H54" s="196">
        <v>3.6900000000000002E-2</v>
      </c>
      <c r="I54" s="196">
        <v>3.6900000000000002E-2</v>
      </c>
      <c r="J54" s="196">
        <v>3.6900000000000002E-2</v>
      </c>
      <c r="K54" s="196">
        <v>3.6900000000000002E-2</v>
      </c>
      <c r="L54" s="196">
        <v>3.6900000000000002E-2</v>
      </c>
      <c r="M54" s="196">
        <v>3.6900000000000002E-2</v>
      </c>
      <c r="N54" s="196">
        <v>3.6900000000000002E-2</v>
      </c>
      <c r="O54" s="196">
        <v>3.6900000000000002E-2</v>
      </c>
      <c r="P54" s="196">
        <v>3.6900000000000002E-2</v>
      </c>
      <c r="Q54" s="196">
        <v>3.6900000000000002E-2</v>
      </c>
      <c r="R54" s="196">
        <v>3.6900000000000002E-2</v>
      </c>
      <c r="S54" s="196">
        <v>3.6900000000000002E-2</v>
      </c>
      <c r="T54" s="196">
        <v>3.6900000000000002E-2</v>
      </c>
      <c r="U54" s="196">
        <v>3.6900000000000002E-2</v>
      </c>
      <c r="V54" s="196">
        <v>3.6900000000000002E-2</v>
      </c>
      <c r="W54" s="196">
        <v>3.6900000000000002E-2</v>
      </c>
      <c r="X54" s="196">
        <v>3.6900000000000002E-2</v>
      </c>
      <c r="Y54" s="196">
        <v>3.6900000000000002E-2</v>
      </c>
      <c r="Z54" s="196">
        <v>3.6900000000000002E-2</v>
      </c>
      <c r="AA54" s="196">
        <v>3.6900000000000002E-2</v>
      </c>
      <c r="AB54" s="196">
        <v>3.6900000000000002E-2</v>
      </c>
      <c r="AC54" s="196">
        <v>3.6900000000000002E-2</v>
      </c>
      <c r="AD54" s="196">
        <v>3.6900000000000002E-2</v>
      </c>
      <c r="AE54" s="196">
        <v>3.6900000000000002E-2</v>
      </c>
      <c r="AF54" s="196">
        <v>3.6900000000000002E-2</v>
      </c>
      <c r="AG54" s="196">
        <v>3.6900000000000002E-2</v>
      </c>
      <c r="AH54" s="196">
        <v>3.6900000000000002E-2</v>
      </c>
      <c r="AI54" s="196">
        <v>3.6900000000000002E-2</v>
      </c>
      <c r="AJ54" s="196">
        <v>3.6900000000000002E-2</v>
      </c>
      <c r="AK54" s="196">
        <v>0</v>
      </c>
      <c r="AL54" s="196">
        <v>0</v>
      </c>
      <c r="AM54" s="196">
        <v>0</v>
      </c>
      <c r="AN54" s="196">
        <v>0</v>
      </c>
      <c r="AO54" s="196">
        <v>0</v>
      </c>
      <c r="AP54" s="196">
        <v>0</v>
      </c>
      <c r="AQ54" s="196">
        <v>0</v>
      </c>
      <c r="AR54" s="196">
        <v>0</v>
      </c>
      <c r="AS54" s="196">
        <v>0</v>
      </c>
    </row>
    <row r="55" spans="2:45" ht="15" customHeight="1">
      <c r="B55" s="146" t="s">
        <v>188</v>
      </c>
      <c r="C55" s="172" t="s">
        <v>12</v>
      </c>
      <c r="D55" s="166"/>
      <c r="E55" s="196">
        <v>0</v>
      </c>
      <c r="F55" s="196">
        <v>0</v>
      </c>
      <c r="G55" s="196">
        <v>7.8399999999999997E-2</v>
      </c>
      <c r="H55" s="196">
        <v>7.8399999999999997E-2</v>
      </c>
      <c r="I55" s="196">
        <v>7.8399999999999997E-2</v>
      </c>
      <c r="J55" s="196">
        <v>7.8399999999999997E-2</v>
      </c>
      <c r="K55" s="196">
        <v>7.8399999999999997E-2</v>
      </c>
      <c r="L55" s="196">
        <v>7.8399999999999997E-2</v>
      </c>
      <c r="M55" s="196">
        <v>7.8399999999999997E-2</v>
      </c>
      <c r="N55" s="196">
        <v>7.8399999999999997E-2</v>
      </c>
      <c r="O55" s="196">
        <v>7.8399999999999997E-2</v>
      </c>
      <c r="P55" s="196">
        <v>7.8399999999999997E-2</v>
      </c>
      <c r="Q55" s="196">
        <v>7.8399999999999997E-2</v>
      </c>
      <c r="R55" s="196">
        <v>7.8399999999999997E-2</v>
      </c>
      <c r="S55" s="196">
        <v>7.8399999999999997E-2</v>
      </c>
      <c r="T55" s="196">
        <v>7.8399999999999997E-2</v>
      </c>
      <c r="U55" s="196">
        <v>7.8399999999999997E-2</v>
      </c>
      <c r="V55" s="196">
        <v>7.8399999999999997E-2</v>
      </c>
      <c r="W55" s="196">
        <v>7.8399999999999997E-2</v>
      </c>
      <c r="X55" s="196">
        <v>7.8399999999999997E-2</v>
      </c>
      <c r="Y55" s="196">
        <v>7.8399999999999997E-2</v>
      </c>
      <c r="Z55" s="196">
        <v>7.8399999999999997E-2</v>
      </c>
      <c r="AA55" s="196">
        <v>7.8399999999999997E-2</v>
      </c>
      <c r="AB55" s="196">
        <v>7.8399999999999997E-2</v>
      </c>
      <c r="AC55" s="196">
        <v>7.8399999999999997E-2</v>
      </c>
      <c r="AD55" s="196">
        <v>7.8399999999999997E-2</v>
      </c>
      <c r="AE55" s="196">
        <v>7.8399999999999997E-2</v>
      </c>
      <c r="AF55" s="196">
        <v>7.8399999999999997E-2</v>
      </c>
      <c r="AG55" s="196">
        <v>7.8399999999999997E-2</v>
      </c>
      <c r="AH55" s="196">
        <v>7.8399999999999997E-2</v>
      </c>
      <c r="AI55" s="196">
        <v>7.8399999999999997E-2</v>
      </c>
      <c r="AJ55" s="196">
        <v>7.8399999999999997E-2</v>
      </c>
      <c r="AK55" s="196">
        <v>0</v>
      </c>
      <c r="AL55" s="196">
        <v>0</v>
      </c>
      <c r="AM55" s="196">
        <v>0</v>
      </c>
      <c r="AN55" s="196">
        <v>0</v>
      </c>
      <c r="AO55" s="196">
        <v>0</v>
      </c>
      <c r="AP55" s="196">
        <v>0</v>
      </c>
      <c r="AQ55" s="196">
        <v>0</v>
      </c>
      <c r="AR55" s="196">
        <v>0</v>
      </c>
      <c r="AS55" s="196">
        <v>0</v>
      </c>
    </row>
    <row r="56" spans="2:45" ht="15" customHeight="1">
      <c r="B56" s="146" t="s">
        <v>189</v>
      </c>
      <c r="C56" s="163" t="s">
        <v>126</v>
      </c>
      <c r="D56" s="166"/>
      <c r="E56" s="193">
        <v>1</v>
      </c>
      <c r="F56" s="193">
        <v>1</v>
      </c>
      <c r="G56" s="193">
        <v>1</v>
      </c>
      <c r="H56" s="193">
        <v>1</v>
      </c>
      <c r="I56" s="193">
        <v>1</v>
      </c>
      <c r="J56" s="193">
        <v>1</v>
      </c>
      <c r="K56" s="193">
        <v>1</v>
      </c>
      <c r="L56" s="193">
        <v>1</v>
      </c>
      <c r="M56" s="193">
        <v>1</v>
      </c>
      <c r="N56" s="193">
        <v>1</v>
      </c>
      <c r="O56" s="193">
        <v>1</v>
      </c>
      <c r="P56" s="193">
        <v>1</v>
      </c>
      <c r="Q56" s="193">
        <v>1</v>
      </c>
      <c r="R56" s="193">
        <v>1</v>
      </c>
      <c r="S56" s="193">
        <v>1</v>
      </c>
      <c r="T56" s="193">
        <v>1</v>
      </c>
      <c r="U56" s="193">
        <v>1</v>
      </c>
      <c r="V56" s="193">
        <v>1</v>
      </c>
      <c r="W56" s="193">
        <v>1</v>
      </c>
      <c r="X56" s="193">
        <v>1</v>
      </c>
      <c r="Y56" s="193">
        <v>1</v>
      </c>
      <c r="Z56" s="193">
        <v>1</v>
      </c>
      <c r="AA56" s="193">
        <v>1</v>
      </c>
      <c r="AB56" s="193">
        <v>1</v>
      </c>
      <c r="AC56" s="193">
        <v>1</v>
      </c>
      <c r="AD56" s="193">
        <v>1</v>
      </c>
      <c r="AE56" s="193">
        <v>1</v>
      </c>
      <c r="AF56" s="193">
        <v>1</v>
      </c>
      <c r="AG56" s="193">
        <v>1</v>
      </c>
      <c r="AH56" s="193">
        <v>1</v>
      </c>
      <c r="AI56" s="193">
        <v>1</v>
      </c>
      <c r="AJ56" s="193">
        <v>1</v>
      </c>
      <c r="AK56" s="193">
        <v>1</v>
      </c>
      <c r="AL56" s="193">
        <v>1</v>
      </c>
      <c r="AM56" s="193">
        <v>1</v>
      </c>
      <c r="AN56" s="193">
        <v>1</v>
      </c>
      <c r="AO56" s="193">
        <v>1</v>
      </c>
      <c r="AP56" s="193">
        <v>1</v>
      </c>
      <c r="AQ56" s="193">
        <v>1</v>
      </c>
      <c r="AR56" s="193">
        <v>1</v>
      </c>
      <c r="AS56" s="193">
        <v>1</v>
      </c>
    </row>
    <row r="57" spans="2:45" ht="15" customHeight="1">
      <c r="B57" s="148" t="s">
        <v>190</v>
      </c>
      <c r="C57" s="173" t="s">
        <v>79</v>
      </c>
      <c r="D57" s="167"/>
      <c r="E57" s="195">
        <f t="shared" ref="E57:AS57" si="11">($E$48*PRODUCT(E49:E51)*E56)/(1-SUM(E53:E55))</f>
        <v>0</v>
      </c>
      <c r="F57" s="195">
        <f t="shared" si="11"/>
        <v>0</v>
      </c>
      <c r="G57" s="195">
        <f t="shared" si="11"/>
        <v>0</v>
      </c>
      <c r="H57" s="195">
        <f t="shared" si="11"/>
        <v>0</v>
      </c>
      <c r="I57" s="195">
        <f t="shared" si="11"/>
        <v>0</v>
      </c>
      <c r="J57" s="195">
        <f t="shared" si="11"/>
        <v>0</v>
      </c>
      <c r="K57" s="195">
        <f t="shared" si="11"/>
        <v>0</v>
      </c>
      <c r="L57" s="195">
        <f t="shared" si="11"/>
        <v>0</v>
      </c>
      <c r="M57" s="195">
        <f t="shared" si="11"/>
        <v>0</v>
      </c>
      <c r="N57" s="195">
        <f t="shared" si="11"/>
        <v>0</v>
      </c>
      <c r="O57" s="195">
        <f t="shared" si="11"/>
        <v>0</v>
      </c>
      <c r="P57" s="195">
        <f t="shared" si="11"/>
        <v>0</v>
      </c>
      <c r="Q57" s="195">
        <f t="shared" si="11"/>
        <v>0</v>
      </c>
      <c r="R57" s="195">
        <f t="shared" si="11"/>
        <v>0</v>
      </c>
      <c r="S57" s="195">
        <f t="shared" si="11"/>
        <v>0</v>
      </c>
      <c r="T57" s="195">
        <f t="shared" si="11"/>
        <v>0</v>
      </c>
      <c r="U57" s="195">
        <f t="shared" si="11"/>
        <v>0</v>
      </c>
      <c r="V57" s="195">
        <f t="shared" si="11"/>
        <v>0</v>
      </c>
      <c r="W57" s="195">
        <f t="shared" si="11"/>
        <v>0</v>
      </c>
      <c r="X57" s="195">
        <f t="shared" si="11"/>
        <v>0</v>
      </c>
      <c r="Y57" s="195">
        <f t="shared" si="11"/>
        <v>0</v>
      </c>
      <c r="Z57" s="195">
        <f t="shared" si="11"/>
        <v>0</v>
      </c>
      <c r="AA57" s="195">
        <f t="shared" si="11"/>
        <v>0</v>
      </c>
      <c r="AB57" s="195">
        <f t="shared" si="11"/>
        <v>0</v>
      </c>
      <c r="AC57" s="195">
        <f t="shared" si="11"/>
        <v>0</v>
      </c>
      <c r="AD57" s="195">
        <f t="shared" si="11"/>
        <v>0</v>
      </c>
      <c r="AE57" s="195">
        <f t="shared" si="11"/>
        <v>0</v>
      </c>
      <c r="AF57" s="195">
        <f t="shared" si="11"/>
        <v>0</v>
      </c>
      <c r="AG57" s="195">
        <f t="shared" si="11"/>
        <v>0</v>
      </c>
      <c r="AH57" s="195">
        <f t="shared" si="11"/>
        <v>0</v>
      </c>
      <c r="AI57" s="195">
        <f t="shared" si="11"/>
        <v>0</v>
      </c>
      <c r="AJ57" s="195">
        <f t="shared" si="11"/>
        <v>0</v>
      </c>
      <c r="AK57" s="195">
        <f t="shared" si="11"/>
        <v>0</v>
      </c>
      <c r="AL57" s="195">
        <f t="shared" si="11"/>
        <v>0</v>
      </c>
      <c r="AM57" s="195">
        <f t="shared" si="11"/>
        <v>0</v>
      </c>
      <c r="AN57" s="195">
        <f t="shared" si="11"/>
        <v>0</v>
      </c>
      <c r="AO57" s="195">
        <f t="shared" si="11"/>
        <v>0</v>
      </c>
      <c r="AP57" s="195">
        <f t="shared" si="11"/>
        <v>0</v>
      </c>
      <c r="AQ57" s="195">
        <f t="shared" si="11"/>
        <v>0</v>
      </c>
      <c r="AR57" s="195">
        <f t="shared" si="11"/>
        <v>0</v>
      </c>
      <c r="AS57" s="195">
        <f t="shared" si="11"/>
        <v>0</v>
      </c>
    </row>
    <row r="58" spans="2:45" ht="15" customHeight="1"/>
    <row r="59" spans="2:45" ht="15" customHeight="1">
      <c r="B59" s="146" t="s">
        <v>191</v>
      </c>
      <c r="C59" s="156" t="s">
        <v>127</v>
      </c>
      <c r="D59" s="208">
        <v>0.70789999999999997</v>
      </c>
      <c r="E59" s="289">
        <f>IF(D59&lt;&gt;"", D59, "")</f>
        <v>0</v>
      </c>
      <c r="F59" s="289"/>
      <c r="G59" s="289"/>
      <c r="H59" s="289"/>
      <c r="I59" s="289"/>
      <c r="J59" s="289"/>
      <c r="K59" s="289"/>
      <c r="L59" s="289"/>
      <c r="M59" s="289"/>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row>
    <row r="60" spans="2:45" ht="15" customHeight="1">
      <c r="B60" s="146" t="s">
        <v>192</v>
      </c>
      <c r="C60" s="156" t="s">
        <v>128</v>
      </c>
      <c r="D60" s="208">
        <v>1.1334</v>
      </c>
      <c r="E60" s="289">
        <f>IF(D60&lt;&gt;"", D60, "")</f>
        <v>0</v>
      </c>
      <c r="F60" s="289"/>
      <c r="G60" s="289"/>
      <c r="H60" s="289"/>
      <c r="I60" s="289"/>
      <c r="J60" s="289"/>
      <c r="K60" s="289"/>
      <c r="L60" s="289"/>
      <c r="M60" s="289"/>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row>
    <row r="61" spans="2:45" ht="15" customHeight="1">
      <c r="B61" s="146" t="s">
        <v>193</v>
      </c>
      <c r="C61" s="156" t="s">
        <v>129</v>
      </c>
      <c r="D61" s="208">
        <v>1</v>
      </c>
      <c r="E61" s="289">
        <f>IF(D61&lt;&gt;"", D61, "")</f>
        <v>0</v>
      </c>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row>
    <row r="62" spans="2:45" ht="15" customHeight="1">
      <c r="B62" s="148" t="s">
        <v>194</v>
      </c>
      <c r="C62" s="171" t="s">
        <v>136</v>
      </c>
      <c r="D62" s="170"/>
      <c r="E62" s="195">
        <f t="shared" ref="E62:AS62" si="12">E57*(PRODUCT($E$59:$E$61))</f>
        <v>0</v>
      </c>
      <c r="F62" s="195">
        <f t="shared" si="12"/>
        <v>0</v>
      </c>
      <c r="G62" s="195">
        <f t="shared" si="12"/>
        <v>0</v>
      </c>
      <c r="H62" s="195">
        <f t="shared" si="12"/>
        <v>0</v>
      </c>
      <c r="I62" s="195">
        <f t="shared" si="12"/>
        <v>0</v>
      </c>
      <c r="J62" s="195">
        <f t="shared" si="12"/>
        <v>0</v>
      </c>
      <c r="K62" s="195">
        <f t="shared" si="12"/>
        <v>0</v>
      </c>
      <c r="L62" s="195">
        <f t="shared" si="12"/>
        <v>0</v>
      </c>
      <c r="M62" s="195">
        <f t="shared" si="12"/>
        <v>0</v>
      </c>
      <c r="N62" s="195">
        <f t="shared" si="12"/>
        <v>0</v>
      </c>
      <c r="O62" s="195">
        <f t="shared" si="12"/>
        <v>0</v>
      </c>
      <c r="P62" s="195">
        <f t="shared" si="12"/>
        <v>0</v>
      </c>
      <c r="Q62" s="195">
        <f t="shared" si="12"/>
        <v>0</v>
      </c>
      <c r="R62" s="195">
        <f t="shared" si="12"/>
        <v>0</v>
      </c>
      <c r="S62" s="195">
        <f t="shared" si="12"/>
        <v>0</v>
      </c>
      <c r="T62" s="195">
        <f t="shared" si="12"/>
        <v>0</v>
      </c>
      <c r="U62" s="195">
        <f t="shared" si="12"/>
        <v>0</v>
      </c>
      <c r="V62" s="195">
        <f t="shared" si="12"/>
        <v>0</v>
      </c>
      <c r="W62" s="195">
        <f t="shared" si="12"/>
        <v>0</v>
      </c>
      <c r="X62" s="195">
        <f t="shared" si="12"/>
        <v>0</v>
      </c>
      <c r="Y62" s="195">
        <f t="shared" si="12"/>
        <v>0</v>
      </c>
      <c r="Z62" s="195">
        <f t="shared" si="12"/>
        <v>0</v>
      </c>
      <c r="AA62" s="195">
        <f t="shared" si="12"/>
        <v>0</v>
      </c>
      <c r="AB62" s="195">
        <f t="shared" si="12"/>
        <v>0</v>
      </c>
      <c r="AC62" s="195">
        <f t="shared" si="12"/>
        <v>0</v>
      </c>
      <c r="AD62" s="195">
        <f t="shared" si="12"/>
        <v>0</v>
      </c>
      <c r="AE62" s="195">
        <f t="shared" si="12"/>
        <v>0</v>
      </c>
      <c r="AF62" s="195">
        <f t="shared" si="12"/>
        <v>0</v>
      </c>
      <c r="AG62" s="195">
        <f t="shared" si="12"/>
        <v>0</v>
      </c>
      <c r="AH62" s="195">
        <f t="shared" si="12"/>
        <v>0</v>
      </c>
      <c r="AI62" s="195">
        <f t="shared" si="12"/>
        <v>0</v>
      </c>
      <c r="AJ62" s="195">
        <f t="shared" si="12"/>
        <v>0</v>
      </c>
      <c r="AK62" s="195">
        <f t="shared" si="12"/>
        <v>0</v>
      </c>
      <c r="AL62" s="195">
        <f t="shared" si="12"/>
        <v>0</v>
      </c>
      <c r="AM62" s="195">
        <f t="shared" si="12"/>
        <v>0</v>
      </c>
      <c r="AN62" s="195">
        <f t="shared" si="12"/>
        <v>0</v>
      </c>
      <c r="AO62" s="195">
        <f t="shared" si="12"/>
        <v>0</v>
      </c>
      <c r="AP62" s="195">
        <f t="shared" si="12"/>
        <v>0</v>
      </c>
      <c r="AQ62" s="195">
        <f t="shared" si="12"/>
        <v>0</v>
      </c>
      <c r="AR62" s="195">
        <f t="shared" si="12"/>
        <v>0</v>
      </c>
      <c r="AS62" s="195">
        <f t="shared" si="12"/>
        <v>0</v>
      </c>
    </row>
    <row r="63" spans="2:45" ht="15" customHeight="1"/>
    <row r="64" spans="2:45" ht="15" customHeight="1">
      <c r="C64" s="76" t="s">
        <v>130</v>
      </c>
    </row>
    <row r="65" spans="2:45" ht="15" customHeight="1">
      <c r="B65" s="146" t="s">
        <v>195</v>
      </c>
      <c r="C65" s="152" t="s">
        <v>106</v>
      </c>
      <c r="D65" s="174" t="s">
        <v>2</v>
      </c>
      <c r="E65" s="90">
        <f t="shared" ref="E65:AS65" si="13">E13</f>
        <v>0</v>
      </c>
      <c r="F65" s="90">
        <f t="shared" si="13"/>
        <v>0</v>
      </c>
      <c r="G65" s="90">
        <f t="shared" si="13"/>
        <v>0</v>
      </c>
      <c r="H65" s="90">
        <f t="shared" si="13"/>
        <v>0</v>
      </c>
      <c r="I65" s="90">
        <f t="shared" si="13"/>
        <v>0</v>
      </c>
      <c r="J65" s="90">
        <f t="shared" si="13"/>
        <v>0</v>
      </c>
      <c r="K65" s="90">
        <f t="shared" si="13"/>
        <v>0</v>
      </c>
      <c r="L65" s="90">
        <f t="shared" si="13"/>
        <v>0</v>
      </c>
      <c r="M65" s="90">
        <f t="shared" si="13"/>
        <v>0</v>
      </c>
      <c r="N65" s="90">
        <f t="shared" si="13"/>
        <v>0</v>
      </c>
      <c r="O65" s="90">
        <f t="shared" si="13"/>
        <v>0</v>
      </c>
      <c r="P65" s="90">
        <f t="shared" si="13"/>
        <v>0</v>
      </c>
      <c r="Q65" s="90">
        <f t="shared" si="13"/>
        <v>0</v>
      </c>
      <c r="R65" s="90">
        <f t="shared" si="13"/>
        <v>0</v>
      </c>
      <c r="S65" s="90">
        <f t="shared" si="13"/>
        <v>0</v>
      </c>
      <c r="T65" s="90">
        <f t="shared" si="13"/>
        <v>0</v>
      </c>
      <c r="U65" s="90">
        <f t="shared" si="13"/>
        <v>0</v>
      </c>
      <c r="V65" s="90">
        <f t="shared" si="13"/>
        <v>0</v>
      </c>
      <c r="W65" s="90">
        <f t="shared" si="13"/>
        <v>0</v>
      </c>
      <c r="X65" s="90">
        <f t="shared" si="13"/>
        <v>0</v>
      </c>
      <c r="Y65" s="90">
        <f t="shared" si="13"/>
        <v>0</v>
      </c>
      <c r="Z65" s="90">
        <f t="shared" si="13"/>
        <v>0</v>
      </c>
      <c r="AA65" s="90">
        <f t="shared" si="13"/>
        <v>0</v>
      </c>
      <c r="AB65" s="90">
        <f t="shared" si="13"/>
        <v>0</v>
      </c>
      <c r="AC65" s="90">
        <f t="shared" si="13"/>
        <v>0</v>
      </c>
      <c r="AD65" s="90">
        <f t="shared" si="13"/>
        <v>0</v>
      </c>
      <c r="AE65" s="90">
        <f t="shared" si="13"/>
        <v>0</v>
      </c>
      <c r="AF65" s="90">
        <f t="shared" si="13"/>
        <v>0</v>
      </c>
      <c r="AG65" s="90">
        <f t="shared" si="13"/>
        <v>0</v>
      </c>
      <c r="AH65" s="90">
        <f t="shared" si="13"/>
        <v>0</v>
      </c>
      <c r="AI65" s="90">
        <f t="shared" si="13"/>
        <v>0</v>
      </c>
      <c r="AJ65" s="90">
        <f t="shared" si="13"/>
        <v>0</v>
      </c>
      <c r="AK65" s="90">
        <f t="shared" si="13"/>
        <v>0</v>
      </c>
      <c r="AL65" s="90">
        <f t="shared" si="13"/>
        <v>0</v>
      </c>
      <c r="AM65" s="90">
        <f t="shared" si="13"/>
        <v>0</v>
      </c>
      <c r="AN65" s="90">
        <f t="shared" si="13"/>
        <v>0</v>
      </c>
      <c r="AO65" s="90">
        <f t="shared" si="13"/>
        <v>0</v>
      </c>
      <c r="AP65" s="90">
        <f t="shared" si="13"/>
        <v>0</v>
      </c>
      <c r="AQ65" s="90">
        <f t="shared" si="13"/>
        <v>0</v>
      </c>
      <c r="AR65" s="90">
        <f t="shared" si="13"/>
        <v>0</v>
      </c>
      <c r="AS65" s="90">
        <f t="shared" si="13"/>
        <v>0</v>
      </c>
    </row>
    <row r="66" spans="2:45" ht="15" customHeight="1">
      <c r="B66" s="146" t="s">
        <v>196</v>
      </c>
      <c r="C66" s="152" t="s">
        <v>86</v>
      </c>
      <c r="D66" s="159">
        <f>SUM(E66:XFD66)</f>
        <v>198906327.47999999</v>
      </c>
      <c r="E66" s="187">
        <f>0</f>
        <v>0</v>
      </c>
      <c r="F66" s="187">
        <f>0</f>
        <v>0</v>
      </c>
      <c r="G66" s="187">
        <f>1900191.14</f>
        <v>0</v>
      </c>
      <c r="H66" s="187">
        <f>1900191.14</f>
        <v>0</v>
      </c>
      <c r="I66" s="187">
        <f>1900191.14</f>
        <v>0</v>
      </c>
      <c r="J66" s="187">
        <f>804580.76</f>
        <v>0</v>
      </c>
      <c r="K66" s="187">
        <f>804580.76</f>
        <v>0</v>
      </c>
      <c r="L66" s="187">
        <f>7851377.02</f>
        <v>0</v>
      </c>
      <c r="M66" s="187">
        <f>12251740.28</f>
        <v>0</v>
      </c>
      <c r="N66" s="187">
        <f>11835096.28</f>
        <v>0</v>
      </c>
      <c r="O66" s="187">
        <f>16311217.42</f>
        <v>0</v>
      </c>
      <c r="P66" s="187">
        <f>10582682.83</f>
        <v>0</v>
      </c>
      <c r="Q66" s="187">
        <f>4350977.11</f>
        <v>0</v>
      </c>
      <c r="R66" s="187">
        <f>21284281.69</f>
        <v>0</v>
      </c>
      <c r="S66" s="187">
        <f>27036771.4</f>
        <v>0</v>
      </c>
      <c r="T66" s="187">
        <f>18738178.01</f>
        <v>0</v>
      </c>
      <c r="U66" s="187">
        <f>1569725.59</f>
        <v>0</v>
      </c>
      <c r="V66" s="187">
        <f>677190.43</f>
        <v>0</v>
      </c>
      <c r="W66" s="187">
        <f>1041569.44</f>
        <v>0</v>
      </c>
      <c r="X66" s="187">
        <f>835785.68</f>
        <v>0</v>
      </c>
      <c r="Y66" s="187">
        <f>4123265.57</f>
        <v>0</v>
      </c>
      <c r="Z66" s="187">
        <f>11729674.28</f>
        <v>0</v>
      </c>
      <c r="AA66" s="187">
        <f>6567126.12</f>
        <v>0</v>
      </c>
      <c r="AB66" s="187">
        <f>6824047.66</f>
        <v>0</v>
      </c>
      <c r="AC66" s="187">
        <f>3635794.2</f>
        <v>0</v>
      </c>
      <c r="AD66" s="187">
        <f>3185431.39</f>
        <v>0</v>
      </c>
      <c r="AE66" s="187">
        <f>12586309.18</f>
        <v>0</v>
      </c>
      <c r="AF66" s="187">
        <f>2288922.63</f>
        <v>0</v>
      </c>
      <c r="AG66" s="187">
        <f>3281105.91</f>
        <v>0</v>
      </c>
      <c r="AH66" s="187">
        <f>863617.09</f>
        <v>0</v>
      </c>
      <c r="AI66" s="187">
        <f>1339281.19</f>
        <v>0</v>
      </c>
      <c r="AJ66" s="187">
        <f>805424.14</f>
        <v>0</v>
      </c>
      <c r="AK66" s="187">
        <f>0</f>
        <v>0</v>
      </c>
      <c r="AL66" s="187">
        <f>0</f>
        <v>0</v>
      </c>
      <c r="AM66" s="187">
        <f>0</f>
        <v>0</v>
      </c>
      <c r="AN66" s="187">
        <f>0</f>
        <v>0</v>
      </c>
      <c r="AO66" s="187">
        <f>0</f>
        <v>0</v>
      </c>
      <c r="AP66" s="187">
        <f>0</f>
        <v>0</v>
      </c>
      <c r="AQ66" s="187">
        <f>0</f>
        <v>0</v>
      </c>
      <c r="AR66" s="187">
        <f>0</f>
        <v>0</v>
      </c>
      <c r="AS66" s="187">
        <f>0</f>
        <v>0</v>
      </c>
    </row>
    <row r="67" spans="2:45" ht="15" customHeight="1">
      <c r="B67" s="146" t="s">
        <v>197</v>
      </c>
      <c r="C67" s="152" t="s">
        <v>87</v>
      </c>
      <c r="D67" s="159">
        <f>SUM(E67:XFD67)</f>
        <v>0</v>
      </c>
      <c r="E67" s="187">
        <f>0</f>
        <v>0</v>
      </c>
      <c r="F67" s="187">
        <f>0</f>
        <v>0</v>
      </c>
      <c r="G67" s="187">
        <f>0</f>
        <v>0</v>
      </c>
      <c r="H67" s="187">
        <f>0</f>
        <v>0</v>
      </c>
      <c r="I67" s="187">
        <f>0</f>
        <v>0</v>
      </c>
      <c r="J67" s="187">
        <f>0</f>
        <v>0</v>
      </c>
      <c r="K67" s="187">
        <f>0</f>
        <v>0</v>
      </c>
      <c r="L67" s="187">
        <f>0</f>
        <v>0</v>
      </c>
      <c r="M67" s="187">
        <f>0</f>
        <v>0</v>
      </c>
      <c r="N67" s="187">
        <f>0</f>
        <v>0</v>
      </c>
      <c r="O67" s="187">
        <f>0</f>
        <v>0</v>
      </c>
      <c r="P67" s="187">
        <f>0</f>
        <v>0</v>
      </c>
      <c r="Q67" s="187">
        <f>0</f>
        <v>0</v>
      </c>
      <c r="R67" s="187">
        <f>0</f>
        <v>0</v>
      </c>
      <c r="S67" s="187">
        <f>0</f>
        <v>0</v>
      </c>
      <c r="T67" s="187">
        <f>0</f>
        <v>0</v>
      </c>
      <c r="U67" s="187">
        <f>0</f>
        <v>0</v>
      </c>
      <c r="V67" s="187">
        <f>0</f>
        <v>0</v>
      </c>
      <c r="W67" s="187">
        <f>0</f>
        <v>0</v>
      </c>
      <c r="X67" s="187">
        <f>0</f>
        <v>0</v>
      </c>
      <c r="Y67" s="187">
        <f>0</f>
        <v>0</v>
      </c>
      <c r="Z67" s="187">
        <f>0</f>
        <v>0</v>
      </c>
      <c r="AA67" s="187">
        <f>0</f>
        <v>0</v>
      </c>
      <c r="AB67" s="187">
        <f>0</f>
        <v>0</v>
      </c>
      <c r="AC67" s="187">
        <f>0</f>
        <v>0</v>
      </c>
      <c r="AD67" s="187">
        <f>0</f>
        <v>0</v>
      </c>
      <c r="AE67" s="187">
        <f>0</f>
        <v>0</v>
      </c>
      <c r="AF67" s="187">
        <f>0</f>
        <v>0</v>
      </c>
      <c r="AG67" s="187">
        <f>0</f>
        <v>0</v>
      </c>
      <c r="AH67" s="187">
        <f>0</f>
        <v>0</v>
      </c>
      <c r="AI67" s="187">
        <f>0</f>
        <v>0</v>
      </c>
      <c r="AJ67" s="187">
        <f>0</f>
        <v>0</v>
      </c>
      <c r="AK67" s="187">
        <f>0</f>
        <v>0</v>
      </c>
      <c r="AL67" s="187">
        <f>0</f>
        <v>0</v>
      </c>
      <c r="AM67" s="187">
        <f>0</f>
        <v>0</v>
      </c>
      <c r="AN67" s="187">
        <f>0</f>
        <v>0</v>
      </c>
      <c r="AO67" s="187">
        <f>0</f>
        <v>0</v>
      </c>
      <c r="AP67" s="187">
        <f>0</f>
        <v>0</v>
      </c>
      <c r="AQ67" s="187">
        <f>0</f>
        <v>0</v>
      </c>
      <c r="AR67" s="187">
        <f>0</f>
        <v>0</v>
      </c>
      <c r="AS67" s="187">
        <f>0</f>
        <v>0</v>
      </c>
    </row>
    <row r="68" spans="2:45" ht="15" customHeight="1">
      <c r="B68" s="146" t="s">
        <v>198</v>
      </c>
      <c r="C68" s="152" t="s">
        <v>111</v>
      </c>
      <c r="D68" s="159">
        <f>SUM(E68:XFD68)</f>
        <v>34012982.020000003</v>
      </c>
      <c r="E68" s="187">
        <f>0</f>
        <v>0</v>
      </c>
      <c r="F68" s="187">
        <f>0</f>
        <v>0</v>
      </c>
      <c r="G68" s="187">
        <f>361480.51</f>
        <v>0</v>
      </c>
      <c r="H68" s="187">
        <f>362266.36</f>
        <v>0</v>
      </c>
      <c r="I68" s="187">
        <f>417014.5</f>
        <v>0</v>
      </c>
      <c r="J68" s="187">
        <f>84386.3</f>
        <v>0</v>
      </c>
      <c r="K68" s="187">
        <f>58749.71</f>
        <v>0</v>
      </c>
      <c r="L68" s="187">
        <f>537691.52</f>
        <v>0</v>
      </c>
      <c r="M68" s="187">
        <f>660910.1</f>
        <v>0</v>
      </c>
      <c r="N68" s="187">
        <f>1722973.06</f>
        <v>0</v>
      </c>
      <c r="O68" s="187">
        <f>1328082.92</f>
        <v>0</v>
      </c>
      <c r="P68" s="187">
        <f>1734746.66</f>
        <v>0</v>
      </c>
      <c r="Q68" s="187">
        <f>760408.86</f>
        <v>0</v>
      </c>
      <c r="R68" s="187">
        <f>3318014.81</f>
        <v>0</v>
      </c>
      <c r="S68" s="187">
        <f>6399366.93</f>
        <v>0</v>
      </c>
      <c r="T68" s="187">
        <f>4494575.5</f>
        <v>0</v>
      </c>
      <c r="U68" s="187">
        <f>66689.88</f>
        <v>0</v>
      </c>
      <c r="V68" s="187">
        <f>33025.96</f>
        <v>0</v>
      </c>
      <c r="W68" s="187">
        <f>63643.82</f>
        <v>0</v>
      </c>
      <c r="X68" s="187">
        <f>47712.82</f>
        <v>0</v>
      </c>
      <c r="Y68" s="187">
        <f>487659.74</f>
        <v>0</v>
      </c>
      <c r="Z68" s="187">
        <f>1863091.37</f>
        <v>0</v>
      </c>
      <c r="AA68" s="187">
        <f>1567960.99</f>
        <v>0</v>
      </c>
      <c r="AB68" s="187">
        <f>2087582.89</f>
        <v>0</v>
      </c>
      <c r="AC68" s="187">
        <f>484523.25</f>
        <v>0</v>
      </c>
      <c r="AD68" s="187">
        <f>571635.72</f>
        <v>0</v>
      </c>
      <c r="AE68" s="187">
        <f>3093585.62</f>
        <v>0</v>
      </c>
      <c r="AF68" s="187">
        <f>301661.89</f>
        <v>0</v>
      </c>
      <c r="AG68" s="187">
        <f>842195.45</f>
        <v>0</v>
      </c>
      <c r="AH68" s="187">
        <f>69419.62</f>
        <v>0</v>
      </c>
      <c r="AI68" s="187">
        <f>118233.47</f>
        <v>0</v>
      </c>
      <c r="AJ68" s="187">
        <f>73691.79</f>
        <v>0</v>
      </c>
      <c r="AK68" s="187">
        <f>0</f>
        <v>0</v>
      </c>
      <c r="AL68" s="187">
        <f>0</f>
        <v>0</v>
      </c>
      <c r="AM68" s="187">
        <f>0</f>
        <v>0</v>
      </c>
      <c r="AN68" s="187">
        <f>0</f>
        <v>0</v>
      </c>
      <c r="AO68" s="187">
        <f>0</f>
        <v>0</v>
      </c>
      <c r="AP68" s="187">
        <f>0</f>
        <v>0</v>
      </c>
      <c r="AQ68" s="187">
        <f>0</f>
        <v>0</v>
      </c>
      <c r="AR68" s="187">
        <f>0</f>
        <v>0</v>
      </c>
      <c r="AS68" s="187">
        <f>0</f>
        <v>0</v>
      </c>
    </row>
    <row r="69" spans="2:45" ht="15" customHeight="1">
      <c r="B69" s="146" t="s">
        <v>199</v>
      </c>
      <c r="C69" s="152" t="s">
        <v>112</v>
      </c>
      <c r="D69" s="159">
        <f>SUM(E69:XFD69)</f>
        <v>0</v>
      </c>
      <c r="E69" s="187">
        <f>0</f>
        <v>0</v>
      </c>
      <c r="F69" s="187">
        <f>0</f>
        <v>0</v>
      </c>
      <c r="G69" s="187">
        <f>0</f>
        <v>0</v>
      </c>
      <c r="H69" s="187">
        <f>0</f>
        <v>0</v>
      </c>
      <c r="I69" s="187">
        <f>0</f>
        <v>0</v>
      </c>
      <c r="J69" s="187">
        <f>0</f>
        <v>0</v>
      </c>
      <c r="K69" s="187">
        <f>0</f>
        <v>0</v>
      </c>
      <c r="L69" s="187">
        <f>0</f>
        <v>0</v>
      </c>
      <c r="M69" s="187">
        <f>0</f>
        <v>0</v>
      </c>
      <c r="N69" s="187">
        <f>0</f>
        <v>0</v>
      </c>
      <c r="O69" s="187">
        <f>0</f>
        <v>0</v>
      </c>
      <c r="P69" s="187">
        <f>0</f>
        <v>0</v>
      </c>
      <c r="Q69" s="187">
        <f>0</f>
        <v>0</v>
      </c>
      <c r="R69" s="187">
        <f>0</f>
        <v>0</v>
      </c>
      <c r="S69" s="187">
        <f>0</f>
        <v>0</v>
      </c>
      <c r="T69" s="187">
        <f>0</f>
        <v>0</v>
      </c>
      <c r="U69" s="187">
        <f>0</f>
        <v>0</v>
      </c>
      <c r="V69" s="187">
        <f>0</f>
        <v>0</v>
      </c>
      <c r="W69" s="187">
        <f>0</f>
        <v>0</v>
      </c>
      <c r="X69" s="187">
        <f>0</f>
        <v>0</v>
      </c>
      <c r="Y69" s="187">
        <f>0</f>
        <v>0</v>
      </c>
      <c r="Z69" s="187">
        <f>0</f>
        <v>0</v>
      </c>
      <c r="AA69" s="187">
        <f>0</f>
        <v>0</v>
      </c>
      <c r="AB69" s="187">
        <f>0</f>
        <v>0</v>
      </c>
      <c r="AC69" s="187">
        <f>0</f>
        <v>0</v>
      </c>
      <c r="AD69" s="187">
        <f>0</f>
        <v>0</v>
      </c>
      <c r="AE69" s="187">
        <f>0</f>
        <v>0</v>
      </c>
      <c r="AF69" s="187">
        <f>0</f>
        <v>0</v>
      </c>
      <c r="AG69" s="187">
        <f>0</f>
        <v>0</v>
      </c>
      <c r="AH69" s="187">
        <f>0</f>
        <v>0</v>
      </c>
      <c r="AI69" s="187">
        <f>0</f>
        <v>0</v>
      </c>
      <c r="AJ69" s="187">
        <f>0</f>
        <v>0</v>
      </c>
      <c r="AK69" s="187">
        <f>0</f>
        <v>0</v>
      </c>
      <c r="AL69" s="187">
        <f>0</f>
        <v>0</v>
      </c>
      <c r="AM69" s="187">
        <f>0</f>
        <v>0</v>
      </c>
      <c r="AN69" s="187">
        <f>0</f>
        <v>0</v>
      </c>
      <c r="AO69" s="187">
        <f>0</f>
        <v>0</v>
      </c>
      <c r="AP69" s="187">
        <f>0</f>
        <v>0</v>
      </c>
      <c r="AQ69" s="187">
        <f>0</f>
        <v>0</v>
      </c>
      <c r="AR69" s="187">
        <f>0</f>
        <v>0</v>
      </c>
      <c r="AS69" s="187">
        <f>0</f>
        <v>0</v>
      </c>
    </row>
    <row r="70" spans="2:45" ht="15" customHeight="1">
      <c r="B70" s="146" t="s">
        <v>200</v>
      </c>
      <c r="C70" s="152" t="s">
        <v>113</v>
      </c>
      <c r="D70" s="159">
        <f t="shared" ref="D70:AS70" si="14">D66-D67-D68-D69</f>
        <v>164893345.46000001</v>
      </c>
      <c r="E70" s="159">
        <f t="shared" si="14"/>
        <v>0</v>
      </c>
      <c r="F70" s="159">
        <f t="shared" si="14"/>
        <v>0</v>
      </c>
      <c r="G70" s="159">
        <f t="shared" si="14"/>
        <v>0</v>
      </c>
      <c r="H70" s="159">
        <f t="shared" si="14"/>
        <v>0</v>
      </c>
      <c r="I70" s="159">
        <f t="shared" si="14"/>
        <v>0</v>
      </c>
      <c r="J70" s="159">
        <f t="shared" si="14"/>
        <v>0</v>
      </c>
      <c r="K70" s="159">
        <f t="shared" si="14"/>
        <v>0</v>
      </c>
      <c r="L70" s="159">
        <f t="shared" si="14"/>
        <v>0</v>
      </c>
      <c r="M70" s="159">
        <f t="shared" si="14"/>
        <v>0</v>
      </c>
      <c r="N70" s="159">
        <f t="shared" si="14"/>
        <v>0</v>
      </c>
      <c r="O70" s="159">
        <f t="shared" si="14"/>
        <v>0</v>
      </c>
      <c r="P70" s="159">
        <f t="shared" si="14"/>
        <v>0</v>
      </c>
      <c r="Q70" s="159">
        <f t="shared" si="14"/>
        <v>0</v>
      </c>
      <c r="R70" s="159">
        <f t="shared" si="14"/>
        <v>0</v>
      </c>
      <c r="S70" s="159">
        <f t="shared" si="14"/>
        <v>0</v>
      </c>
      <c r="T70" s="159">
        <f t="shared" si="14"/>
        <v>0</v>
      </c>
      <c r="U70" s="159">
        <f t="shared" si="14"/>
        <v>0</v>
      </c>
      <c r="V70" s="159">
        <f t="shared" si="14"/>
        <v>0</v>
      </c>
      <c r="W70" s="159">
        <f t="shared" si="14"/>
        <v>0</v>
      </c>
      <c r="X70" s="159">
        <f t="shared" si="14"/>
        <v>0</v>
      </c>
      <c r="Y70" s="159">
        <f t="shared" si="14"/>
        <v>0</v>
      </c>
      <c r="Z70" s="159">
        <f t="shared" si="14"/>
        <v>0</v>
      </c>
      <c r="AA70" s="159">
        <f t="shared" si="14"/>
        <v>0</v>
      </c>
      <c r="AB70" s="159">
        <f t="shared" si="14"/>
        <v>0</v>
      </c>
      <c r="AC70" s="159">
        <f t="shared" si="14"/>
        <v>0</v>
      </c>
      <c r="AD70" s="159">
        <f t="shared" si="14"/>
        <v>0</v>
      </c>
      <c r="AE70" s="159">
        <f t="shared" si="14"/>
        <v>0</v>
      </c>
      <c r="AF70" s="159">
        <f t="shared" si="14"/>
        <v>0</v>
      </c>
      <c r="AG70" s="159">
        <f t="shared" si="14"/>
        <v>0</v>
      </c>
      <c r="AH70" s="159">
        <f t="shared" si="14"/>
        <v>0</v>
      </c>
      <c r="AI70" s="159">
        <f t="shared" si="14"/>
        <v>0</v>
      </c>
      <c r="AJ70" s="159">
        <f t="shared" si="14"/>
        <v>0</v>
      </c>
      <c r="AK70" s="159">
        <f t="shared" si="14"/>
        <v>0</v>
      </c>
      <c r="AL70" s="159">
        <f t="shared" si="14"/>
        <v>0</v>
      </c>
      <c r="AM70" s="159">
        <f t="shared" si="14"/>
        <v>0</v>
      </c>
      <c r="AN70" s="159">
        <f t="shared" si="14"/>
        <v>0</v>
      </c>
      <c r="AO70" s="159">
        <f t="shared" si="14"/>
        <v>0</v>
      </c>
      <c r="AP70" s="159">
        <f t="shared" si="14"/>
        <v>0</v>
      </c>
      <c r="AQ70" s="159">
        <f t="shared" si="14"/>
        <v>0</v>
      </c>
      <c r="AR70" s="159">
        <f t="shared" si="14"/>
        <v>0</v>
      </c>
      <c r="AS70" s="159">
        <f t="shared" si="14"/>
        <v>0</v>
      </c>
    </row>
    <row r="71" spans="2:45" ht="15" customHeight="1">
      <c r="B71" s="146" t="s">
        <v>201</v>
      </c>
      <c r="C71" s="152" t="s">
        <v>114</v>
      </c>
      <c r="D71" s="159">
        <f>SUM(E71:XFD71)</f>
        <v>-3037763.32</v>
      </c>
      <c r="E71" s="187">
        <f>0</f>
        <v>0</v>
      </c>
      <c r="F71" s="187">
        <f>0</f>
        <v>0</v>
      </c>
      <c r="G71" s="187">
        <f>-29974.4</f>
        <v>0</v>
      </c>
      <c r="H71" s="187">
        <f>-29974.4</f>
        <v>0</v>
      </c>
      <c r="I71" s="187">
        <f>-29974.4</f>
        <v>0</v>
      </c>
      <c r="J71" s="187">
        <f>-12325.68</f>
        <v>0</v>
      </c>
      <c r="K71" s="187">
        <f>-12325.68</f>
        <v>0</v>
      </c>
      <c r="L71" s="187">
        <f>-110698.56</f>
        <v>0</v>
      </c>
      <c r="M71" s="187">
        <f>-172740.4</f>
        <v>0</v>
      </c>
      <c r="N71" s="187">
        <f>-181306.36</f>
        <v>0</v>
      </c>
      <c r="O71" s="187">
        <f>-229976</f>
        <v>0</v>
      </c>
      <c r="P71" s="187">
        <f>-162120.16</f>
        <v>0</v>
      </c>
      <c r="Q71" s="187">
        <f>-66654.28</f>
        <v>0</v>
      </c>
      <c r="R71" s="187">
        <f>-326062.04</f>
        <v>0</v>
      </c>
      <c r="S71" s="187">
        <f>-426489.2</f>
        <v>0</v>
      </c>
      <c r="T71" s="187">
        <f>-295583.76</f>
        <v>0</v>
      </c>
      <c r="U71" s="187">
        <f>-22131.96</f>
        <v>0</v>
      </c>
      <c r="V71" s="187">
        <f>-9547.88</f>
        <v>0</v>
      </c>
      <c r="W71" s="187">
        <f>-15956.2</f>
        <v>0</v>
      </c>
      <c r="X71" s="187">
        <f>-12803.72</f>
        <v>0</v>
      </c>
      <c r="Y71" s="187">
        <f>-63165.88</f>
        <v>0</v>
      </c>
      <c r="Z71" s="187">
        <f>-179691.36</f>
        <v>0</v>
      </c>
      <c r="AA71" s="187">
        <f>-103592.56</f>
        <v>0</v>
      </c>
      <c r="AB71" s="187">
        <f>-108721.8</f>
        <v>0</v>
      </c>
      <c r="AC71" s="187">
        <f>-55698.12</f>
        <v>0</v>
      </c>
      <c r="AD71" s="187">
        <f>-48798.84</f>
        <v>0</v>
      </c>
      <c r="AE71" s="187">
        <f>-198541.64</f>
        <v>0</v>
      </c>
      <c r="AF71" s="187">
        <f>-35064.88</f>
        <v>0</v>
      </c>
      <c r="AG71" s="187">
        <f>-51757.52</f>
        <v>0</v>
      </c>
      <c r="AH71" s="187">
        <f>-13230.08</f>
        <v>0</v>
      </c>
      <c r="AI71" s="187">
        <f>-20516.96</f>
        <v>0</v>
      </c>
      <c r="AJ71" s="187">
        <f>-12338.6</f>
        <v>0</v>
      </c>
      <c r="AK71" s="187">
        <f>0</f>
        <v>0</v>
      </c>
      <c r="AL71" s="187">
        <f>0</f>
        <v>0</v>
      </c>
      <c r="AM71" s="187">
        <f>0</f>
        <v>0</v>
      </c>
      <c r="AN71" s="187">
        <f>0</f>
        <v>0</v>
      </c>
      <c r="AO71" s="187">
        <f>0</f>
        <v>0</v>
      </c>
      <c r="AP71" s="187">
        <f>0</f>
        <v>0</v>
      </c>
      <c r="AQ71" s="187">
        <f>0</f>
        <v>0</v>
      </c>
      <c r="AR71" s="187">
        <f>0</f>
        <v>0</v>
      </c>
      <c r="AS71" s="187">
        <f>0</f>
        <v>0</v>
      </c>
    </row>
    <row r="72" spans="2:45" ht="15" customHeight="1">
      <c r="B72" s="146" t="s">
        <v>202</v>
      </c>
      <c r="C72" s="152" t="s">
        <v>115</v>
      </c>
      <c r="D72" s="159">
        <f>SUM(E72:XFD72)</f>
        <v>210902486.86000001</v>
      </c>
      <c r="E72" s="187">
        <f>0</f>
        <v>0</v>
      </c>
      <c r="F72" s="187">
        <f>0</f>
        <v>0</v>
      </c>
      <c r="G72" s="187">
        <f>1968086.8</f>
        <v>0</v>
      </c>
      <c r="H72" s="187">
        <f>1967082.67</f>
        <v>0</v>
      </c>
      <c r="I72" s="187">
        <f>1897044.89</f>
        <v>0</v>
      </c>
      <c r="J72" s="187">
        <f>921187.71</f>
        <v>0</v>
      </c>
      <c r="K72" s="187">
        <f>953910.32</f>
        <v>0</v>
      </c>
      <c r="L72" s="187">
        <f>9354289.89</f>
        <v>0</v>
      </c>
      <c r="M72" s="187">
        <f>14825546.96</f>
        <v>0</v>
      </c>
      <c r="N72" s="187">
        <f>12933866.13</f>
        <v>0</v>
      </c>
      <c r="O72" s="187">
        <f>19163872.99</f>
        <v>0</v>
      </c>
      <c r="P72" s="187">
        <f>11316713.34</f>
        <v>0</v>
      </c>
      <c r="Q72" s="187">
        <f>4592479.5</f>
        <v>0</v>
      </c>
      <c r="R72" s="187">
        <f>22979048.87</f>
        <v>0</v>
      </c>
      <c r="S72" s="187">
        <f>26395516.43</f>
        <v>0</v>
      </c>
      <c r="T72" s="187">
        <f>18217008.43</f>
        <v>0</v>
      </c>
      <c r="U72" s="187">
        <f>1922472.22</f>
        <v>0</v>
      </c>
      <c r="V72" s="187">
        <f>823930.33</f>
        <v>0</v>
      </c>
      <c r="W72" s="187">
        <f>1250785.99</f>
        <v>0</v>
      </c>
      <c r="X72" s="187">
        <f>1007956.31</f>
        <v>0</v>
      </c>
      <c r="Y72" s="187">
        <f>4649958.89</f>
        <v>0</v>
      </c>
      <c r="Z72" s="187">
        <f>12620011.21</f>
        <v>0</v>
      </c>
      <c r="AA72" s="187">
        <f>6394016.32</f>
        <v>0</v>
      </c>
      <c r="AB72" s="187">
        <f>6057756.95</f>
        <v>0</v>
      </c>
      <c r="AC72" s="187">
        <f>4030716.27</f>
        <v>0</v>
      </c>
      <c r="AD72" s="187">
        <f>3343031.66</f>
        <v>0</v>
      </c>
      <c r="AE72" s="187">
        <f>12141465.79</f>
        <v>0</v>
      </c>
      <c r="AF72" s="187">
        <f>2541658.02</f>
        <v>0</v>
      </c>
      <c r="AG72" s="187">
        <f>3119626.84</f>
        <v>0</v>
      </c>
      <c r="AH72" s="187">
        <f>1015815.33</f>
        <v>0</v>
      </c>
      <c r="AI72" s="187">
        <f>1561733.05</f>
        <v>0</v>
      </c>
      <c r="AJ72" s="187">
        <f>935896.75</f>
        <v>0</v>
      </c>
      <c r="AK72" s="187">
        <f>0</f>
        <v>0</v>
      </c>
      <c r="AL72" s="187">
        <f>0</f>
        <v>0</v>
      </c>
      <c r="AM72" s="187">
        <f>0</f>
        <v>0</v>
      </c>
      <c r="AN72" s="187">
        <f>0</f>
        <v>0</v>
      </c>
      <c r="AO72" s="187">
        <f>0</f>
        <v>0</v>
      </c>
      <c r="AP72" s="187">
        <f>0</f>
        <v>0</v>
      </c>
      <c r="AQ72" s="187">
        <f>0</f>
        <v>0</v>
      </c>
      <c r="AR72" s="187">
        <f>0</f>
        <v>0</v>
      </c>
      <c r="AS72" s="187">
        <f>0</f>
        <v>0</v>
      </c>
    </row>
    <row r="73" spans="2:45" ht="15" customHeight="1">
      <c r="B73" s="146" t="s">
        <v>203</v>
      </c>
      <c r="C73" s="152" t="s">
        <v>4</v>
      </c>
      <c r="D73" s="176">
        <f>SUM(E73:XFD73)</f>
        <v>235121</v>
      </c>
      <c r="E73" s="218">
        <f>0</f>
        <v>0</v>
      </c>
      <c r="F73" s="218">
        <f>0</f>
        <v>0</v>
      </c>
      <c r="G73" s="218">
        <f>2320</f>
        <v>0</v>
      </c>
      <c r="H73" s="218">
        <f>2320</f>
        <v>0</v>
      </c>
      <c r="I73" s="218">
        <f>2320</f>
        <v>0</v>
      </c>
      <c r="J73" s="218">
        <f>954</f>
        <v>0</v>
      </c>
      <c r="K73" s="218">
        <f>954</f>
        <v>0</v>
      </c>
      <c r="L73" s="218">
        <f>8568</f>
        <v>0</v>
      </c>
      <c r="M73" s="218">
        <f>13370</f>
        <v>0</v>
      </c>
      <c r="N73" s="218">
        <f>14033</f>
        <v>0</v>
      </c>
      <c r="O73" s="218">
        <f>17800</f>
        <v>0</v>
      </c>
      <c r="P73" s="218">
        <f>12548</f>
        <v>0</v>
      </c>
      <c r="Q73" s="218">
        <f>5159</f>
        <v>0</v>
      </c>
      <c r="R73" s="218">
        <f>25237</f>
        <v>0</v>
      </c>
      <c r="S73" s="218">
        <f>33010</f>
        <v>0</v>
      </c>
      <c r="T73" s="218">
        <f>22878</f>
        <v>0</v>
      </c>
      <c r="U73" s="218">
        <f>1713</f>
        <v>0</v>
      </c>
      <c r="V73" s="218">
        <f>739</f>
        <v>0</v>
      </c>
      <c r="W73" s="218">
        <f>1235</f>
        <v>0</v>
      </c>
      <c r="X73" s="218">
        <f>991</f>
        <v>0</v>
      </c>
      <c r="Y73" s="218">
        <f>4889</f>
        <v>0</v>
      </c>
      <c r="Z73" s="218">
        <f>13908</f>
        <v>0</v>
      </c>
      <c r="AA73" s="218">
        <f>8018</f>
        <v>0</v>
      </c>
      <c r="AB73" s="218">
        <f>8415</f>
        <v>0</v>
      </c>
      <c r="AC73" s="218">
        <f>4311</f>
        <v>0</v>
      </c>
      <c r="AD73" s="218">
        <f>3777</f>
        <v>0</v>
      </c>
      <c r="AE73" s="218">
        <f>15367</f>
        <v>0</v>
      </c>
      <c r="AF73" s="218">
        <f>2714</f>
        <v>0</v>
      </c>
      <c r="AG73" s="218">
        <f>4006</f>
        <v>0</v>
      </c>
      <c r="AH73" s="218">
        <f>1024</f>
        <v>0</v>
      </c>
      <c r="AI73" s="218">
        <f>1588</f>
        <v>0</v>
      </c>
      <c r="AJ73" s="218">
        <f>955</f>
        <v>0</v>
      </c>
      <c r="AK73" s="218">
        <f>0</f>
        <v>0</v>
      </c>
      <c r="AL73" s="218">
        <f>0</f>
        <v>0</v>
      </c>
      <c r="AM73" s="218">
        <f>0</f>
        <v>0</v>
      </c>
      <c r="AN73" s="218">
        <f>0</f>
        <v>0</v>
      </c>
      <c r="AO73" s="218">
        <f>0</f>
        <v>0</v>
      </c>
      <c r="AP73" s="218">
        <f>0</f>
        <v>0</v>
      </c>
      <c r="AQ73" s="218">
        <f>0</f>
        <v>0</v>
      </c>
      <c r="AR73" s="218">
        <f>0</f>
        <v>0</v>
      </c>
      <c r="AS73" s="218">
        <f>0</f>
        <v>0</v>
      </c>
    </row>
    <row r="74" spans="2:45" ht="15" customHeight="1">
      <c r="B74" s="148" t="s">
        <v>204</v>
      </c>
      <c r="C74" s="170" t="s">
        <v>118</v>
      </c>
      <c r="D74" s="89">
        <f t="shared" ref="D74:AS74" si="15">D70/(D71+D72)</f>
        <v>0.79327238721325899</v>
      </c>
      <c r="E74" s="89">
        <f t="shared" si="15"/>
        <v>0</v>
      </c>
      <c r="F74" s="89">
        <f t="shared" si="15"/>
        <v>0</v>
      </c>
      <c r="G74" s="89">
        <f t="shared" si="15"/>
        <v>0</v>
      </c>
      <c r="H74" s="89">
        <f t="shared" si="15"/>
        <v>0</v>
      </c>
      <c r="I74" s="89">
        <f t="shared" si="15"/>
        <v>0</v>
      </c>
      <c r="J74" s="89">
        <f t="shared" si="15"/>
        <v>0</v>
      </c>
      <c r="K74" s="89">
        <f t="shared" si="15"/>
        <v>0</v>
      </c>
      <c r="L74" s="89">
        <f t="shared" si="15"/>
        <v>0</v>
      </c>
      <c r="M74" s="89">
        <f t="shared" si="15"/>
        <v>0</v>
      </c>
      <c r="N74" s="89">
        <f t="shared" si="15"/>
        <v>0</v>
      </c>
      <c r="O74" s="89">
        <f t="shared" si="15"/>
        <v>0</v>
      </c>
      <c r="P74" s="89">
        <f t="shared" si="15"/>
        <v>0</v>
      </c>
      <c r="Q74" s="89">
        <f t="shared" si="15"/>
        <v>0</v>
      </c>
      <c r="R74" s="89">
        <f t="shared" si="15"/>
        <v>0</v>
      </c>
      <c r="S74" s="89">
        <f t="shared" si="15"/>
        <v>0</v>
      </c>
      <c r="T74" s="89">
        <f t="shared" si="15"/>
        <v>0</v>
      </c>
      <c r="U74" s="89">
        <f t="shared" si="15"/>
        <v>0</v>
      </c>
      <c r="V74" s="89">
        <f t="shared" si="15"/>
        <v>0</v>
      </c>
      <c r="W74" s="89">
        <f t="shared" si="15"/>
        <v>0</v>
      </c>
      <c r="X74" s="89">
        <f t="shared" si="15"/>
        <v>0</v>
      </c>
      <c r="Y74" s="89">
        <f t="shared" si="15"/>
        <v>0</v>
      </c>
      <c r="Z74" s="89">
        <f t="shared" si="15"/>
        <v>0</v>
      </c>
      <c r="AA74" s="89">
        <f t="shared" si="15"/>
        <v>0</v>
      </c>
      <c r="AB74" s="89">
        <f t="shared" si="15"/>
        <v>0</v>
      </c>
      <c r="AC74" s="89">
        <f t="shared" si="15"/>
        <v>0</v>
      </c>
      <c r="AD74" s="89">
        <f t="shared" si="15"/>
        <v>0</v>
      </c>
      <c r="AE74" s="89">
        <f t="shared" si="15"/>
        <v>0</v>
      </c>
      <c r="AF74" s="89">
        <f t="shared" si="15"/>
        <v>0</v>
      </c>
      <c r="AG74" s="89">
        <f t="shared" si="15"/>
        <v>0</v>
      </c>
      <c r="AH74" s="89">
        <f t="shared" si="15"/>
        <v>0</v>
      </c>
      <c r="AI74" s="89">
        <f t="shared" si="15"/>
        <v>0</v>
      </c>
      <c r="AJ74" s="89">
        <f t="shared" si="15"/>
        <v>0</v>
      </c>
      <c r="AK74" s="89">
        <f t="shared" si="15"/>
        <v>0</v>
      </c>
      <c r="AL74" s="89">
        <f t="shared" si="15"/>
        <v>0</v>
      </c>
      <c r="AM74" s="89">
        <f t="shared" si="15"/>
        <v>0</v>
      </c>
      <c r="AN74" s="89">
        <f t="shared" si="15"/>
        <v>0</v>
      </c>
      <c r="AO74" s="89">
        <f t="shared" si="15"/>
        <v>0</v>
      </c>
      <c r="AP74" s="89">
        <f t="shared" si="15"/>
        <v>0</v>
      </c>
      <c r="AQ74" s="89">
        <f t="shared" si="15"/>
        <v>0</v>
      </c>
      <c r="AR74" s="89">
        <f t="shared" si="15"/>
        <v>0</v>
      </c>
      <c r="AS74" s="89">
        <f t="shared" si="15"/>
        <v>0</v>
      </c>
    </row>
    <row r="75" spans="2:45" ht="15" customHeight="1">
      <c r="C75" s="78" t="s">
        <v>120</v>
      </c>
    </row>
    <row r="76" spans="2:45" ht="15" customHeight="1">
      <c r="B76" s="146" t="s">
        <v>205</v>
      </c>
      <c r="C76" s="152" t="s">
        <v>86</v>
      </c>
      <c r="D76" s="107">
        <f t="shared" ref="D76:AS76" si="16">D66/D73</f>
        <v>845.97429999999997</v>
      </c>
      <c r="E76" s="107">
        <f t="shared" si="16"/>
        <v>0</v>
      </c>
      <c r="F76" s="107">
        <f t="shared" si="16"/>
        <v>0</v>
      </c>
      <c r="G76" s="107">
        <f t="shared" si="16"/>
        <v>0</v>
      </c>
      <c r="H76" s="107">
        <f t="shared" si="16"/>
        <v>0</v>
      </c>
      <c r="I76" s="107">
        <f t="shared" si="16"/>
        <v>0</v>
      </c>
      <c r="J76" s="107">
        <f t="shared" si="16"/>
        <v>0</v>
      </c>
      <c r="K76" s="107">
        <f t="shared" si="16"/>
        <v>0</v>
      </c>
      <c r="L76" s="107">
        <f t="shared" si="16"/>
        <v>0</v>
      </c>
      <c r="M76" s="107">
        <f t="shared" si="16"/>
        <v>0</v>
      </c>
      <c r="N76" s="107">
        <f t="shared" si="16"/>
        <v>0</v>
      </c>
      <c r="O76" s="107">
        <f t="shared" si="16"/>
        <v>0</v>
      </c>
      <c r="P76" s="107">
        <f t="shared" si="16"/>
        <v>0</v>
      </c>
      <c r="Q76" s="107">
        <f t="shared" si="16"/>
        <v>0</v>
      </c>
      <c r="R76" s="107">
        <f t="shared" si="16"/>
        <v>0</v>
      </c>
      <c r="S76" s="107">
        <f t="shared" si="16"/>
        <v>0</v>
      </c>
      <c r="T76" s="107">
        <f t="shared" si="16"/>
        <v>0</v>
      </c>
      <c r="U76" s="107">
        <f t="shared" si="16"/>
        <v>0</v>
      </c>
      <c r="V76" s="107">
        <f t="shared" si="16"/>
        <v>0</v>
      </c>
      <c r="W76" s="107">
        <f t="shared" si="16"/>
        <v>0</v>
      </c>
      <c r="X76" s="107">
        <f t="shared" si="16"/>
        <v>0</v>
      </c>
      <c r="Y76" s="107">
        <f t="shared" si="16"/>
        <v>0</v>
      </c>
      <c r="Z76" s="107">
        <f t="shared" si="16"/>
        <v>0</v>
      </c>
      <c r="AA76" s="107">
        <f t="shared" si="16"/>
        <v>0</v>
      </c>
      <c r="AB76" s="107">
        <f t="shared" si="16"/>
        <v>0</v>
      </c>
      <c r="AC76" s="107">
        <f t="shared" si="16"/>
        <v>0</v>
      </c>
      <c r="AD76" s="107">
        <f t="shared" si="16"/>
        <v>0</v>
      </c>
      <c r="AE76" s="107">
        <f t="shared" si="16"/>
        <v>0</v>
      </c>
      <c r="AF76" s="107">
        <f t="shared" si="16"/>
        <v>0</v>
      </c>
      <c r="AG76" s="107">
        <f t="shared" si="16"/>
        <v>0</v>
      </c>
      <c r="AH76" s="107">
        <f t="shared" si="16"/>
        <v>0</v>
      </c>
      <c r="AI76" s="107">
        <f t="shared" si="16"/>
        <v>0</v>
      </c>
      <c r="AJ76" s="107">
        <f t="shared" si="16"/>
        <v>0</v>
      </c>
      <c r="AK76" s="107">
        <f t="shared" si="16"/>
        <v>0</v>
      </c>
      <c r="AL76" s="107">
        <f t="shared" si="16"/>
        <v>0</v>
      </c>
      <c r="AM76" s="107">
        <f t="shared" si="16"/>
        <v>0</v>
      </c>
      <c r="AN76" s="107">
        <f t="shared" si="16"/>
        <v>0</v>
      </c>
      <c r="AO76" s="107">
        <f t="shared" si="16"/>
        <v>0</v>
      </c>
      <c r="AP76" s="107">
        <f t="shared" si="16"/>
        <v>0</v>
      </c>
      <c r="AQ76" s="107">
        <f t="shared" si="16"/>
        <v>0</v>
      </c>
      <c r="AR76" s="107">
        <f t="shared" si="16"/>
        <v>0</v>
      </c>
      <c r="AS76" s="107">
        <f t="shared" si="16"/>
        <v>0</v>
      </c>
    </row>
    <row r="77" spans="2:45" ht="15" customHeight="1">
      <c r="B77" s="146" t="s">
        <v>206</v>
      </c>
      <c r="C77" s="152" t="s">
        <v>87</v>
      </c>
      <c r="D77" s="86">
        <f t="shared" ref="D77:AS77" si="17">D67/D73</f>
        <v>0</v>
      </c>
      <c r="E77" s="86">
        <f t="shared" si="17"/>
        <v>0</v>
      </c>
      <c r="F77" s="86">
        <f t="shared" si="17"/>
        <v>0</v>
      </c>
      <c r="G77" s="86">
        <f t="shared" si="17"/>
        <v>0</v>
      </c>
      <c r="H77" s="86">
        <f t="shared" si="17"/>
        <v>0</v>
      </c>
      <c r="I77" s="86">
        <f t="shared" si="17"/>
        <v>0</v>
      </c>
      <c r="J77" s="86">
        <f t="shared" si="17"/>
        <v>0</v>
      </c>
      <c r="K77" s="86">
        <f t="shared" si="17"/>
        <v>0</v>
      </c>
      <c r="L77" s="86">
        <f t="shared" si="17"/>
        <v>0</v>
      </c>
      <c r="M77" s="86">
        <f t="shared" si="17"/>
        <v>0</v>
      </c>
      <c r="N77" s="86">
        <f t="shared" si="17"/>
        <v>0</v>
      </c>
      <c r="O77" s="86">
        <f t="shared" si="17"/>
        <v>0</v>
      </c>
      <c r="P77" s="86">
        <f t="shared" si="17"/>
        <v>0</v>
      </c>
      <c r="Q77" s="86">
        <f t="shared" si="17"/>
        <v>0</v>
      </c>
      <c r="R77" s="86">
        <f t="shared" si="17"/>
        <v>0</v>
      </c>
      <c r="S77" s="86">
        <f t="shared" si="17"/>
        <v>0</v>
      </c>
      <c r="T77" s="86">
        <f t="shared" si="17"/>
        <v>0</v>
      </c>
      <c r="U77" s="86">
        <f t="shared" si="17"/>
        <v>0</v>
      </c>
      <c r="V77" s="86">
        <f t="shared" si="17"/>
        <v>0</v>
      </c>
      <c r="W77" s="86">
        <f t="shared" si="17"/>
        <v>0</v>
      </c>
      <c r="X77" s="86">
        <f t="shared" si="17"/>
        <v>0</v>
      </c>
      <c r="Y77" s="86">
        <f t="shared" si="17"/>
        <v>0</v>
      </c>
      <c r="Z77" s="86">
        <f t="shared" si="17"/>
        <v>0</v>
      </c>
      <c r="AA77" s="86">
        <f t="shared" si="17"/>
        <v>0</v>
      </c>
      <c r="AB77" s="86">
        <f t="shared" si="17"/>
        <v>0</v>
      </c>
      <c r="AC77" s="86">
        <f t="shared" si="17"/>
        <v>0</v>
      </c>
      <c r="AD77" s="86">
        <f t="shared" si="17"/>
        <v>0</v>
      </c>
      <c r="AE77" s="86">
        <f t="shared" si="17"/>
        <v>0</v>
      </c>
      <c r="AF77" s="86">
        <f t="shared" si="17"/>
        <v>0</v>
      </c>
      <c r="AG77" s="86">
        <f t="shared" si="17"/>
        <v>0</v>
      </c>
      <c r="AH77" s="86">
        <f t="shared" si="17"/>
        <v>0</v>
      </c>
      <c r="AI77" s="86">
        <f t="shared" si="17"/>
        <v>0</v>
      </c>
      <c r="AJ77" s="86">
        <f t="shared" si="17"/>
        <v>0</v>
      </c>
      <c r="AK77" s="86">
        <f t="shared" si="17"/>
        <v>0</v>
      </c>
      <c r="AL77" s="86">
        <f t="shared" si="17"/>
        <v>0</v>
      </c>
      <c r="AM77" s="86">
        <f t="shared" si="17"/>
        <v>0</v>
      </c>
      <c r="AN77" s="86">
        <f t="shared" si="17"/>
        <v>0</v>
      </c>
      <c r="AO77" s="86">
        <f t="shared" si="17"/>
        <v>0</v>
      </c>
      <c r="AP77" s="86">
        <f t="shared" si="17"/>
        <v>0</v>
      </c>
      <c r="AQ77" s="86">
        <f t="shared" si="17"/>
        <v>0</v>
      </c>
      <c r="AR77" s="86">
        <f t="shared" si="17"/>
        <v>0</v>
      </c>
      <c r="AS77" s="86">
        <f t="shared" si="17"/>
        <v>0</v>
      </c>
    </row>
    <row r="78" spans="2:45" ht="15" customHeight="1">
      <c r="B78" s="146" t="s">
        <v>207</v>
      </c>
      <c r="C78" s="152" t="s">
        <v>111</v>
      </c>
      <c r="D78" s="107">
        <f t="shared" ref="D78:AS78" si="18">D68/D73</f>
        <v>144.66159999999999</v>
      </c>
      <c r="E78" s="107">
        <f t="shared" si="18"/>
        <v>0</v>
      </c>
      <c r="F78" s="107">
        <f t="shared" si="18"/>
        <v>0</v>
      </c>
      <c r="G78" s="107">
        <f t="shared" si="18"/>
        <v>0</v>
      </c>
      <c r="H78" s="107">
        <f t="shared" si="18"/>
        <v>0</v>
      </c>
      <c r="I78" s="107">
        <f t="shared" si="18"/>
        <v>0</v>
      </c>
      <c r="J78" s="107">
        <f t="shared" si="18"/>
        <v>0</v>
      </c>
      <c r="K78" s="107">
        <f t="shared" si="18"/>
        <v>0</v>
      </c>
      <c r="L78" s="107">
        <f t="shared" si="18"/>
        <v>0</v>
      </c>
      <c r="M78" s="107">
        <f t="shared" si="18"/>
        <v>0</v>
      </c>
      <c r="N78" s="107">
        <f t="shared" si="18"/>
        <v>0</v>
      </c>
      <c r="O78" s="107">
        <f t="shared" si="18"/>
        <v>0</v>
      </c>
      <c r="P78" s="107">
        <f t="shared" si="18"/>
        <v>0</v>
      </c>
      <c r="Q78" s="107">
        <f t="shared" si="18"/>
        <v>0</v>
      </c>
      <c r="R78" s="107">
        <f t="shared" si="18"/>
        <v>0</v>
      </c>
      <c r="S78" s="107">
        <f t="shared" si="18"/>
        <v>0</v>
      </c>
      <c r="T78" s="107">
        <f t="shared" si="18"/>
        <v>0</v>
      </c>
      <c r="U78" s="107">
        <f t="shared" si="18"/>
        <v>0</v>
      </c>
      <c r="V78" s="107">
        <f t="shared" si="18"/>
        <v>0</v>
      </c>
      <c r="W78" s="107">
        <f t="shared" si="18"/>
        <v>0</v>
      </c>
      <c r="X78" s="107">
        <f t="shared" si="18"/>
        <v>0</v>
      </c>
      <c r="Y78" s="107">
        <f t="shared" si="18"/>
        <v>0</v>
      </c>
      <c r="Z78" s="107">
        <f t="shared" si="18"/>
        <v>0</v>
      </c>
      <c r="AA78" s="107">
        <f t="shared" si="18"/>
        <v>0</v>
      </c>
      <c r="AB78" s="107">
        <f t="shared" si="18"/>
        <v>0</v>
      </c>
      <c r="AC78" s="107">
        <f t="shared" si="18"/>
        <v>0</v>
      </c>
      <c r="AD78" s="107">
        <f t="shared" si="18"/>
        <v>0</v>
      </c>
      <c r="AE78" s="107">
        <f t="shared" si="18"/>
        <v>0</v>
      </c>
      <c r="AF78" s="107">
        <f t="shared" si="18"/>
        <v>0</v>
      </c>
      <c r="AG78" s="107">
        <f t="shared" si="18"/>
        <v>0</v>
      </c>
      <c r="AH78" s="107">
        <f t="shared" si="18"/>
        <v>0</v>
      </c>
      <c r="AI78" s="107">
        <f t="shared" si="18"/>
        <v>0</v>
      </c>
      <c r="AJ78" s="107">
        <f t="shared" si="18"/>
        <v>0</v>
      </c>
      <c r="AK78" s="107">
        <f t="shared" si="18"/>
        <v>0</v>
      </c>
      <c r="AL78" s="107">
        <f t="shared" si="18"/>
        <v>0</v>
      </c>
      <c r="AM78" s="107">
        <f t="shared" si="18"/>
        <v>0</v>
      </c>
      <c r="AN78" s="107">
        <f t="shared" si="18"/>
        <v>0</v>
      </c>
      <c r="AO78" s="107">
        <f t="shared" si="18"/>
        <v>0</v>
      </c>
      <c r="AP78" s="107">
        <f t="shared" si="18"/>
        <v>0</v>
      </c>
      <c r="AQ78" s="107">
        <f t="shared" si="18"/>
        <v>0</v>
      </c>
      <c r="AR78" s="107">
        <f t="shared" si="18"/>
        <v>0</v>
      </c>
      <c r="AS78" s="107">
        <f t="shared" si="18"/>
        <v>0</v>
      </c>
    </row>
    <row r="79" spans="2:45" ht="15" customHeight="1">
      <c r="B79" s="146" t="s">
        <v>208</v>
      </c>
      <c r="C79" s="152" t="s">
        <v>112</v>
      </c>
      <c r="D79" s="107">
        <f t="shared" ref="D79:AS79" si="19">D69/D73</f>
        <v>0</v>
      </c>
      <c r="E79" s="107">
        <f t="shared" si="19"/>
        <v>0</v>
      </c>
      <c r="F79" s="107">
        <f t="shared" si="19"/>
        <v>0</v>
      </c>
      <c r="G79" s="107">
        <f t="shared" si="19"/>
        <v>0</v>
      </c>
      <c r="H79" s="107">
        <f t="shared" si="19"/>
        <v>0</v>
      </c>
      <c r="I79" s="107">
        <f t="shared" si="19"/>
        <v>0</v>
      </c>
      <c r="J79" s="107">
        <f t="shared" si="19"/>
        <v>0</v>
      </c>
      <c r="K79" s="107">
        <f t="shared" si="19"/>
        <v>0</v>
      </c>
      <c r="L79" s="107">
        <f t="shared" si="19"/>
        <v>0</v>
      </c>
      <c r="M79" s="107">
        <f t="shared" si="19"/>
        <v>0</v>
      </c>
      <c r="N79" s="107">
        <f t="shared" si="19"/>
        <v>0</v>
      </c>
      <c r="O79" s="107">
        <f t="shared" si="19"/>
        <v>0</v>
      </c>
      <c r="P79" s="107">
        <f t="shared" si="19"/>
        <v>0</v>
      </c>
      <c r="Q79" s="107">
        <f t="shared" si="19"/>
        <v>0</v>
      </c>
      <c r="R79" s="107">
        <f t="shared" si="19"/>
        <v>0</v>
      </c>
      <c r="S79" s="107">
        <f t="shared" si="19"/>
        <v>0</v>
      </c>
      <c r="T79" s="107">
        <f t="shared" si="19"/>
        <v>0</v>
      </c>
      <c r="U79" s="107">
        <f t="shared" si="19"/>
        <v>0</v>
      </c>
      <c r="V79" s="107">
        <f t="shared" si="19"/>
        <v>0</v>
      </c>
      <c r="W79" s="107">
        <f t="shared" si="19"/>
        <v>0</v>
      </c>
      <c r="X79" s="107">
        <f t="shared" si="19"/>
        <v>0</v>
      </c>
      <c r="Y79" s="107">
        <f t="shared" si="19"/>
        <v>0</v>
      </c>
      <c r="Z79" s="107">
        <f t="shared" si="19"/>
        <v>0</v>
      </c>
      <c r="AA79" s="107">
        <f t="shared" si="19"/>
        <v>0</v>
      </c>
      <c r="AB79" s="107">
        <f t="shared" si="19"/>
        <v>0</v>
      </c>
      <c r="AC79" s="107">
        <f t="shared" si="19"/>
        <v>0</v>
      </c>
      <c r="AD79" s="107">
        <f t="shared" si="19"/>
        <v>0</v>
      </c>
      <c r="AE79" s="107">
        <f t="shared" si="19"/>
        <v>0</v>
      </c>
      <c r="AF79" s="107">
        <f t="shared" si="19"/>
        <v>0</v>
      </c>
      <c r="AG79" s="107">
        <f t="shared" si="19"/>
        <v>0</v>
      </c>
      <c r="AH79" s="107">
        <f t="shared" si="19"/>
        <v>0</v>
      </c>
      <c r="AI79" s="107">
        <f t="shared" si="19"/>
        <v>0</v>
      </c>
      <c r="AJ79" s="107">
        <f t="shared" si="19"/>
        <v>0</v>
      </c>
      <c r="AK79" s="107">
        <f t="shared" si="19"/>
        <v>0</v>
      </c>
      <c r="AL79" s="107">
        <f t="shared" si="19"/>
        <v>0</v>
      </c>
      <c r="AM79" s="107">
        <f t="shared" si="19"/>
        <v>0</v>
      </c>
      <c r="AN79" s="107">
        <f t="shared" si="19"/>
        <v>0</v>
      </c>
      <c r="AO79" s="107">
        <f t="shared" si="19"/>
        <v>0</v>
      </c>
      <c r="AP79" s="107">
        <f t="shared" si="19"/>
        <v>0</v>
      </c>
      <c r="AQ79" s="107">
        <f t="shared" si="19"/>
        <v>0</v>
      </c>
      <c r="AR79" s="107">
        <f t="shared" si="19"/>
        <v>0</v>
      </c>
      <c r="AS79" s="107">
        <f t="shared" si="19"/>
        <v>0</v>
      </c>
    </row>
    <row r="80" spans="2:45" ht="15" customHeight="1">
      <c r="B80" s="146" t="s">
        <v>209</v>
      </c>
      <c r="C80" s="152" t="s">
        <v>113</v>
      </c>
      <c r="D80" s="107">
        <f t="shared" ref="D80:AS80" si="20">D70/D73</f>
        <v>701.31269999999995</v>
      </c>
      <c r="E80" s="107">
        <f t="shared" si="20"/>
        <v>0</v>
      </c>
      <c r="F80" s="107">
        <f t="shared" si="20"/>
        <v>0</v>
      </c>
      <c r="G80" s="107">
        <f t="shared" si="20"/>
        <v>0</v>
      </c>
      <c r="H80" s="107">
        <f t="shared" si="20"/>
        <v>0</v>
      </c>
      <c r="I80" s="107">
        <f t="shared" si="20"/>
        <v>0</v>
      </c>
      <c r="J80" s="107">
        <f t="shared" si="20"/>
        <v>0</v>
      </c>
      <c r="K80" s="107">
        <f t="shared" si="20"/>
        <v>0</v>
      </c>
      <c r="L80" s="107">
        <f t="shared" si="20"/>
        <v>0</v>
      </c>
      <c r="M80" s="107">
        <f t="shared" si="20"/>
        <v>0</v>
      </c>
      <c r="N80" s="107">
        <f t="shared" si="20"/>
        <v>0</v>
      </c>
      <c r="O80" s="107">
        <f t="shared" si="20"/>
        <v>0</v>
      </c>
      <c r="P80" s="107">
        <f t="shared" si="20"/>
        <v>0</v>
      </c>
      <c r="Q80" s="107">
        <f t="shared" si="20"/>
        <v>0</v>
      </c>
      <c r="R80" s="107">
        <f t="shared" si="20"/>
        <v>0</v>
      </c>
      <c r="S80" s="107">
        <f t="shared" si="20"/>
        <v>0</v>
      </c>
      <c r="T80" s="107">
        <f t="shared" si="20"/>
        <v>0</v>
      </c>
      <c r="U80" s="107">
        <f t="shared" si="20"/>
        <v>0</v>
      </c>
      <c r="V80" s="107">
        <f t="shared" si="20"/>
        <v>0</v>
      </c>
      <c r="W80" s="107">
        <f t="shared" si="20"/>
        <v>0</v>
      </c>
      <c r="X80" s="107">
        <f t="shared" si="20"/>
        <v>0</v>
      </c>
      <c r="Y80" s="107">
        <f t="shared" si="20"/>
        <v>0</v>
      </c>
      <c r="Z80" s="107">
        <f t="shared" si="20"/>
        <v>0</v>
      </c>
      <c r="AA80" s="107">
        <f t="shared" si="20"/>
        <v>0</v>
      </c>
      <c r="AB80" s="107">
        <f t="shared" si="20"/>
        <v>0</v>
      </c>
      <c r="AC80" s="107">
        <f t="shared" si="20"/>
        <v>0</v>
      </c>
      <c r="AD80" s="107">
        <f t="shared" si="20"/>
        <v>0</v>
      </c>
      <c r="AE80" s="107">
        <f t="shared" si="20"/>
        <v>0</v>
      </c>
      <c r="AF80" s="107">
        <f t="shared" si="20"/>
        <v>0</v>
      </c>
      <c r="AG80" s="107">
        <f t="shared" si="20"/>
        <v>0</v>
      </c>
      <c r="AH80" s="107">
        <f t="shared" si="20"/>
        <v>0</v>
      </c>
      <c r="AI80" s="107">
        <f t="shared" si="20"/>
        <v>0</v>
      </c>
      <c r="AJ80" s="107">
        <f t="shared" si="20"/>
        <v>0</v>
      </c>
      <c r="AK80" s="107">
        <f t="shared" si="20"/>
        <v>0</v>
      </c>
      <c r="AL80" s="107">
        <f t="shared" si="20"/>
        <v>0</v>
      </c>
      <c r="AM80" s="107">
        <f t="shared" si="20"/>
        <v>0</v>
      </c>
      <c r="AN80" s="107">
        <f t="shared" si="20"/>
        <v>0</v>
      </c>
      <c r="AO80" s="107">
        <f t="shared" si="20"/>
        <v>0</v>
      </c>
      <c r="AP80" s="107">
        <f t="shared" si="20"/>
        <v>0</v>
      </c>
      <c r="AQ80" s="107">
        <f t="shared" si="20"/>
        <v>0</v>
      </c>
      <c r="AR80" s="107">
        <f t="shared" si="20"/>
        <v>0</v>
      </c>
      <c r="AS80" s="107">
        <f t="shared" si="20"/>
        <v>0</v>
      </c>
    </row>
    <row r="81" spans="2:45" ht="15" customHeight="1">
      <c r="B81" s="146" t="s">
        <v>210</v>
      </c>
      <c r="C81" s="152" t="s">
        <v>114</v>
      </c>
      <c r="D81" s="107">
        <f t="shared" ref="D81:AS81" si="21">D71/D73</f>
        <v>-12.92</v>
      </c>
      <c r="E81" s="107">
        <f t="shared" si="21"/>
        <v>0</v>
      </c>
      <c r="F81" s="107">
        <f t="shared" si="21"/>
        <v>0</v>
      </c>
      <c r="G81" s="107">
        <f t="shared" si="21"/>
        <v>0</v>
      </c>
      <c r="H81" s="107">
        <f t="shared" si="21"/>
        <v>0</v>
      </c>
      <c r="I81" s="107">
        <f t="shared" si="21"/>
        <v>0</v>
      </c>
      <c r="J81" s="107">
        <f t="shared" si="21"/>
        <v>0</v>
      </c>
      <c r="K81" s="107">
        <f t="shared" si="21"/>
        <v>0</v>
      </c>
      <c r="L81" s="107">
        <f t="shared" si="21"/>
        <v>0</v>
      </c>
      <c r="M81" s="107">
        <f t="shared" si="21"/>
        <v>0</v>
      </c>
      <c r="N81" s="107">
        <f t="shared" si="21"/>
        <v>0</v>
      </c>
      <c r="O81" s="107">
        <f t="shared" si="21"/>
        <v>0</v>
      </c>
      <c r="P81" s="107">
        <f t="shared" si="21"/>
        <v>0</v>
      </c>
      <c r="Q81" s="107">
        <f t="shared" si="21"/>
        <v>0</v>
      </c>
      <c r="R81" s="107">
        <f t="shared" si="21"/>
        <v>0</v>
      </c>
      <c r="S81" s="107">
        <f t="shared" si="21"/>
        <v>0</v>
      </c>
      <c r="T81" s="107">
        <f t="shared" si="21"/>
        <v>0</v>
      </c>
      <c r="U81" s="107">
        <f t="shared" si="21"/>
        <v>0</v>
      </c>
      <c r="V81" s="107">
        <f t="shared" si="21"/>
        <v>0</v>
      </c>
      <c r="W81" s="107">
        <f t="shared" si="21"/>
        <v>0</v>
      </c>
      <c r="X81" s="107">
        <f t="shared" si="21"/>
        <v>0</v>
      </c>
      <c r="Y81" s="107">
        <f t="shared" si="21"/>
        <v>0</v>
      </c>
      <c r="Z81" s="107">
        <f t="shared" si="21"/>
        <v>0</v>
      </c>
      <c r="AA81" s="107">
        <f t="shared" si="21"/>
        <v>0</v>
      </c>
      <c r="AB81" s="107">
        <f t="shared" si="21"/>
        <v>0</v>
      </c>
      <c r="AC81" s="107">
        <f t="shared" si="21"/>
        <v>0</v>
      </c>
      <c r="AD81" s="107">
        <f t="shared" si="21"/>
        <v>0</v>
      </c>
      <c r="AE81" s="107">
        <f t="shared" si="21"/>
        <v>0</v>
      </c>
      <c r="AF81" s="107">
        <f t="shared" si="21"/>
        <v>0</v>
      </c>
      <c r="AG81" s="107">
        <f t="shared" si="21"/>
        <v>0</v>
      </c>
      <c r="AH81" s="107">
        <f t="shared" si="21"/>
        <v>0</v>
      </c>
      <c r="AI81" s="107">
        <f t="shared" si="21"/>
        <v>0</v>
      </c>
      <c r="AJ81" s="107">
        <f t="shared" si="21"/>
        <v>0</v>
      </c>
      <c r="AK81" s="107">
        <f t="shared" si="21"/>
        <v>0</v>
      </c>
      <c r="AL81" s="107">
        <f t="shared" si="21"/>
        <v>0</v>
      </c>
      <c r="AM81" s="107">
        <f t="shared" si="21"/>
        <v>0</v>
      </c>
      <c r="AN81" s="107">
        <f t="shared" si="21"/>
        <v>0</v>
      </c>
      <c r="AO81" s="107">
        <f t="shared" si="21"/>
        <v>0</v>
      </c>
      <c r="AP81" s="107">
        <f t="shared" si="21"/>
        <v>0</v>
      </c>
      <c r="AQ81" s="107">
        <f t="shared" si="21"/>
        <v>0</v>
      </c>
      <c r="AR81" s="107">
        <f t="shared" si="21"/>
        <v>0</v>
      </c>
      <c r="AS81" s="107">
        <f t="shared" si="21"/>
        <v>0</v>
      </c>
    </row>
    <row r="82" spans="2:45" ht="15" customHeight="1">
      <c r="B82" s="148" t="s">
        <v>211</v>
      </c>
      <c r="C82" s="170" t="s">
        <v>115</v>
      </c>
      <c r="D82" s="107">
        <f t="shared" ref="D82:AS82" si="22">D72/D73</f>
        <v>896.99549999999999</v>
      </c>
      <c r="E82" s="107">
        <f t="shared" si="22"/>
        <v>0</v>
      </c>
      <c r="F82" s="107">
        <f t="shared" si="22"/>
        <v>0</v>
      </c>
      <c r="G82" s="107">
        <f t="shared" si="22"/>
        <v>0</v>
      </c>
      <c r="H82" s="107">
        <f t="shared" si="22"/>
        <v>0</v>
      </c>
      <c r="I82" s="107">
        <f t="shared" si="22"/>
        <v>0</v>
      </c>
      <c r="J82" s="107">
        <f t="shared" si="22"/>
        <v>0</v>
      </c>
      <c r="K82" s="107">
        <f t="shared" si="22"/>
        <v>0</v>
      </c>
      <c r="L82" s="107">
        <f t="shared" si="22"/>
        <v>0</v>
      </c>
      <c r="M82" s="107">
        <f t="shared" si="22"/>
        <v>0</v>
      </c>
      <c r="N82" s="107">
        <f t="shared" si="22"/>
        <v>0</v>
      </c>
      <c r="O82" s="107">
        <f t="shared" si="22"/>
        <v>0</v>
      </c>
      <c r="P82" s="107">
        <f t="shared" si="22"/>
        <v>0</v>
      </c>
      <c r="Q82" s="107">
        <f t="shared" si="22"/>
        <v>0</v>
      </c>
      <c r="R82" s="107">
        <f t="shared" si="22"/>
        <v>0</v>
      </c>
      <c r="S82" s="107">
        <f t="shared" si="22"/>
        <v>0</v>
      </c>
      <c r="T82" s="107">
        <f t="shared" si="22"/>
        <v>0</v>
      </c>
      <c r="U82" s="107">
        <f t="shared" si="22"/>
        <v>0</v>
      </c>
      <c r="V82" s="107">
        <f t="shared" si="22"/>
        <v>0</v>
      </c>
      <c r="W82" s="107">
        <f t="shared" si="22"/>
        <v>0</v>
      </c>
      <c r="X82" s="107">
        <f t="shared" si="22"/>
        <v>0</v>
      </c>
      <c r="Y82" s="107">
        <f t="shared" si="22"/>
        <v>0</v>
      </c>
      <c r="Z82" s="107">
        <f t="shared" si="22"/>
        <v>0</v>
      </c>
      <c r="AA82" s="107">
        <f t="shared" si="22"/>
        <v>0</v>
      </c>
      <c r="AB82" s="107">
        <f t="shared" si="22"/>
        <v>0</v>
      </c>
      <c r="AC82" s="107">
        <f t="shared" si="22"/>
        <v>0</v>
      </c>
      <c r="AD82" s="107">
        <f t="shared" si="22"/>
        <v>0</v>
      </c>
      <c r="AE82" s="107">
        <f t="shared" si="22"/>
        <v>0</v>
      </c>
      <c r="AF82" s="107">
        <f t="shared" si="22"/>
        <v>0</v>
      </c>
      <c r="AG82" s="107">
        <f t="shared" si="22"/>
        <v>0</v>
      </c>
      <c r="AH82" s="107">
        <f t="shared" si="22"/>
        <v>0</v>
      </c>
      <c r="AI82" s="107">
        <f t="shared" si="22"/>
        <v>0</v>
      </c>
      <c r="AJ82" s="107">
        <f t="shared" si="22"/>
        <v>0</v>
      </c>
      <c r="AK82" s="107">
        <f t="shared" si="22"/>
        <v>0</v>
      </c>
      <c r="AL82" s="107">
        <f t="shared" si="22"/>
        <v>0</v>
      </c>
      <c r="AM82" s="107">
        <f t="shared" si="22"/>
        <v>0</v>
      </c>
      <c r="AN82" s="107">
        <f t="shared" si="22"/>
        <v>0</v>
      </c>
      <c r="AO82" s="107">
        <f t="shared" si="22"/>
        <v>0</v>
      </c>
      <c r="AP82" s="107">
        <f t="shared" si="22"/>
        <v>0</v>
      </c>
      <c r="AQ82" s="107">
        <f t="shared" si="22"/>
        <v>0</v>
      </c>
      <c r="AR82" s="107">
        <f t="shared" si="22"/>
        <v>0</v>
      </c>
      <c r="AS82" s="107">
        <f t="shared" si="22"/>
        <v>0</v>
      </c>
    </row>
    <row r="83" spans="2:45" ht="15" customHeight="1"/>
  </sheetData>
  <sheetProtection password="BD7E" sheet="1" objects="1" scenarios="1"/>
  <mergeCells count="12">
    <mergeCell ref="E48:AS48"/>
    <mergeCell ref="E59:AS59"/>
    <mergeCell ref="E60:AS60"/>
    <mergeCell ref="E61:AS61"/>
    <mergeCell ref="E22:AS22"/>
    <mergeCell ref="C7:V8"/>
    <mergeCell ref="E11:F11"/>
    <mergeCell ref="E10:F10"/>
    <mergeCell ref="E21:F21"/>
    <mergeCell ref="G11:AS11"/>
    <mergeCell ref="G10:AS10"/>
    <mergeCell ref="G21:AS21"/>
  </mergeCells>
  <dataValidations xWindow="756" yWindow="613" count="3">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104775</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161925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47625</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21"/>
  <sheetViews>
    <sheetView zoomScaleNormal="100" workbookViewId="0"/>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232" t="s">
        <v>231</v>
      </c>
      <c r="B6" s="233">
        <v>1.026</v>
      </c>
    </row>
    <row r="7" spans="1:3">
      <c r="A7" s="234" t="s">
        <v>232</v>
      </c>
      <c r="B7" s="235">
        <v>0.88800000000000001</v>
      </c>
    </row>
    <row r="8" spans="1:3">
      <c r="A8" s="236" t="s">
        <v>233</v>
      </c>
      <c r="B8" s="237">
        <v>0.88700000000000001</v>
      </c>
    </row>
    <row r="9" spans="1:3">
      <c r="A9" s="238" t="s">
        <v>234</v>
      </c>
      <c r="B9" s="239">
        <v>1.014</v>
      </c>
    </row>
    <row r="10" spans="1:3">
      <c r="A10" s="240" t="s">
        <v>235</v>
      </c>
      <c r="B10" s="241">
        <v>0.78800000000000003</v>
      </c>
    </row>
    <row r="11" spans="1:3">
      <c r="A11" s="242" t="s">
        <v>236</v>
      </c>
      <c r="B11" s="243">
        <v>0.88200000000000001</v>
      </c>
    </row>
    <row r="12" spans="1:3">
      <c r="A12" s="244" t="s">
        <v>237</v>
      </c>
      <c r="B12" s="245">
        <v>0.76500000000000001</v>
      </c>
    </row>
    <row r="13" spans="1:3">
      <c r="A13" s="246" t="s">
        <v>238</v>
      </c>
      <c r="B13" s="247">
        <v>0.874</v>
      </c>
    </row>
    <row r="14" spans="1:3">
      <c r="A14" s="248" t="s">
        <v>239</v>
      </c>
      <c r="B14" s="249">
        <v>0.91200000000000003</v>
      </c>
    </row>
    <row r="15" spans="1:3">
      <c r="A15" s="250" t="s">
        <v>240</v>
      </c>
      <c r="B15" s="251">
        <v>0.93100000000000005</v>
      </c>
    </row>
    <row r="16" spans="1:3">
      <c r="A16" s="252" t="s">
        <v>241</v>
      </c>
      <c r="B16" s="253">
        <v>0.96799999999999997</v>
      </c>
    </row>
    <row r="17" spans="1:2">
      <c r="A17" s="254" t="s">
        <v>242</v>
      </c>
      <c r="B17" s="255">
        <v>0.88600000000000001</v>
      </c>
    </row>
    <row r="18" spans="1:2">
      <c r="A18" s="256" t="s">
        <v>243</v>
      </c>
      <c r="B18" s="257">
        <v>0.96399999999999997</v>
      </c>
    </row>
    <row r="19" spans="1:2">
      <c r="A19" s="258" t="s">
        <v>244</v>
      </c>
      <c r="B19" s="259">
        <v>0.79200000000000004</v>
      </c>
    </row>
    <row r="20" spans="1:2">
      <c r="A20" s="260" t="s">
        <v>245</v>
      </c>
      <c r="B20" s="261">
        <v>0.99099999999999999</v>
      </c>
    </row>
    <row r="21" spans="1:2">
      <c r="A21" s="262" t="s">
        <v>246</v>
      </c>
      <c r="B21" s="263">
        <v>0.83499999999999996</v>
      </c>
    </row>
  </sheetData>
  <sheetProtection password="BD7E"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1:23" ht="18.75">
      <c r="A1" t="s">
        <v>334</v>
      </c>
      <c r="C1" s="16" t="s">
        <v>13</v>
      </c>
      <c r="D1" s="16"/>
      <c r="E1" s="3"/>
      <c r="F1" s="3"/>
      <c r="G1" s="3"/>
      <c r="H1" s="3"/>
      <c r="I1" s="4"/>
      <c r="J1" s="1"/>
      <c r="K1" s="1"/>
      <c r="L1" s="1"/>
      <c r="M1" s="1"/>
      <c r="N1" s="1"/>
      <c r="O1" s="1"/>
      <c r="P1" s="1"/>
      <c r="Q1" s="1"/>
      <c r="R1" s="1"/>
      <c r="S1" s="1"/>
      <c r="T1" s="1"/>
      <c r="U1" s="1"/>
      <c r="V1" s="1"/>
    </row>
    <row r="2" spans="1:23" ht="18.75">
      <c r="C2" s="3"/>
      <c r="D2" s="3"/>
      <c r="E2" s="3"/>
      <c r="F2" s="3"/>
      <c r="G2" s="3"/>
      <c r="H2" s="3"/>
      <c r="I2" s="4"/>
      <c r="J2" s="1"/>
      <c r="K2" s="1"/>
      <c r="L2" s="1"/>
      <c r="M2" s="1"/>
      <c r="N2" s="1"/>
      <c r="O2" s="1"/>
      <c r="P2" s="1"/>
      <c r="Q2" s="1"/>
      <c r="R2" s="1"/>
      <c r="S2" s="1"/>
      <c r="T2" s="1"/>
      <c r="U2" s="1"/>
      <c r="V2" s="1"/>
    </row>
    <row r="3" spans="1:23" ht="18.75">
      <c r="C3" s="6" t="s">
        <v>5</v>
      </c>
      <c r="D3" s="3" t="str">
        <f>IF('Wksh 1 - Market Experience'!C3&lt;&gt;"", 'Wksh 1 - Market Experience'!C3,"")</f>
        <v/>
      </c>
      <c r="F3" s="3"/>
      <c r="G3" s="21"/>
      <c r="J3" s="1"/>
      <c r="K3" s="1"/>
      <c r="N3" s="6" t="s">
        <v>7</v>
      </c>
      <c r="O3" s="74" t="str">
        <f>IF('Wksh 1 - Market Experience'!E4="","",'Wksh 1 - Market Experience'!E4)</f>
        <v/>
      </c>
      <c r="P3" s="1"/>
    </row>
    <row r="4" spans="1:23" ht="18.75">
      <c r="C4" s="7" t="s">
        <v>6</v>
      </c>
      <c r="D4" s="4" t="str">
        <f>IF('Wksh 1 - Market Experience'!C4&lt;&gt;"", 'Wksh 1 - Market Experience'!C4,"")</f>
        <v/>
      </c>
      <c r="F4" s="3"/>
      <c r="G4" s="68"/>
      <c r="J4" s="1"/>
      <c r="K4" s="1"/>
      <c r="N4" s="6" t="s">
        <v>9</v>
      </c>
      <c r="O4" s="74" t="str">
        <f>IF('Wksh 1 - Market Experience'!E5="","",'Wksh 1 - Market Experience'!E5)</f>
        <v/>
      </c>
      <c r="P4" s="1"/>
    </row>
    <row r="5" spans="1:23" ht="18.75">
      <c r="C5" s="6" t="s">
        <v>14</v>
      </c>
      <c r="D5" s="83" t="e">
        <f>IF('Wksh 1 - Market Experience'!#REF!&lt;&gt;"", 'Wksh 1 - Market Experience'!#REF!,"")</f>
        <v>#REF!</v>
      </c>
      <c r="F5" s="3"/>
      <c r="G5" s="290"/>
      <c r="H5" s="290"/>
      <c r="I5" s="291"/>
      <c r="J5" s="1"/>
      <c r="K5" s="1"/>
      <c r="L5" s="1"/>
      <c r="M5" s="1"/>
      <c r="N5" s="1"/>
      <c r="O5" s="1"/>
      <c r="P5" s="1"/>
      <c r="Q5" s="1"/>
      <c r="R5" s="1"/>
      <c r="S5" s="1"/>
      <c r="T5" s="1"/>
      <c r="U5" s="1"/>
      <c r="V5" s="1"/>
    </row>
    <row r="6" spans="1:23">
      <c r="C6" s="1"/>
      <c r="D6" s="1"/>
      <c r="E6" s="1"/>
      <c r="F6" s="1"/>
      <c r="G6" s="1"/>
      <c r="H6" s="1"/>
      <c r="I6" s="2"/>
      <c r="J6" s="1"/>
      <c r="K6" s="1"/>
      <c r="L6" s="1"/>
      <c r="M6" s="1"/>
      <c r="N6" s="1"/>
      <c r="O6" s="1"/>
      <c r="P6" s="1"/>
      <c r="Q6" s="1"/>
      <c r="R6" s="1"/>
      <c r="S6" s="1"/>
      <c r="T6" s="1"/>
      <c r="U6" s="1"/>
      <c r="V6" s="1"/>
    </row>
    <row r="7" spans="1:23">
      <c r="C7" s="15" t="s">
        <v>15</v>
      </c>
      <c r="D7" s="23"/>
      <c r="E7" s="8"/>
      <c r="F7" s="8"/>
      <c r="G7" s="8"/>
      <c r="H7" s="8"/>
      <c r="I7" s="9"/>
      <c r="J7" s="8"/>
      <c r="K7" s="8"/>
      <c r="L7" s="8"/>
      <c r="M7" s="8"/>
      <c r="N7" s="8"/>
      <c r="O7" s="8"/>
      <c r="P7" s="8"/>
      <c r="Q7" s="8"/>
      <c r="R7" s="8"/>
      <c r="S7" s="8"/>
      <c r="T7" s="8"/>
      <c r="U7" s="8"/>
      <c r="V7" s="8"/>
      <c r="W7" s="10"/>
    </row>
    <row r="8" spans="1:23">
      <c r="C8" s="11"/>
      <c r="D8" s="12"/>
      <c r="E8" s="12"/>
      <c r="F8" s="12"/>
      <c r="G8" s="12"/>
      <c r="H8" s="12"/>
      <c r="I8" s="13"/>
      <c r="J8" s="12"/>
      <c r="K8" s="12"/>
      <c r="L8" s="12"/>
      <c r="M8" s="12"/>
      <c r="N8" s="12"/>
      <c r="O8" s="12"/>
      <c r="P8" s="12"/>
      <c r="Q8" s="12"/>
      <c r="R8" s="12"/>
      <c r="S8" s="12"/>
      <c r="T8" s="12"/>
      <c r="U8" s="12"/>
      <c r="V8" s="12"/>
      <c r="W8" s="14"/>
    </row>
    <row r="9" spans="1:23">
      <c r="B9" s="75" t="s">
        <v>103</v>
      </c>
      <c r="C9" s="19" t="s">
        <v>77</v>
      </c>
      <c r="D9" s="19"/>
      <c r="E9" s="17"/>
      <c r="F9" s="17"/>
      <c r="G9" s="17"/>
      <c r="H9" s="17"/>
      <c r="I9" s="18"/>
      <c r="J9" s="17"/>
      <c r="K9" s="17"/>
      <c r="L9" s="17"/>
      <c r="M9" s="17"/>
      <c r="N9" s="17"/>
      <c r="O9" s="17"/>
      <c r="P9" s="17"/>
      <c r="Q9" s="17"/>
      <c r="R9" s="17"/>
      <c r="S9" s="17"/>
      <c r="T9" s="17"/>
      <c r="U9" s="17"/>
      <c r="V9" s="17"/>
    </row>
    <row r="10" spans="1:23">
      <c r="B10" s="146" t="s">
        <v>155</v>
      </c>
      <c r="C10" s="147" t="s">
        <v>104</v>
      </c>
      <c r="D10" s="292"/>
      <c r="E10" s="177"/>
      <c r="I10" s="70"/>
      <c r="J10" s="70"/>
      <c r="K10" s="70" t="s">
        <v>231</v>
      </c>
      <c r="L10" s="67" t="s">
        <v>27</v>
      </c>
      <c r="M10" s="70" t="s">
        <v>81</v>
      </c>
      <c r="N10" s="70" t="s">
        <v>139</v>
      </c>
      <c r="O10" s="70" t="s">
        <v>145</v>
      </c>
    </row>
    <row r="11" spans="1:23">
      <c r="B11" s="146" t="s">
        <v>156</v>
      </c>
      <c r="C11" s="147" t="s">
        <v>105</v>
      </c>
      <c r="D11" s="293"/>
      <c r="E11" s="177"/>
      <c r="I11" s="70"/>
      <c r="J11" s="70"/>
      <c r="K11" s="70" t="s">
        <v>232</v>
      </c>
      <c r="L11" s="67" t="s">
        <v>28</v>
      </c>
      <c r="M11" s="70" t="s">
        <v>82</v>
      </c>
      <c r="N11" s="70" t="s">
        <v>140</v>
      </c>
      <c r="O11" s="70" t="s">
        <v>146</v>
      </c>
    </row>
    <row r="12" spans="1:23">
      <c r="B12" s="146" t="s">
        <v>157</v>
      </c>
      <c r="C12" s="147" t="s">
        <v>10</v>
      </c>
      <c r="D12" s="293"/>
      <c r="E12" s="179"/>
      <c r="I12" s="70"/>
      <c r="J12" s="70"/>
      <c r="K12" s="70" t="s">
        <v>233</v>
      </c>
      <c r="L12" s="67" t="s">
        <v>29</v>
      </c>
      <c r="M12" s="70" t="s">
        <v>83</v>
      </c>
      <c r="N12" s="70" t="s">
        <v>141</v>
      </c>
    </row>
    <row r="13" spans="1:23">
      <c r="B13" s="146" t="s">
        <v>158</v>
      </c>
      <c r="C13" s="147" t="s">
        <v>106</v>
      </c>
      <c r="D13" s="293"/>
      <c r="E13" s="180"/>
      <c r="I13" s="70"/>
      <c r="K13" s="70" t="s">
        <v>234</v>
      </c>
      <c r="L13" s="67" t="s">
        <v>30</v>
      </c>
      <c r="N13" s="70" t="s">
        <v>142</v>
      </c>
    </row>
    <row r="14" spans="1:23">
      <c r="B14" s="146" t="s">
        <v>159</v>
      </c>
      <c r="C14" s="147" t="s">
        <v>107</v>
      </c>
      <c r="D14" s="293"/>
      <c r="E14" s="181"/>
      <c r="K14" s="70" t="s">
        <v>235</v>
      </c>
      <c r="L14" s="67" t="s">
        <v>31</v>
      </c>
      <c r="N14" s="70" t="s">
        <v>143</v>
      </c>
    </row>
    <row r="15" spans="1:23">
      <c r="B15" s="146" t="s">
        <v>160</v>
      </c>
      <c r="C15" s="147" t="s">
        <v>26</v>
      </c>
      <c r="D15" s="293"/>
      <c r="E15" s="182"/>
      <c r="K15" s="70" t="s">
        <v>236</v>
      </c>
      <c r="L15" s="67" t="s">
        <v>32</v>
      </c>
      <c r="N15" s="70" t="s">
        <v>144</v>
      </c>
    </row>
    <row r="16" spans="1:23">
      <c r="B16" s="146" t="s">
        <v>161</v>
      </c>
      <c r="C16" s="147" t="s">
        <v>80</v>
      </c>
      <c r="D16" s="293"/>
      <c r="E16" s="179"/>
      <c r="K16" t="s">
        <v>237</v>
      </c>
      <c r="L16" s="67" t="s">
        <v>33</v>
      </c>
    </row>
    <row r="17" spans="1:12">
      <c r="B17" s="146" t="s">
        <v>154</v>
      </c>
      <c r="C17" s="147" t="s">
        <v>108</v>
      </c>
      <c r="D17" s="293"/>
      <c r="E17" s="179"/>
      <c r="K17" t="s">
        <v>238</v>
      </c>
      <c r="L17" s="67" t="s">
        <v>35</v>
      </c>
    </row>
    <row r="18" spans="1:12">
      <c r="B18" s="146" t="s">
        <v>153</v>
      </c>
      <c r="C18" s="147" t="s">
        <v>16</v>
      </c>
      <c r="D18" s="293"/>
      <c r="E18" s="183"/>
      <c r="K18" t="s">
        <v>239</v>
      </c>
      <c r="L18" s="67" t="s">
        <v>34</v>
      </c>
    </row>
    <row r="19" spans="1:12">
      <c r="B19" s="146" t="s">
        <v>149</v>
      </c>
      <c r="C19" s="147" t="s">
        <v>25</v>
      </c>
      <c r="D19" s="293"/>
      <c r="E19" s="184"/>
      <c r="K19" t="s">
        <v>240</v>
      </c>
      <c r="L19" s="67" t="s">
        <v>36</v>
      </c>
    </row>
    <row r="20" spans="1:12">
      <c r="B20" s="146" t="s">
        <v>150</v>
      </c>
      <c r="C20" s="147" t="s">
        <v>109</v>
      </c>
      <c r="D20" s="293"/>
      <c r="E20" s="185"/>
      <c r="K20" t="s">
        <v>241</v>
      </c>
      <c r="L20" s="67" t="s">
        <v>37</v>
      </c>
    </row>
    <row r="21" spans="1:12">
      <c r="B21" s="146" t="s">
        <v>151</v>
      </c>
      <c r="C21" s="147" t="s">
        <v>84</v>
      </c>
      <c r="D21" s="293"/>
      <c r="E21" s="178"/>
      <c r="K21" t="s">
        <v>242</v>
      </c>
      <c r="L21" s="67" t="s">
        <v>38</v>
      </c>
    </row>
    <row r="22" spans="1:12">
      <c r="B22" s="148" t="s">
        <v>152</v>
      </c>
      <c r="C22" s="138" t="s">
        <v>212</v>
      </c>
      <c r="D22" s="294"/>
      <c r="E22" s="178"/>
      <c r="K22" t="s">
        <v>243</v>
      </c>
      <c r="L22" s="67" t="s">
        <v>39</v>
      </c>
    </row>
    <row r="23" spans="1:12">
      <c r="E23" s="73"/>
      <c r="K23" t="s">
        <v>244</v>
      </c>
      <c r="L23" s="67" t="s">
        <v>40</v>
      </c>
    </row>
    <row r="24" spans="1:12" ht="18.75">
      <c r="A24" s="6"/>
      <c r="B24" s="75"/>
      <c r="C24" s="78" t="s">
        <v>110</v>
      </c>
      <c r="D24" s="1"/>
      <c r="E24" s="17"/>
      <c r="K24" t="s">
        <v>245</v>
      </c>
      <c r="L24" s="67" t="s">
        <v>41</v>
      </c>
    </row>
    <row r="25" spans="1:12" ht="18.75">
      <c r="A25" s="6"/>
      <c r="B25" s="146" t="s">
        <v>162</v>
      </c>
      <c r="C25" s="147" t="s">
        <v>106</v>
      </c>
      <c r="D25" s="186" t="s">
        <v>2</v>
      </c>
      <c r="E25" s="90" t="str">
        <f>IF(E13&lt;&gt;"",E13,"")</f>
        <v/>
      </c>
      <c r="K25" t="s">
        <v>246</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95"/>
      <c r="E47" s="191" t="str">
        <f>IF(E13&lt;&gt;"",E13,"")</f>
        <v/>
      </c>
      <c r="L47" s="67" t="s">
        <v>64</v>
      </c>
    </row>
    <row r="48" spans="1:12" ht="18.75">
      <c r="A48" s="6"/>
      <c r="B48" s="146" t="s">
        <v>182</v>
      </c>
      <c r="C48" s="189" t="s">
        <v>122</v>
      </c>
      <c r="D48" s="296"/>
      <c r="E48" s="192">
        <f>'Wksh 1 - Market Experience'!F46</f>
        <v>0</v>
      </c>
      <c r="L48" s="67" t="s">
        <v>65</v>
      </c>
    </row>
    <row r="49" spans="1:12" ht="18.75">
      <c r="A49" s="6"/>
      <c r="B49" s="146" t="s">
        <v>183</v>
      </c>
      <c r="C49" s="189" t="s">
        <v>123</v>
      </c>
      <c r="D49" s="296"/>
      <c r="E49" s="193"/>
      <c r="L49" s="67" t="s">
        <v>66</v>
      </c>
    </row>
    <row r="50" spans="1:12" ht="18.75">
      <c r="A50" s="6"/>
      <c r="B50" s="146" t="s">
        <v>184</v>
      </c>
      <c r="C50" s="189" t="s">
        <v>124</v>
      </c>
      <c r="D50" s="296"/>
      <c r="E50" s="193"/>
      <c r="L50" s="67" t="s">
        <v>67</v>
      </c>
    </row>
    <row r="51" spans="1:12" ht="18.75">
      <c r="A51" s="6"/>
      <c r="B51" s="148" t="s">
        <v>185</v>
      </c>
      <c r="C51" s="190" t="s">
        <v>125</v>
      </c>
      <c r="D51" s="297"/>
      <c r="E51" s="193"/>
      <c r="L51" s="67" t="s">
        <v>68</v>
      </c>
    </row>
    <row r="52" spans="1:12" ht="18.75">
      <c r="A52" s="6"/>
      <c r="C52" s="82" t="s">
        <v>133</v>
      </c>
      <c r="D52" s="6"/>
      <c r="L52" s="67" t="s">
        <v>69</v>
      </c>
    </row>
    <row r="53" spans="1:12" ht="18.75">
      <c r="A53" s="6"/>
      <c r="B53" s="146" t="s">
        <v>186</v>
      </c>
      <c r="C53" s="172" t="s">
        <v>134</v>
      </c>
      <c r="D53" s="295"/>
      <c r="E53" s="196"/>
      <c r="F53" s="5"/>
      <c r="L53" s="67" t="s">
        <v>70</v>
      </c>
    </row>
    <row r="54" spans="1:12" ht="18.75">
      <c r="A54" s="6"/>
      <c r="B54" s="146" t="s">
        <v>187</v>
      </c>
      <c r="C54" s="172" t="s">
        <v>135</v>
      </c>
      <c r="D54" s="296"/>
      <c r="E54" s="196"/>
      <c r="F54" s="5"/>
      <c r="L54" s="67" t="s">
        <v>71</v>
      </c>
    </row>
    <row r="55" spans="1:12" ht="18.75">
      <c r="A55" s="6"/>
      <c r="B55" s="146" t="s">
        <v>188</v>
      </c>
      <c r="C55" s="172" t="s">
        <v>12</v>
      </c>
      <c r="D55" s="296"/>
      <c r="E55" s="196"/>
      <c r="F55" s="5"/>
      <c r="L55" s="67" t="s">
        <v>72</v>
      </c>
    </row>
    <row r="56" spans="1:12" ht="18.75">
      <c r="A56" s="6"/>
      <c r="B56" s="146" t="s">
        <v>189</v>
      </c>
      <c r="C56" s="189" t="s">
        <v>126</v>
      </c>
      <c r="D56" s="296"/>
      <c r="E56" s="193"/>
      <c r="F56" s="5"/>
      <c r="L56" s="67" t="s">
        <v>73</v>
      </c>
    </row>
    <row r="57" spans="1:12" ht="18.75">
      <c r="A57" s="6"/>
      <c r="B57" s="148" t="s">
        <v>190</v>
      </c>
      <c r="C57" s="194" t="s">
        <v>79</v>
      </c>
      <c r="D57" s="297"/>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L0+pNcsHkujgSOAqtEn+jDj6NQzhnwgSSkQHLLsPtbUDdQKq09DGj4vv1PnJdpXuqfRMu83vIJeuX5Bz2HWS1w==" saltValue="Ldg0GiIgdMBdiu1fL+1E0g==" spinCount="100000" sheet="1" objects="1" scenario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43cd8e-b180-420a-af90-bd892b9b7a1b">
      <Terms xmlns="http://schemas.microsoft.com/office/infopath/2007/PartnerControls"/>
    </lcf76f155ced4ddcb4097134ff3c332f>
    <TaxCatchAll xmlns="be616c46-e0d1-41bc-b79c-3bf75d8f213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5" ma:contentTypeDescription="Create a new document." ma:contentTypeScope="" ma:versionID="51ea80c5e305430dd1fa6bb394d68430">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c44eddd528bcfed5796ba6f9120a30ad"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customXml/itemProps2.xml><?xml version="1.0" encoding="utf-8"?>
<ds:datastoreItem xmlns:ds="http://schemas.openxmlformats.org/officeDocument/2006/customXml" ds:itemID="{97DD0877-E559-4188-86CB-ED8FDAB4B72D}"/>
</file>

<file path=customXml/itemProps3.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Winer, Teresa</cp:lastModifiedBy>
  <dcterms:created xsi:type="dcterms:W3CDTF">2013-12-09T20:12:41Z</dcterms:created>
  <dcterms:modified xsi:type="dcterms:W3CDTF">2023-07-19T17:31:00Z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Order">
    <vt:r8>14997100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ies>
</file>