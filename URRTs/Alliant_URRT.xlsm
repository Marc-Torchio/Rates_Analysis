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P:\ALN-PHI\ALN04-26 2024 ACA Pricing\Work Transmittals\202305XX - GA IM Filing Materials v2\URRT\"/>
    </mc:Choice>
  </mc:AlternateContent>
  <xr:revisionPtr revIDLastSave="0" documentId="13_ncr:1_{6A9CD756-B78D-4B43-BA92-7007E0820465}" xr6:coauthVersionLast="47" xr6:coauthVersionMax="47" xr10:uidLastSave="{00000000-0000-0000-0000-000000000000}"/>
  <workbookProtection workbookAlgorithmName="SHA-512" workbookHashValue="PF1jvxWMWOhQZ43B0nE3bXIAaCCjYys4nGS8ATR2C43+m6wZf8A6F36r7dvwLmjoSqGwtdM3lIQtpbRSk2iBvw==" workbookSaltValue="gaEWfRTPTpPciFliWbMrnQ==" workbookSpinCount="100000" lockStructure="1"/>
  <bookViews>
    <workbookView xWindow="-120" yWindow="-120" windowWidth="29040" windowHeight="15840" tabRatio="515" activeTab="1" xr2:uid="{00000000-000D-0000-FFFF-FFFF00000000}"/>
  </bookViews>
  <sheets>
    <sheet name="Wksh 1 - Market Experience" sheetId="1" r:id="rId1"/>
    <sheet name="Wksh 2 - Plan Product Info" sheetId="13" r:id="rId2"/>
    <sheet name="Wksh 3 - Rating Areas" sheetId="18" r:id="rId3"/>
    <sheet name="PlanTemplate" sheetId="15" state="veryHidden" r:id="rId4"/>
  </sheets>
  <functionGroups builtInGroupCount="19"/>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70" i="13" s="1"/>
  <c r="D34" i="13"/>
  <c r="D35" i="13" s="1"/>
  <c r="D33" i="13"/>
  <c r="D32" i="13"/>
  <c r="D31" i="13"/>
  <c r="D43" i="13" s="1"/>
  <c r="D29" i="13"/>
  <c r="D41" i="13" s="1"/>
  <c r="D28" i="13"/>
  <c r="D27" i="13"/>
  <c r="D26" i="13"/>
  <c r="E22" i="13" a="1"/>
  <c r="E22" i="13" s="1"/>
  <c r="AX21" i="13" a="1"/>
  <c r="AX21" i="13" s="1"/>
  <c r="C5" i="1"/>
  <c r="CI82" i="13"/>
  <c r="CI81" i="13"/>
  <c r="CI79" i="13"/>
  <c r="CI78" i="13"/>
  <c r="CI77" i="13"/>
  <c r="CI76" i="13"/>
  <c r="CI70" i="13"/>
  <c r="CI80" i="13" s="1"/>
  <c r="CI65" i="13"/>
  <c r="CI47" i="13"/>
  <c r="CI44" i="13"/>
  <c r="CI43" i="13"/>
  <c r="CI41" i="13"/>
  <c r="CI40" i="13"/>
  <c r="CI39" i="13"/>
  <c r="CI38" i="13"/>
  <c r="CI30" i="13"/>
  <c r="CI36" i="13" s="1"/>
  <c r="CI25" i="13"/>
  <c r="CH82" i="13"/>
  <c r="CH81" i="13"/>
  <c r="CH79" i="13"/>
  <c r="CH78" i="13"/>
  <c r="CH77" i="13"/>
  <c r="CH76" i="13"/>
  <c r="CH70" i="13"/>
  <c r="CH80" i="13" s="1"/>
  <c r="CH65" i="13"/>
  <c r="CH47" i="13"/>
  <c r="CH44" i="13"/>
  <c r="CH43" i="13"/>
  <c r="CH41" i="13"/>
  <c r="CH40" i="13"/>
  <c r="CH39" i="13"/>
  <c r="CH38" i="13"/>
  <c r="CH36" i="13"/>
  <c r="CH30" i="13"/>
  <c r="CH42" i="13" s="1"/>
  <c r="CH25" i="13"/>
  <c r="CG82" i="13"/>
  <c r="CG81" i="13"/>
  <c r="CG79" i="13"/>
  <c r="CG78" i="13"/>
  <c r="CG77" i="13"/>
  <c r="CG76" i="13"/>
  <c r="CG70" i="13"/>
  <c r="CG80" i="13" s="1"/>
  <c r="CG65" i="13"/>
  <c r="CG47" i="13"/>
  <c r="CG44" i="13"/>
  <c r="CG43" i="13"/>
  <c r="CG41" i="13"/>
  <c r="CG40" i="13"/>
  <c r="CG39" i="13"/>
  <c r="CG38" i="13"/>
  <c r="CG30" i="13"/>
  <c r="CG36" i="13" s="1"/>
  <c r="CG25" i="13"/>
  <c r="CF82" i="13"/>
  <c r="CF81" i="13"/>
  <c r="CF79" i="13"/>
  <c r="CF78" i="13"/>
  <c r="CF77" i="13"/>
  <c r="CF76" i="13"/>
  <c r="CF70" i="13"/>
  <c r="CF74" i="13" s="1"/>
  <c r="CF65" i="13"/>
  <c r="CF47" i="13"/>
  <c r="CF44" i="13"/>
  <c r="CF43" i="13"/>
  <c r="CF41" i="13"/>
  <c r="CF40" i="13"/>
  <c r="CF39" i="13"/>
  <c r="CF38" i="13"/>
  <c r="CF30" i="13"/>
  <c r="CF36" i="13" s="1"/>
  <c r="CF25" i="13"/>
  <c r="CE82" i="13"/>
  <c r="CE81" i="13"/>
  <c r="CE79" i="13"/>
  <c r="CE78" i="13"/>
  <c r="CE77" i="13"/>
  <c r="CE76" i="13"/>
  <c r="CE70" i="13"/>
  <c r="CE80" i="13" s="1"/>
  <c r="CE65" i="13"/>
  <c r="CE47" i="13"/>
  <c r="CE44" i="13"/>
  <c r="CE43" i="13"/>
  <c r="CE41" i="13"/>
  <c r="CE40" i="13"/>
  <c r="CE39" i="13"/>
  <c r="CE38" i="13"/>
  <c r="CE30" i="13"/>
  <c r="CE42" i="13" s="1"/>
  <c r="CE25" i="13"/>
  <c r="CD82" i="13"/>
  <c r="CD81" i="13"/>
  <c r="CD79" i="13"/>
  <c r="CD78" i="13"/>
  <c r="CD77" i="13"/>
  <c r="CD76" i="13"/>
  <c r="CD70" i="13"/>
  <c r="CD74" i="13" s="1"/>
  <c r="CD65" i="13"/>
  <c r="CD47" i="13"/>
  <c r="CD44" i="13"/>
  <c r="CD43" i="13"/>
  <c r="CD41" i="13"/>
  <c r="CD40" i="13"/>
  <c r="CD39" i="13"/>
  <c r="CD38" i="13"/>
  <c r="CD30" i="13"/>
  <c r="CD42" i="13" s="1"/>
  <c r="CD25" i="13"/>
  <c r="CC82" i="13"/>
  <c r="CC81" i="13"/>
  <c r="CC79" i="13"/>
  <c r="CC78" i="13"/>
  <c r="CC77" i="13"/>
  <c r="CC76" i="13"/>
  <c r="CC74" i="13"/>
  <c r="CC70" i="13"/>
  <c r="CC80" i="13" s="1"/>
  <c r="CC65" i="13"/>
  <c r="CC47" i="13"/>
  <c r="CC44" i="13"/>
  <c r="CC43" i="13"/>
  <c r="CC41" i="13"/>
  <c r="CC40" i="13"/>
  <c r="CC39" i="13"/>
  <c r="CC38" i="13"/>
  <c r="CC30" i="13"/>
  <c r="CC36" i="13" s="1"/>
  <c r="CC25" i="13"/>
  <c r="CB82" i="13"/>
  <c r="CB81" i="13"/>
  <c r="CB80" i="13"/>
  <c r="CB79" i="13"/>
  <c r="CB78" i="13"/>
  <c r="CB77" i="13"/>
  <c r="CB76" i="13"/>
  <c r="CB70" i="13"/>
  <c r="CB74" i="13" s="1"/>
  <c r="CB65" i="13"/>
  <c r="CB47" i="13"/>
  <c r="CB44" i="13"/>
  <c r="CB43" i="13"/>
  <c r="CB41" i="13"/>
  <c r="CB40" i="13"/>
  <c r="CB39" i="13"/>
  <c r="CB38" i="13"/>
  <c r="CB30" i="13"/>
  <c r="CB42" i="13" s="1"/>
  <c r="CB25" i="13"/>
  <c r="CA82" i="13"/>
  <c r="CA81" i="13"/>
  <c r="CA79" i="13"/>
  <c r="CA78" i="13"/>
  <c r="CA77" i="13"/>
  <c r="CA76" i="13"/>
  <c r="CA70" i="13"/>
  <c r="CA80" i="13" s="1"/>
  <c r="CA65" i="13"/>
  <c r="CA47" i="13"/>
  <c r="CA44" i="13"/>
  <c r="CA43" i="13"/>
  <c r="CA41" i="13"/>
  <c r="CA40" i="13"/>
  <c r="CA39" i="13"/>
  <c r="CA38" i="13"/>
  <c r="CA30" i="13"/>
  <c r="CA36" i="13" s="1"/>
  <c r="CA25" i="13"/>
  <c r="BZ82" i="13"/>
  <c r="BZ81" i="13"/>
  <c r="BZ79" i="13"/>
  <c r="BZ78" i="13"/>
  <c r="BZ77" i="13"/>
  <c r="BZ76" i="13"/>
  <c r="BZ70" i="13"/>
  <c r="BZ80" i="13" s="1"/>
  <c r="BZ65" i="13"/>
  <c r="BZ47" i="13"/>
  <c r="BZ44" i="13"/>
  <c r="BZ43" i="13"/>
  <c r="BZ41" i="13"/>
  <c r="BZ40" i="13"/>
  <c r="BZ39" i="13"/>
  <c r="BZ38" i="13"/>
  <c r="BZ30" i="13"/>
  <c r="BZ42" i="13" s="1"/>
  <c r="BZ25" i="13"/>
  <c r="BY82" i="13"/>
  <c r="BY81" i="13"/>
  <c r="BY79" i="13"/>
  <c r="BY78" i="13"/>
  <c r="BY77" i="13"/>
  <c r="BY76" i="13"/>
  <c r="BY70" i="13"/>
  <c r="BY80" i="13" s="1"/>
  <c r="BY65" i="13"/>
  <c r="BY47" i="13"/>
  <c r="BY44" i="13"/>
  <c r="BY43" i="13"/>
  <c r="BY41" i="13"/>
  <c r="BY40" i="13"/>
  <c r="BY39" i="13"/>
  <c r="BY38" i="13"/>
  <c r="BY30" i="13"/>
  <c r="BY36" i="13" s="1"/>
  <c r="BY25" i="13"/>
  <c r="BX82" i="13"/>
  <c r="BX81" i="13"/>
  <c r="BX79" i="13"/>
  <c r="BX78" i="13"/>
  <c r="BX77" i="13"/>
  <c r="BX76" i="13"/>
  <c r="BX70" i="13"/>
  <c r="BX74" i="13" s="1"/>
  <c r="BX65" i="13"/>
  <c r="BX47" i="13"/>
  <c r="BX44" i="13"/>
  <c r="BX43" i="13"/>
  <c r="BX41" i="13"/>
  <c r="BX40" i="13"/>
  <c r="BX39" i="13"/>
  <c r="BX38" i="13"/>
  <c r="BX30" i="13"/>
  <c r="BX42" i="13" s="1"/>
  <c r="BX25" i="13"/>
  <c r="BW82" i="13"/>
  <c r="BW81" i="13"/>
  <c r="BW79" i="13"/>
  <c r="BW78" i="13"/>
  <c r="BW77" i="13"/>
  <c r="BW76" i="13"/>
  <c r="BW70" i="13"/>
  <c r="BW80" i="13" s="1"/>
  <c r="BW65" i="13"/>
  <c r="BW47" i="13"/>
  <c r="BW44" i="13"/>
  <c r="BW43" i="13"/>
  <c r="BW41" i="13"/>
  <c r="BW40" i="13"/>
  <c r="BW39" i="13"/>
  <c r="BW38" i="13"/>
  <c r="BW30" i="13"/>
  <c r="BW42" i="13" s="1"/>
  <c r="BW25" i="13"/>
  <c r="BV82" i="13"/>
  <c r="BV81" i="13"/>
  <c r="BV79" i="13"/>
  <c r="BV78" i="13"/>
  <c r="BV77" i="13"/>
  <c r="BV76" i="13"/>
  <c r="BV70" i="13"/>
  <c r="BV74" i="13" s="1"/>
  <c r="BV65" i="13"/>
  <c r="BV47" i="13"/>
  <c r="BV44" i="13"/>
  <c r="BV43" i="13"/>
  <c r="BV41" i="13"/>
  <c r="BV40" i="13"/>
  <c r="BV39" i="13"/>
  <c r="BV38" i="13"/>
  <c r="BV30" i="13"/>
  <c r="BV42" i="13" s="1"/>
  <c r="BV25" i="13"/>
  <c r="BU82" i="13"/>
  <c r="BU81" i="13"/>
  <c r="BU79" i="13"/>
  <c r="BU78" i="13"/>
  <c r="BU77" i="13"/>
  <c r="BU76" i="13"/>
  <c r="BU70" i="13"/>
  <c r="BU80" i="13" s="1"/>
  <c r="BU65" i="13"/>
  <c r="BU47" i="13"/>
  <c r="BU44" i="13"/>
  <c r="BU43" i="13"/>
  <c r="BU41" i="13"/>
  <c r="BU40" i="13"/>
  <c r="BU39" i="13"/>
  <c r="BU38" i="13"/>
  <c r="BU30" i="13"/>
  <c r="BU42" i="13" s="1"/>
  <c r="BU25" i="13"/>
  <c r="BT82" i="13"/>
  <c r="BT81" i="13"/>
  <c r="BT79" i="13"/>
  <c r="BT78" i="13"/>
  <c r="BT77" i="13"/>
  <c r="BT76" i="13"/>
  <c r="BT74" i="13"/>
  <c r="BT70" i="13"/>
  <c r="BT80" i="13" s="1"/>
  <c r="BT65" i="13"/>
  <c r="BT47" i="13"/>
  <c r="BT44" i="13"/>
  <c r="BT43" i="13"/>
  <c r="BT41" i="13"/>
  <c r="BT40" i="13"/>
  <c r="BT39" i="13"/>
  <c r="BT38" i="13"/>
  <c r="BT30" i="13"/>
  <c r="BT42" i="13" s="1"/>
  <c r="BT25" i="13"/>
  <c r="BS82" i="13"/>
  <c r="BS81" i="13"/>
  <c r="BS79" i="13"/>
  <c r="BS78" i="13"/>
  <c r="BS77" i="13"/>
  <c r="BS76" i="13"/>
  <c r="BS70" i="13"/>
  <c r="BS80" i="13" s="1"/>
  <c r="BS65" i="13"/>
  <c r="BS47" i="13"/>
  <c r="BS44" i="13"/>
  <c r="BS43" i="13"/>
  <c r="BS41" i="13"/>
  <c r="BS40" i="13"/>
  <c r="BS39" i="13"/>
  <c r="BS38" i="13"/>
  <c r="BS30" i="13"/>
  <c r="BS36" i="13" s="1"/>
  <c r="BS25" i="13"/>
  <c r="BR82" i="13"/>
  <c r="BR81" i="13"/>
  <c r="BR79" i="13"/>
  <c r="BR78" i="13"/>
  <c r="BR77" i="13"/>
  <c r="BR76" i="13"/>
  <c r="BR70" i="13"/>
  <c r="BR74" i="13" s="1"/>
  <c r="BR65" i="13"/>
  <c r="BR47" i="13"/>
  <c r="BR44" i="13"/>
  <c r="BR43" i="13"/>
  <c r="BR41" i="13"/>
  <c r="BR40" i="13"/>
  <c r="BR39" i="13"/>
  <c r="BR38" i="13"/>
  <c r="BR30" i="13"/>
  <c r="BR42" i="13" s="1"/>
  <c r="BR25" i="13"/>
  <c r="BQ82" i="13"/>
  <c r="BQ81" i="13"/>
  <c r="BQ79" i="13"/>
  <c r="BQ78" i="13"/>
  <c r="BQ77" i="13"/>
  <c r="BQ76" i="13"/>
  <c r="BQ70" i="13"/>
  <c r="BQ74" i="13" s="1"/>
  <c r="BQ65" i="13"/>
  <c r="BQ47" i="13"/>
  <c r="BQ44" i="13"/>
  <c r="BQ43" i="13"/>
  <c r="BQ41" i="13"/>
  <c r="BQ40" i="13"/>
  <c r="BQ39" i="13"/>
  <c r="BQ38" i="13"/>
  <c r="BQ30" i="13"/>
  <c r="BQ36" i="13" s="1"/>
  <c r="BQ25" i="13"/>
  <c r="BP82" i="13"/>
  <c r="BP81" i="13"/>
  <c r="BP79" i="13"/>
  <c r="BP78" i="13"/>
  <c r="BP77" i="13"/>
  <c r="BP76" i="13"/>
  <c r="BP70" i="13"/>
  <c r="BP74" i="13" s="1"/>
  <c r="BP65" i="13"/>
  <c r="BP47" i="13"/>
  <c r="BP44" i="13"/>
  <c r="BP43" i="13"/>
  <c r="BP41" i="13"/>
  <c r="BP40" i="13"/>
  <c r="BP39" i="13"/>
  <c r="BP38" i="13"/>
  <c r="BP36" i="13"/>
  <c r="BP30" i="13"/>
  <c r="BP42" i="13" s="1"/>
  <c r="BP25" i="13"/>
  <c r="BO82" i="13"/>
  <c r="BO81" i="13"/>
  <c r="BO79" i="13"/>
  <c r="BO78" i="13"/>
  <c r="BO77" i="13"/>
  <c r="BO76" i="13"/>
  <c r="BO70" i="13"/>
  <c r="BO80" i="13" s="1"/>
  <c r="BO65" i="13"/>
  <c r="BO47" i="13"/>
  <c r="BO44" i="13"/>
  <c r="BO43" i="13"/>
  <c r="BO41" i="13"/>
  <c r="BO40" i="13"/>
  <c r="BO39" i="13"/>
  <c r="BO38" i="13"/>
  <c r="BO30" i="13"/>
  <c r="BO36" i="13" s="1"/>
  <c r="BO25" i="13"/>
  <c r="BN82" i="13"/>
  <c r="BN81" i="13"/>
  <c r="BN79" i="13"/>
  <c r="BN78" i="13"/>
  <c r="BN77" i="13"/>
  <c r="BN76" i="13"/>
  <c r="BN70" i="13"/>
  <c r="BN74" i="13" s="1"/>
  <c r="BN65" i="13"/>
  <c r="BN47" i="13"/>
  <c r="BN44" i="13"/>
  <c r="BN43" i="13"/>
  <c r="BN41" i="13"/>
  <c r="BN40" i="13"/>
  <c r="BN39" i="13"/>
  <c r="BN38" i="13"/>
  <c r="BN30" i="13"/>
  <c r="BN42" i="13" s="1"/>
  <c r="BN25" i="13"/>
  <c r="BM82" i="13"/>
  <c r="BM81" i="13"/>
  <c r="BM79" i="13"/>
  <c r="BM78" i="13"/>
  <c r="BM77" i="13"/>
  <c r="BM76" i="13"/>
  <c r="BM70" i="13"/>
  <c r="BM80" i="13" s="1"/>
  <c r="BM65" i="13"/>
  <c r="BM47" i="13"/>
  <c r="BM44" i="13"/>
  <c r="BM43" i="13"/>
  <c r="BM41" i="13"/>
  <c r="BM40" i="13"/>
  <c r="BM39" i="13"/>
  <c r="BM38" i="13"/>
  <c r="BM36" i="13"/>
  <c r="BM30" i="13"/>
  <c r="BM42" i="13" s="1"/>
  <c r="BM25" i="13"/>
  <c r="BL82" i="13"/>
  <c r="BL81" i="13"/>
  <c r="BL80" i="13"/>
  <c r="BL79" i="13"/>
  <c r="BL78" i="13"/>
  <c r="BL77" i="13"/>
  <c r="BL76" i="13"/>
  <c r="BL70" i="13"/>
  <c r="BL74" i="13" s="1"/>
  <c r="BL65" i="13"/>
  <c r="BL47" i="13"/>
  <c r="BL44" i="13"/>
  <c r="BL43" i="13"/>
  <c r="BL41" i="13"/>
  <c r="BL40" i="13"/>
  <c r="BL39" i="13"/>
  <c r="BL38" i="13"/>
  <c r="BL36" i="13"/>
  <c r="BL30" i="13"/>
  <c r="BL42" i="13" s="1"/>
  <c r="BL25" i="13"/>
  <c r="BK82" i="13"/>
  <c r="BK81" i="13"/>
  <c r="BK79" i="13"/>
  <c r="BK78" i="13"/>
  <c r="BK77" i="13"/>
  <c r="BK76" i="13"/>
  <c r="BK70" i="13"/>
  <c r="BK80" i="13" s="1"/>
  <c r="BK65" i="13"/>
  <c r="BK47" i="13"/>
  <c r="BK44" i="13"/>
  <c r="BK43" i="13"/>
  <c r="BK41" i="13"/>
  <c r="BK40" i="13"/>
  <c r="BK39" i="13"/>
  <c r="BK38" i="13"/>
  <c r="BK30" i="13"/>
  <c r="BK36" i="13" s="1"/>
  <c r="BK25" i="13"/>
  <c r="BJ82" i="13"/>
  <c r="BJ81" i="13"/>
  <c r="BJ79" i="13"/>
  <c r="BJ78" i="13"/>
  <c r="BJ77" i="13"/>
  <c r="BJ76" i="13"/>
  <c r="BJ70" i="13"/>
  <c r="BJ80" i="13" s="1"/>
  <c r="BJ65" i="13"/>
  <c r="BJ47" i="13"/>
  <c r="BJ44" i="13"/>
  <c r="BJ43" i="13"/>
  <c r="BJ41" i="13"/>
  <c r="BJ40" i="13"/>
  <c r="BJ39" i="13"/>
  <c r="BJ38" i="13"/>
  <c r="BJ30" i="13"/>
  <c r="BJ42" i="13" s="1"/>
  <c r="BJ25" i="13"/>
  <c r="BI82" i="13"/>
  <c r="BI81" i="13"/>
  <c r="BI79" i="13"/>
  <c r="BI78" i="13"/>
  <c r="BI77" i="13"/>
  <c r="BI76" i="13"/>
  <c r="BI70" i="13"/>
  <c r="BI80" i="13" s="1"/>
  <c r="BI65" i="13"/>
  <c r="BI47" i="13"/>
  <c r="BI44" i="13"/>
  <c r="BI43" i="13"/>
  <c r="BI41" i="13"/>
  <c r="BI40" i="13"/>
  <c r="BI39" i="13"/>
  <c r="BI38" i="13"/>
  <c r="BI30" i="13"/>
  <c r="BI36" i="13" s="1"/>
  <c r="BI25" i="13"/>
  <c r="BH82" i="13"/>
  <c r="BH81" i="13"/>
  <c r="BH79" i="13"/>
  <c r="BH78" i="13"/>
  <c r="BH77" i="13"/>
  <c r="BH76" i="13"/>
  <c r="BH70" i="13"/>
  <c r="BH74" i="13" s="1"/>
  <c r="BH65" i="13"/>
  <c r="BH47" i="13"/>
  <c r="BH44" i="13"/>
  <c r="BH43" i="13"/>
  <c r="BH41" i="13"/>
  <c r="BH40" i="13"/>
  <c r="BH39" i="13"/>
  <c r="BH38" i="13"/>
  <c r="BH30" i="13"/>
  <c r="BH42" i="13" s="1"/>
  <c r="BH25" i="13"/>
  <c r="BG82" i="13"/>
  <c r="BG81" i="13"/>
  <c r="BG79" i="13"/>
  <c r="BG78" i="13"/>
  <c r="BG77" i="13"/>
  <c r="BG76" i="13"/>
  <c r="BG70" i="13"/>
  <c r="BG80" i="13" s="1"/>
  <c r="BG65" i="13"/>
  <c r="BG47" i="13"/>
  <c r="BG44" i="13"/>
  <c r="BG43" i="13"/>
  <c r="BG42" i="13"/>
  <c r="BG41" i="13"/>
  <c r="BG40" i="13"/>
  <c r="BG39" i="13"/>
  <c r="BG38" i="13"/>
  <c r="BG30" i="13"/>
  <c r="BG36" i="13" s="1"/>
  <c r="BG25" i="13"/>
  <c r="BF82" i="13"/>
  <c r="BF81" i="13"/>
  <c r="BF79" i="13"/>
  <c r="BF78" i="13"/>
  <c r="BF77" i="13"/>
  <c r="BF76" i="13"/>
  <c r="BF70" i="13"/>
  <c r="BF74" i="13" s="1"/>
  <c r="BF65" i="13"/>
  <c r="BF47" i="13"/>
  <c r="BF44" i="13"/>
  <c r="BF43" i="13"/>
  <c r="BF41" i="13"/>
  <c r="BF40" i="13"/>
  <c r="BF39" i="13"/>
  <c r="BF38" i="13"/>
  <c r="BF30" i="13"/>
  <c r="BF42" i="13" s="1"/>
  <c r="BF25" i="13"/>
  <c r="BE82" i="13"/>
  <c r="BE81" i="13"/>
  <c r="BE79" i="13"/>
  <c r="BE78" i="13"/>
  <c r="BE77" i="13"/>
  <c r="BE76" i="13"/>
  <c r="BE70" i="13"/>
  <c r="BE74" i="13" s="1"/>
  <c r="BE65" i="13"/>
  <c r="BE47" i="13"/>
  <c r="BE44" i="13"/>
  <c r="BE43" i="13"/>
  <c r="BE41" i="13"/>
  <c r="BE40" i="13"/>
  <c r="BE39" i="13"/>
  <c r="BE38" i="13"/>
  <c r="BE30" i="13"/>
  <c r="BE36" i="13" s="1"/>
  <c r="BE25" i="13"/>
  <c r="BD82" i="13"/>
  <c r="BD81" i="13"/>
  <c r="BD79" i="13"/>
  <c r="BD78" i="13"/>
  <c r="BD77" i="13"/>
  <c r="BD76" i="13"/>
  <c r="BD70" i="13"/>
  <c r="BD74" i="13" s="1"/>
  <c r="BD65" i="13"/>
  <c r="BD47" i="13"/>
  <c r="BD44" i="13"/>
  <c r="BD43" i="13"/>
  <c r="BD41" i="13"/>
  <c r="BD40" i="13"/>
  <c r="BD39" i="13"/>
  <c r="BD38" i="13"/>
  <c r="BD30" i="13"/>
  <c r="BD42" i="13" s="1"/>
  <c r="BD25" i="13"/>
  <c r="BC82" i="13"/>
  <c r="BC81" i="13"/>
  <c r="BC79" i="13"/>
  <c r="BC78" i="13"/>
  <c r="BC77" i="13"/>
  <c r="BC76" i="13"/>
  <c r="BC70" i="13"/>
  <c r="BC80" i="13" s="1"/>
  <c r="BC65" i="13"/>
  <c r="BC47" i="13"/>
  <c r="BC44" i="13"/>
  <c r="BC43" i="13"/>
  <c r="BC41" i="13"/>
  <c r="BC40" i="13"/>
  <c r="BC39" i="13"/>
  <c r="BC38" i="13"/>
  <c r="BC30" i="13"/>
  <c r="BC36" i="13" s="1"/>
  <c r="BC25" i="13"/>
  <c r="BB82" i="13"/>
  <c r="BB81" i="13"/>
  <c r="BB79" i="13"/>
  <c r="BB78" i="13"/>
  <c r="BB77" i="13"/>
  <c r="BB76" i="13"/>
  <c r="BB70" i="13"/>
  <c r="BB74" i="13" s="1"/>
  <c r="BB65" i="13"/>
  <c r="BB47" i="13"/>
  <c r="BB44" i="13"/>
  <c r="BB43" i="13"/>
  <c r="BB41" i="13"/>
  <c r="BB40" i="13"/>
  <c r="BB39" i="13"/>
  <c r="BB38" i="13"/>
  <c r="BB36" i="13"/>
  <c r="BB30" i="13"/>
  <c r="BB42" i="13" s="1"/>
  <c r="BB25" i="13"/>
  <c r="BA82" i="13"/>
  <c r="BA81" i="13"/>
  <c r="BA79" i="13"/>
  <c r="BA78" i="13"/>
  <c r="BA77" i="13"/>
  <c r="BA76" i="13"/>
  <c r="BA70" i="13"/>
  <c r="BA74" i="13" s="1"/>
  <c r="BA65" i="13"/>
  <c r="BA47" i="13"/>
  <c r="BA44" i="13"/>
  <c r="BA43" i="13"/>
  <c r="BA41" i="13"/>
  <c r="BA40" i="13"/>
  <c r="BA39" i="13"/>
  <c r="BA38" i="13"/>
  <c r="BA30" i="13"/>
  <c r="BA36" i="13" s="1"/>
  <c r="BA25" i="13"/>
  <c r="AZ82" i="13"/>
  <c r="AZ81" i="13"/>
  <c r="AZ79" i="13"/>
  <c r="AZ78" i="13"/>
  <c r="AZ77" i="13"/>
  <c r="AZ76" i="13"/>
  <c r="AZ70" i="13"/>
  <c r="AZ74" i="13" s="1"/>
  <c r="AZ65" i="13"/>
  <c r="AZ47" i="13"/>
  <c r="AZ44" i="13"/>
  <c r="AZ43" i="13"/>
  <c r="AZ42" i="13"/>
  <c r="AZ41" i="13"/>
  <c r="AZ40" i="13"/>
  <c r="AZ39" i="13"/>
  <c r="AZ38" i="13"/>
  <c r="AZ36" i="13"/>
  <c r="AZ30" i="13"/>
  <c r="AZ25" i="13"/>
  <c r="AY82" i="13"/>
  <c r="AY81" i="13"/>
  <c r="AY79" i="13"/>
  <c r="AY78" i="13"/>
  <c r="AY77" i="13"/>
  <c r="AY76" i="13"/>
  <c r="AY70" i="13"/>
  <c r="AY80" i="13" s="1"/>
  <c r="AY65" i="13"/>
  <c r="AY47" i="13"/>
  <c r="AY44" i="13"/>
  <c r="AY43" i="13"/>
  <c r="AY41" i="13"/>
  <c r="AY40" i="13"/>
  <c r="AY39" i="13"/>
  <c r="AY38" i="13"/>
  <c r="AY30" i="13"/>
  <c r="AY42" i="13" s="1"/>
  <c r="AY25" i="13"/>
  <c r="AX82" i="13"/>
  <c r="AX81" i="13"/>
  <c r="AX79" i="13"/>
  <c r="AX78" i="13"/>
  <c r="AX77" i="13"/>
  <c r="AX76" i="13"/>
  <c r="AX70" i="13"/>
  <c r="AX74" i="13" s="1"/>
  <c r="AX65" i="13"/>
  <c r="AX47" i="13"/>
  <c r="AX44" i="13"/>
  <c r="AX43" i="13"/>
  <c r="AX41" i="13"/>
  <c r="AX40" i="13"/>
  <c r="AX39" i="13"/>
  <c r="AX38" i="13"/>
  <c r="AX30" i="13"/>
  <c r="AX42" i="13" s="1"/>
  <c r="AX25" i="13"/>
  <c r="E21" i="13" a="1"/>
  <c r="E21" i="13" s="1"/>
  <c r="AW82" i="13"/>
  <c r="AW81" i="13"/>
  <c r="AW79" i="13"/>
  <c r="AW78" i="13"/>
  <c r="AW77" i="13"/>
  <c r="AW76" i="13"/>
  <c r="AW70" i="13"/>
  <c r="AW80" i="13" s="1"/>
  <c r="AW65" i="13"/>
  <c r="AW47" i="13"/>
  <c r="AW44" i="13"/>
  <c r="AW43" i="13"/>
  <c r="AW41" i="13"/>
  <c r="AW40" i="13"/>
  <c r="AW39" i="13"/>
  <c r="AW38" i="13"/>
  <c r="AW30" i="13"/>
  <c r="AW42" i="13" s="1"/>
  <c r="AW25" i="13"/>
  <c r="AV82" i="13"/>
  <c r="AV81" i="13"/>
  <c r="AV79" i="13"/>
  <c r="AV78" i="13"/>
  <c r="AV77" i="13"/>
  <c r="AV76" i="13"/>
  <c r="AV70" i="13"/>
  <c r="AV74" i="13" s="1"/>
  <c r="AV65" i="13"/>
  <c r="AV47" i="13"/>
  <c r="AV44" i="13"/>
  <c r="AV43" i="13"/>
  <c r="AV41" i="13"/>
  <c r="AV40" i="13"/>
  <c r="AV39" i="13"/>
  <c r="AV38" i="13"/>
  <c r="AV30" i="13"/>
  <c r="AV42" i="13" s="1"/>
  <c r="AV25" i="13"/>
  <c r="AU82" i="13"/>
  <c r="AU81" i="13"/>
  <c r="AU79" i="13"/>
  <c r="AU78" i="13"/>
  <c r="AU77" i="13"/>
  <c r="AU76" i="13"/>
  <c r="AU70" i="13"/>
  <c r="AU74" i="13" s="1"/>
  <c r="AU65" i="13"/>
  <c r="AU47" i="13"/>
  <c r="AU44" i="13"/>
  <c r="AU43" i="13"/>
  <c r="AU41" i="13"/>
  <c r="AU40" i="13"/>
  <c r="AU39" i="13"/>
  <c r="AU38" i="13"/>
  <c r="AU30" i="13"/>
  <c r="AU42" i="13" s="1"/>
  <c r="AU25" i="13"/>
  <c r="AT82" i="13"/>
  <c r="AT81" i="13"/>
  <c r="AT79" i="13"/>
  <c r="AT78" i="13"/>
  <c r="AT77" i="13"/>
  <c r="AT76" i="13"/>
  <c r="AT70" i="13"/>
  <c r="AT80" i="13" s="1"/>
  <c r="AT65" i="13"/>
  <c r="AT47" i="13"/>
  <c r="AT44" i="13"/>
  <c r="AT43" i="13"/>
  <c r="AT41" i="13"/>
  <c r="AT40" i="13"/>
  <c r="AT39" i="13"/>
  <c r="AT38" i="13"/>
  <c r="AT30" i="13"/>
  <c r="AT36" i="13" s="1"/>
  <c r="AT25" i="13"/>
  <c r="AS82" i="13"/>
  <c r="AS81" i="13"/>
  <c r="AS79" i="13"/>
  <c r="AS78" i="13"/>
  <c r="AS77" i="13"/>
  <c r="AS76" i="13"/>
  <c r="AS70" i="13"/>
  <c r="AS80" i="13" s="1"/>
  <c r="AS65" i="13"/>
  <c r="AS47" i="13"/>
  <c r="AS44" i="13"/>
  <c r="AS43" i="13"/>
  <c r="AS41" i="13"/>
  <c r="AS40" i="13"/>
  <c r="AS39" i="13"/>
  <c r="AS38" i="13"/>
  <c r="AS30" i="13"/>
  <c r="AS36" i="13" s="1"/>
  <c r="AS25" i="13"/>
  <c r="AR82" i="13"/>
  <c r="AR81" i="13"/>
  <c r="AR79" i="13"/>
  <c r="AR78" i="13"/>
  <c r="AR77" i="13"/>
  <c r="AR76" i="13"/>
  <c r="AR70" i="13"/>
  <c r="AR80" i="13" s="1"/>
  <c r="AR65" i="13"/>
  <c r="AR47" i="13"/>
  <c r="AR44" i="13"/>
  <c r="AR43" i="13"/>
  <c r="AR41" i="13"/>
  <c r="AR40" i="13"/>
  <c r="AR39" i="13"/>
  <c r="AR38" i="13"/>
  <c r="AR30" i="13"/>
  <c r="AR42" i="13" s="1"/>
  <c r="AR25" i="13"/>
  <c r="AQ82" i="13"/>
  <c r="AQ81" i="13"/>
  <c r="AQ79" i="13"/>
  <c r="AQ78" i="13"/>
  <c r="AQ77" i="13"/>
  <c r="AQ76" i="13"/>
  <c r="AQ70" i="13"/>
  <c r="AQ80" i="13" s="1"/>
  <c r="AQ65" i="13"/>
  <c r="AQ47" i="13"/>
  <c r="AQ44" i="13"/>
  <c r="AQ43" i="13"/>
  <c r="AQ41" i="13"/>
  <c r="AQ40" i="13"/>
  <c r="AQ39" i="13"/>
  <c r="AQ38" i="13"/>
  <c r="AQ30" i="13"/>
  <c r="AQ36" i="13" s="1"/>
  <c r="AQ25" i="13"/>
  <c r="AP82" i="13"/>
  <c r="AP81" i="13"/>
  <c r="AP79" i="13"/>
  <c r="AP78" i="13"/>
  <c r="AP77" i="13"/>
  <c r="AP76" i="13"/>
  <c r="AP70" i="13"/>
  <c r="AP74" i="13" s="1"/>
  <c r="AP65" i="13"/>
  <c r="AP47" i="13"/>
  <c r="AP44" i="13"/>
  <c r="AP43" i="13"/>
  <c r="AP41" i="13"/>
  <c r="AP40" i="13"/>
  <c r="AP39" i="13"/>
  <c r="AP38" i="13"/>
  <c r="AP30" i="13"/>
  <c r="AP36" i="13" s="1"/>
  <c r="AP25" i="13"/>
  <c r="AO82" i="13"/>
  <c r="AO81" i="13"/>
  <c r="AO79" i="13"/>
  <c r="AO78" i="13"/>
  <c r="AO77" i="13"/>
  <c r="AO76" i="13"/>
  <c r="AO70" i="13"/>
  <c r="AO80" i="13" s="1"/>
  <c r="AO65" i="13"/>
  <c r="AO47" i="13"/>
  <c r="AO44" i="13"/>
  <c r="AO43" i="13"/>
  <c r="AO41" i="13"/>
  <c r="AO40" i="13"/>
  <c r="AO39" i="13"/>
  <c r="AO38" i="13"/>
  <c r="AO30" i="13"/>
  <c r="AO42" i="13" s="1"/>
  <c r="AO25" i="13"/>
  <c r="AN82" i="13"/>
  <c r="AN81" i="13"/>
  <c r="AN79" i="13"/>
  <c r="AN78" i="13"/>
  <c r="AN77" i="13"/>
  <c r="AN76" i="13"/>
  <c r="AN70" i="13"/>
  <c r="AN74" i="13" s="1"/>
  <c r="AN65" i="13"/>
  <c r="AN47" i="13"/>
  <c r="AN44" i="13"/>
  <c r="AN43" i="13"/>
  <c r="AN41" i="13"/>
  <c r="AN40" i="13"/>
  <c r="AN39" i="13"/>
  <c r="AN38" i="13"/>
  <c r="AN30" i="13"/>
  <c r="AN42" i="13" s="1"/>
  <c r="AN25" i="13"/>
  <c r="AM82" i="13"/>
  <c r="AM81" i="13"/>
  <c r="AM79" i="13"/>
  <c r="AM78" i="13"/>
  <c r="AM77" i="13"/>
  <c r="AM76" i="13"/>
  <c r="AM70" i="13"/>
  <c r="AM74" i="13" s="1"/>
  <c r="AM65" i="13"/>
  <c r="AM47" i="13"/>
  <c r="AM44" i="13"/>
  <c r="AM43" i="13"/>
  <c r="AM41" i="13"/>
  <c r="AM40" i="13"/>
  <c r="AM39" i="13"/>
  <c r="AM38" i="13"/>
  <c r="AM30" i="13"/>
  <c r="AM42" i="13" s="1"/>
  <c r="AM25" i="13"/>
  <c r="AL82" i="13"/>
  <c r="AL81" i="13"/>
  <c r="AL79" i="13"/>
  <c r="AL78" i="13"/>
  <c r="AL77" i="13"/>
  <c r="AL76" i="13"/>
  <c r="AL70" i="13"/>
  <c r="AL80" i="13" s="1"/>
  <c r="AL65" i="13"/>
  <c r="AL47" i="13"/>
  <c r="AL44" i="13"/>
  <c r="AL43" i="13"/>
  <c r="AL41" i="13"/>
  <c r="AL40" i="13"/>
  <c r="AL39" i="13"/>
  <c r="AL38" i="13"/>
  <c r="AL30" i="13"/>
  <c r="AL36" i="13" s="1"/>
  <c r="AL25" i="13"/>
  <c r="AK82" i="13"/>
  <c r="AK81" i="13"/>
  <c r="AK79" i="13"/>
  <c r="AK78" i="13"/>
  <c r="AK77" i="13"/>
  <c r="AK76" i="13"/>
  <c r="AK70" i="13"/>
  <c r="AK80" i="13" s="1"/>
  <c r="AK65" i="13"/>
  <c r="AK47" i="13"/>
  <c r="AK44" i="13"/>
  <c r="AK43" i="13"/>
  <c r="AK41" i="13"/>
  <c r="AK40" i="13"/>
  <c r="AK39" i="13"/>
  <c r="AK38" i="13"/>
  <c r="AK30" i="13"/>
  <c r="AK36" i="13" s="1"/>
  <c r="AK25" i="13"/>
  <c r="AJ82" i="13"/>
  <c r="AJ81" i="13"/>
  <c r="AJ79" i="13"/>
  <c r="AJ78" i="13"/>
  <c r="AJ77" i="13"/>
  <c r="AJ76" i="13"/>
  <c r="AJ70" i="13"/>
  <c r="AJ80" i="13" s="1"/>
  <c r="AJ65" i="13"/>
  <c r="AJ47" i="13"/>
  <c r="AJ44" i="13"/>
  <c r="AJ43" i="13"/>
  <c r="AJ41" i="13"/>
  <c r="AJ40" i="13"/>
  <c r="AJ39" i="13"/>
  <c r="AJ38" i="13"/>
  <c r="AJ30" i="13"/>
  <c r="AJ42" i="13" s="1"/>
  <c r="AJ25" i="13"/>
  <c r="AI82" i="13"/>
  <c r="AI81" i="13"/>
  <c r="AI79" i="13"/>
  <c r="AI78" i="13"/>
  <c r="AI77" i="13"/>
  <c r="AI76" i="13"/>
  <c r="AI74" i="13"/>
  <c r="AI70" i="13"/>
  <c r="AI80" i="13" s="1"/>
  <c r="AI65" i="13"/>
  <c r="AI47" i="13"/>
  <c r="AI44" i="13"/>
  <c r="AI43" i="13"/>
  <c r="AI41" i="13"/>
  <c r="AI40" i="13"/>
  <c r="AI39" i="13"/>
  <c r="AI38" i="13"/>
  <c r="AI30" i="13"/>
  <c r="AI36" i="13" s="1"/>
  <c r="AI25" i="13"/>
  <c r="AH82" i="13"/>
  <c r="AH81" i="13"/>
  <c r="AH79" i="13"/>
  <c r="AH78" i="13"/>
  <c r="AH77" i="13"/>
  <c r="AH76" i="13"/>
  <c r="AH70" i="13"/>
  <c r="AH74" i="13" s="1"/>
  <c r="AH65" i="13"/>
  <c r="AH47" i="13"/>
  <c r="AH44" i="13"/>
  <c r="AH43" i="13"/>
  <c r="AH41" i="13"/>
  <c r="AH40" i="13"/>
  <c r="AH39" i="13"/>
  <c r="AH38" i="13"/>
  <c r="AH30" i="13"/>
  <c r="AH36" i="13" s="1"/>
  <c r="AH25" i="13"/>
  <c r="AG82" i="13"/>
  <c r="AG81" i="13"/>
  <c r="AG79" i="13"/>
  <c r="AG78" i="13"/>
  <c r="AG77" i="13"/>
  <c r="AG76" i="13"/>
  <c r="AG70" i="13"/>
  <c r="AG80" i="13" s="1"/>
  <c r="AG65" i="13"/>
  <c r="AG47" i="13"/>
  <c r="AG44" i="13"/>
  <c r="AG43" i="13"/>
  <c r="AG41" i="13"/>
  <c r="AG40" i="13"/>
  <c r="AG39" i="13"/>
  <c r="AG38" i="13"/>
  <c r="AG30" i="13"/>
  <c r="AG42" i="13" s="1"/>
  <c r="AG25" i="13"/>
  <c r="AF82" i="13"/>
  <c r="AF81" i="13"/>
  <c r="AF79" i="13"/>
  <c r="AF78" i="13"/>
  <c r="AF77" i="13"/>
  <c r="AF76" i="13"/>
  <c r="AF70" i="13"/>
  <c r="AF74" i="13" s="1"/>
  <c r="AF65" i="13"/>
  <c r="AF47" i="13"/>
  <c r="AF44" i="13"/>
  <c r="AF43" i="13"/>
  <c r="AF41" i="13"/>
  <c r="AF40" i="13"/>
  <c r="AF39" i="13"/>
  <c r="AF38" i="13"/>
  <c r="AF30" i="13"/>
  <c r="AF42" i="13" s="1"/>
  <c r="AF25" i="13"/>
  <c r="AE82" i="13"/>
  <c r="AE81" i="13"/>
  <c r="AE79" i="13"/>
  <c r="AE78" i="13"/>
  <c r="AE77" i="13"/>
  <c r="AE76" i="13"/>
  <c r="AE70" i="13"/>
  <c r="AE74" i="13" s="1"/>
  <c r="AE65" i="13"/>
  <c r="AE47" i="13"/>
  <c r="AE44" i="13"/>
  <c r="AE43" i="13"/>
  <c r="AE41" i="13"/>
  <c r="AE40" i="13"/>
  <c r="AE39" i="13"/>
  <c r="AE38" i="13"/>
  <c r="AE30" i="13"/>
  <c r="AE42" i="13" s="1"/>
  <c r="AE25" i="13"/>
  <c r="AD82" i="13"/>
  <c r="AD81" i="13"/>
  <c r="AD79" i="13"/>
  <c r="AD78" i="13"/>
  <c r="AD77" i="13"/>
  <c r="AD76" i="13"/>
  <c r="AD70" i="13"/>
  <c r="AD74" i="13" s="1"/>
  <c r="AD65" i="13"/>
  <c r="AD47" i="13"/>
  <c r="AD44" i="13"/>
  <c r="AD43" i="13"/>
  <c r="AD41" i="13"/>
  <c r="AD40" i="13"/>
  <c r="AD39" i="13"/>
  <c r="AD38" i="13"/>
  <c r="AD30" i="13"/>
  <c r="AD36" i="13" s="1"/>
  <c r="AD25" i="13"/>
  <c r="AC82" i="13"/>
  <c r="AC81" i="13"/>
  <c r="AC79" i="13"/>
  <c r="AC78" i="13"/>
  <c r="AC77" i="13"/>
  <c r="AC76" i="13"/>
  <c r="AC70" i="13"/>
  <c r="AC80" i="13" s="1"/>
  <c r="AC65" i="13"/>
  <c r="AC47" i="13"/>
  <c r="AC44" i="13"/>
  <c r="AC43" i="13"/>
  <c r="AC41" i="13"/>
  <c r="AC40" i="13"/>
  <c r="AC39" i="13"/>
  <c r="AC38" i="13"/>
  <c r="AC30" i="13"/>
  <c r="AC36" i="13" s="1"/>
  <c r="AC25" i="13"/>
  <c r="AB82" i="13"/>
  <c r="AB81" i="13"/>
  <c r="AB79" i="13"/>
  <c r="AB78" i="13"/>
  <c r="AB77" i="13"/>
  <c r="AB76" i="13"/>
  <c r="AB70" i="13"/>
  <c r="AB80" i="13" s="1"/>
  <c r="AB65" i="13"/>
  <c r="AB47" i="13"/>
  <c r="AB44" i="13"/>
  <c r="AB43" i="13"/>
  <c r="AB41" i="13"/>
  <c r="AB40" i="13"/>
  <c r="AB39" i="13"/>
  <c r="AB38" i="13"/>
  <c r="AB36" i="13"/>
  <c r="AB30" i="13"/>
  <c r="AB42" i="13" s="1"/>
  <c r="AB25" i="13"/>
  <c r="AA82" i="13"/>
  <c r="AA81" i="13"/>
  <c r="AA79" i="13"/>
  <c r="AA78" i="13"/>
  <c r="AA77" i="13"/>
  <c r="AA76" i="13"/>
  <c r="AA70" i="13"/>
  <c r="AA74" i="13" s="1"/>
  <c r="AA65" i="13"/>
  <c r="AA47" i="13"/>
  <c r="AA44" i="13"/>
  <c r="AA43" i="13"/>
  <c r="AA41" i="13"/>
  <c r="AA40" i="13"/>
  <c r="AA39" i="13"/>
  <c r="AA38" i="13"/>
  <c r="AA30" i="13"/>
  <c r="AA36" i="13" s="1"/>
  <c r="AA25" i="13"/>
  <c r="Z82" i="13"/>
  <c r="Z81" i="13"/>
  <c r="Z79" i="13"/>
  <c r="Z78" i="13"/>
  <c r="Z77" i="13"/>
  <c r="Z76" i="13"/>
  <c r="Z70" i="13"/>
  <c r="Z74" i="13" s="1"/>
  <c r="Z65" i="13"/>
  <c r="Z47" i="13"/>
  <c r="Z44" i="13"/>
  <c r="Z43" i="13"/>
  <c r="Z41" i="13"/>
  <c r="Z40" i="13"/>
  <c r="Z39" i="13"/>
  <c r="Z38" i="13"/>
  <c r="Z30" i="13"/>
  <c r="Z36" i="13" s="1"/>
  <c r="Z25" i="13"/>
  <c r="Y82" i="13"/>
  <c r="Y81" i="13"/>
  <c r="Y79" i="13"/>
  <c r="Y78" i="13"/>
  <c r="Y77" i="13"/>
  <c r="Y76" i="13"/>
  <c r="Y70" i="13"/>
  <c r="Y80" i="13" s="1"/>
  <c r="Y65" i="13"/>
  <c r="Y47" i="13"/>
  <c r="Y44" i="13"/>
  <c r="Y43" i="13"/>
  <c r="Y41" i="13"/>
  <c r="Y40" i="13"/>
  <c r="Y39" i="13"/>
  <c r="Y38" i="13"/>
  <c r="Y30" i="13"/>
  <c r="Y42" i="13" s="1"/>
  <c r="Y25" i="13"/>
  <c r="X82" i="13"/>
  <c r="X81" i="13"/>
  <c r="X79" i="13"/>
  <c r="X78" i="13"/>
  <c r="X77" i="13"/>
  <c r="X76" i="13"/>
  <c r="X70" i="13"/>
  <c r="X74" i="13" s="1"/>
  <c r="X65" i="13"/>
  <c r="X47" i="13"/>
  <c r="X44" i="13"/>
  <c r="X43" i="13"/>
  <c r="X41" i="13"/>
  <c r="X40" i="13"/>
  <c r="X39" i="13"/>
  <c r="X38" i="13"/>
  <c r="X30" i="13"/>
  <c r="X42" i="13" s="1"/>
  <c r="X25" i="13"/>
  <c r="W82" i="13"/>
  <c r="W81" i="13"/>
  <c r="W79" i="13"/>
  <c r="W78" i="13"/>
  <c r="W77" i="13"/>
  <c r="W76" i="13"/>
  <c r="W70" i="13"/>
  <c r="W74" i="13" s="1"/>
  <c r="W65" i="13"/>
  <c r="W47" i="13"/>
  <c r="W44" i="13"/>
  <c r="W43" i="13"/>
  <c r="W41" i="13"/>
  <c r="W40" i="13"/>
  <c r="W39" i="13"/>
  <c r="W38" i="13"/>
  <c r="W30" i="13"/>
  <c r="W42" i="13" s="1"/>
  <c r="W25" i="13"/>
  <c r="V82" i="13"/>
  <c r="V81" i="13"/>
  <c r="V79" i="13"/>
  <c r="V78" i="13"/>
  <c r="V77" i="13"/>
  <c r="V76" i="13"/>
  <c r="V70" i="13"/>
  <c r="V74" i="13" s="1"/>
  <c r="V65" i="13"/>
  <c r="V47" i="13"/>
  <c r="V44" i="13"/>
  <c r="V43" i="13"/>
  <c r="V41" i="13"/>
  <c r="V40" i="13"/>
  <c r="V39" i="13"/>
  <c r="V38" i="13"/>
  <c r="V30" i="13"/>
  <c r="V36" i="13" s="1"/>
  <c r="V25" i="13"/>
  <c r="U82" i="13"/>
  <c r="U81" i="13"/>
  <c r="U79" i="13"/>
  <c r="U78" i="13"/>
  <c r="U77" i="13"/>
  <c r="U76" i="13"/>
  <c r="U70" i="13"/>
  <c r="U80" i="13" s="1"/>
  <c r="U65" i="13"/>
  <c r="U47" i="13"/>
  <c r="U44" i="13"/>
  <c r="U43" i="13"/>
  <c r="U41" i="13"/>
  <c r="U40" i="13"/>
  <c r="U39" i="13"/>
  <c r="U38" i="13"/>
  <c r="U30" i="13"/>
  <c r="U36" i="13" s="1"/>
  <c r="U25" i="13"/>
  <c r="T82" i="13"/>
  <c r="T81" i="13"/>
  <c r="T79" i="13"/>
  <c r="T78" i="13"/>
  <c r="T77" i="13"/>
  <c r="T76" i="13"/>
  <c r="T74" i="13"/>
  <c r="T70" i="13"/>
  <c r="T80" i="13" s="1"/>
  <c r="T65" i="13"/>
  <c r="T47" i="13"/>
  <c r="T44" i="13"/>
  <c r="T43" i="13"/>
  <c r="T41" i="13"/>
  <c r="T40" i="13"/>
  <c r="T39" i="13"/>
  <c r="T38" i="13"/>
  <c r="T30" i="13"/>
  <c r="T42" i="13" s="1"/>
  <c r="T25" i="13"/>
  <c r="S82" i="13"/>
  <c r="S81" i="13"/>
  <c r="S79" i="13"/>
  <c r="S78" i="13"/>
  <c r="S77" i="13"/>
  <c r="S76" i="13"/>
  <c r="S70" i="13"/>
  <c r="S80" i="13" s="1"/>
  <c r="S65" i="13"/>
  <c r="S47" i="13"/>
  <c r="S44" i="13"/>
  <c r="S43" i="13"/>
  <c r="S41" i="13"/>
  <c r="S40" i="13"/>
  <c r="S39" i="13"/>
  <c r="S38" i="13"/>
  <c r="S30" i="13"/>
  <c r="S36" i="13" s="1"/>
  <c r="S25" i="13"/>
  <c r="R82" i="13"/>
  <c r="R81" i="13"/>
  <c r="R79" i="13"/>
  <c r="R78" i="13"/>
  <c r="R77" i="13"/>
  <c r="R76" i="13"/>
  <c r="R70" i="13"/>
  <c r="R74" i="13" s="1"/>
  <c r="R65" i="13"/>
  <c r="R47" i="13"/>
  <c r="R44" i="13"/>
  <c r="R43" i="13"/>
  <c r="R41" i="13"/>
  <c r="R40" i="13"/>
  <c r="R39" i="13"/>
  <c r="R38" i="13"/>
  <c r="R30" i="13"/>
  <c r="R36" i="13" s="1"/>
  <c r="R25" i="13"/>
  <c r="Q82" i="13"/>
  <c r="Q81" i="13"/>
  <c r="Q79" i="13"/>
  <c r="Q78" i="13"/>
  <c r="Q77" i="13"/>
  <c r="Q76" i="13"/>
  <c r="Q70" i="13"/>
  <c r="Q80" i="13" s="1"/>
  <c r="Q65" i="13"/>
  <c r="Q47" i="13"/>
  <c r="Q44" i="13"/>
  <c r="Q43" i="13"/>
  <c r="Q41" i="13"/>
  <c r="Q40" i="13"/>
  <c r="Q39" i="13"/>
  <c r="Q38" i="13"/>
  <c r="Q30" i="13"/>
  <c r="Q42" i="13" s="1"/>
  <c r="Q25" i="13"/>
  <c r="P82" i="13"/>
  <c r="P81" i="13"/>
  <c r="P79" i="13"/>
  <c r="P78" i="13"/>
  <c r="P77" i="13"/>
  <c r="P76" i="13"/>
  <c r="P70" i="13"/>
  <c r="P74" i="13" s="1"/>
  <c r="P65" i="13"/>
  <c r="P47" i="13"/>
  <c r="P44" i="13"/>
  <c r="P43" i="13"/>
  <c r="P41" i="13"/>
  <c r="P40" i="13"/>
  <c r="P39" i="13"/>
  <c r="P38" i="13"/>
  <c r="P30" i="13"/>
  <c r="P42" i="13" s="1"/>
  <c r="P25" i="13"/>
  <c r="O82" i="13"/>
  <c r="O81" i="13"/>
  <c r="O79" i="13"/>
  <c r="O78" i="13"/>
  <c r="O77" i="13"/>
  <c r="O76" i="13"/>
  <c r="O70" i="13"/>
  <c r="O74" i="13" s="1"/>
  <c r="O65" i="13"/>
  <c r="O47" i="13"/>
  <c r="O44" i="13"/>
  <c r="O43" i="13"/>
  <c r="O41" i="13"/>
  <c r="O40" i="13"/>
  <c r="O39" i="13"/>
  <c r="O38" i="13"/>
  <c r="O30" i="13"/>
  <c r="O42" i="13" s="1"/>
  <c r="O25" i="13"/>
  <c r="N82" i="13"/>
  <c r="N81" i="13"/>
  <c r="N79" i="13"/>
  <c r="N78" i="13"/>
  <c r="N77" i="13"/>
  <c r="N76" i="13"/>
  <c r="N70" i="13"/>
  <c r="N74" i="13" s="1"/>
  <c r="N65" i="13"/>
  <c r="N47" i="13"/>
  <c r="N44" i="13"/>
  <c r="N43" i="13"/>
  <c r="N42" i="13"/>
  <c r="N41" i="13"/>
  <c r="N40" i="13"/>
  <c r="N39" i="13"/>
  <c r="N38" i="13"/>
  <c r="N30" i="13"/>
  <c r="N36" i="13" s="1"/>
  <c r="N25" i="13"/>
  <c r="M82" i="13"/>
  <c r="M81" i="13"/>
  <c r="M79" i="13"/>
  <c r="M78" i="13"/>
  <c r="M77" i="13"/>
  <c r="M76" i="13"/>
  <c r="M70" i="13"/>
  <c r="M80" i="13" s="1"/>
  <c r="M65" i="13"/>
  <c r="M47" i="13"/>
  <c r="M44" i="13"/>
  <c r="M43" i="13"/>
  <c r="M41" i="13"/>
  <c r="M40" i="13"/>
  <c r="M39" i="13"/>
  <c r="M38" i="13"/>
  <c r="M30" i="13"/>
  <c r="M36" i="13" s="1"/>
  <c r="M25" i="13"/>
  <c r="L82" i="13"/>
  <c r="L81" i="13"/>
  <c r="L79" i="13"/>
  <c r="L78" i="13"/>
  <c r="L77" i="13"/>
  <c r="L76" i="13"/>
  <c r="L70" i="13"/>
  <c r="L80" i="13" s="1"/>
  <c r="L65" i="13"/>
  <c r="L47" i="13"/>
  <c r="L44" i="13"/>
  <c r="L43" i="13"/>
  <c r="L41" i="13"/>
  <c r="L40" i="13"/>
  <c r="L39" i="13"/>
  <c r="L38" i="13"/>
  <c r="L30" i="13"/>
  <c r="L36" i="13" s="1"/>
  <c r="L25" i="13"/>
  <c r="K82" i="13"/>
  <c r="K81" i="13"/>
  <c r="K79" i="13"/>
  <c r="K78" i="13"/>
  <c r="K77" i="13"/>
  <c r="K76" i="13"/>
  <c r="K70" i="13"/>
  <c r="K80" i="13" s="1"/>
  <c r="K65" i="13"/>
  <c r="K47" i="13"/>
  <c r="K44" i="13"/>
  <c r="K43" i="13"/>
  <c r="K41" i="13"/>
  <c r="K40" i="13"/>
  <c r="K39" i="13"/>
  <c r="K38" i="13"/>
  <c r="K30" i="13"/>
  <c r="K36" i="13" s="1"/>
  <c r="K25" i="13"/>
  <c r="J82" i="13"/>
  <c r="J81" i="13"/>
  <c r="J79" i="13"/>
  <c r="J78" i="13"/>
  <c r="J77" i="13"/>
  <c r="J76" i="13"/>
  <c r="J70" i="13"/>
  <c r="J74" i="13" s="1"/>
  <c r="J65" i="13"/>
  <c r="J47" i="13"/>
  <c r="J44" i="13"/>
  <c r="J43" i="13"/>
  <c r="J41" i="13"/>
  <c r="J40" i="13"/>
  <c r="J39" i="13"/>
  <c r="J38" i="13"/>
  <c r="J30" i="13"/>
  <c r="J36" i="13" s="1"/>
  <c r="J25" i="13"/>
  <c r="I82" i="13"/>
  <c r="I81" i="13"/>
  <c r="I79" i="13"/>
  <c r="I78" i="13"/>
  <c r="I77" i="13"/>
  <c r="I76" i="13"/>
  <c r="I70" i="13"/>
  <c r="I74" i="13" s="1"/>
  <c r="I65" i="13"/>
  <c r="I47" i="13"/>
  <c r="I44" i="13"/>
  <c r="I43" i="13"/>
  <c r="I41" i="13"/>
  <c r="I40" i="13"/>
  <c r="I39" i="13"/>
  <c r="I38" i="13"/>
  <c r="I30" i="13"/>
  <c r="I42" i="13" s="1"/>
  <c r="I25" i="13"/>
  <c r="H82" i="13"/>
  <c r="H81" i="13"/>
  <c r="H79" i="13"/>
  <c r="H78" i="13"/>
  <c r="H77" i="13"/>
  <c r="H76" i="13"/>
  <c r="H70" i="13"/>
  <c r="H74" i="13" s="1"/>
  <c r="H65" i="13"/>
  <c r="H47" i="13"/>
  <c r="H44" i="13"/>
  <c r="H43" i="13"/>
  <c r="H41" i="13"/>
  <c r="H40" i="13"/>
  <c r="H39" i="13"/>
  <c r="H38" i="13"/>
  <c r="H30" i="13"/>
  <c r="H42" i="13" s="1"/>
  <c r="H25" i="13"/>
  <c r="G82" i="13"/>
  <c r="G81" i="13"/>
  <c r="G79" i="13"/>
  <c r="G78" i="13"/>
  <c r="G77" i="13"/>
  <c r="G76" i="13"/>
  <c r="G70" i="13"/>
  <c r="G74" i="13" s="1"/>
  <c r="G65" i="13"/>
  <c r="G47" i="13"/>
  <c r="G44" i="13"/>
  <c r="G43" i="13"/>
  <c r="G41" i="13"/>
  <c r="G40" i="13"/>
  <c r="G39" i="13"/>
  <c r="G38" i="13"/>
  <c r="G30" i="13"/>
  <c r="G42" i="13" s="1"/>
  <c r="G25" i="13"/>
  <c r="F82" i="13"/>
  <c r="F81" i="13"/>
  <c r="F79" i="13"/>
  <c r="F78" i="13"/>
  <c r="F77" i="13"/>
  <c r="F76" i="13"/>
  <c r="F70" i="13"/>
  <c r="F80" i="13" s="1"/>
  <c r="F65" i="13"/>
  <c r="F47" i="13"/>
  <c r="F44" i="13"/>
  <c r="F43" i="13"/>
  <c r="F41" i="13"/>
  <c r="F40" i="13"/>
  <c r="F39" i="13"/>
  <c r="F38" i="13"/>
  <c r="F30" i="13"/>
  <c r="F36" i="13" s="1"/>
  <c r="F25" i="13"/>
  <c r="E82" i="13"/>
  <c r="E81" i="13"/>
  <c r="E79" i="13"/>
  <c r="E78" i="13"/>
  <c r="E77" i="13"/>
  <c r="E76" i="13"/>
  <c r="E70" i="13"/>
  <c r="E80" i="13" s="1"/>
  <c r="E65" i="13"/>
  <c r="E61" i="13"/>
  <c r="E60" i="13"/>
  <c r="E59" i="13"/>
  <c r="E47" i="13"/>
  <c r="E44" i="13"/>
  <c r="E43" i="13"/>
  <c r="E41" i="13"/>
  <c r="E40" i="13"/>
  <c r="E39" i="13"/>
  <c r="E38" i="13"/>
  <c r="E30" i="13"/>
  <c r="E42" i="13" s="1"/>
  <c r="E25" i="13"/>
  <c r="I80" i="13" l="1"/>
  <c r="AG36" i="13"/>
  <c r="BO74" i="13"/>
  <c r="BQ80" i="13"/>
  <c r="BZ74" i="13"/>
  <c r="BR80" i="13"/>
  <c r="AY36" i="13"/>
  <c r="L42" i="13"/>
  <c r="S74" i="13"/>
  <c r="BH36" i="13"/>
  <c r="BY74" i="13"/>
  <c r="L74" i="13"/>
  <c r="BM74" i="13"/>
  <c r="BO42" i="13"/>
  <c r="CC42" i="13"/>
  <c r="BD36" i="13"/>
  <c r="CE36" i="13"/>
  <c r="BU74" i="13"/>
  <c r="BZ36" i="13"/>
  <c r="AG74" i="13"/>
  <c r="T36" i="13"/>
  <c r="F74" i="13"/>
  <c r="V80" i="13"/>
  <c r="AL42" i="13"/>
  <c r="AO36" i="13"/>
  <c r="AT74" i="13"/>
  <c r="BT36" i="13"/>
  <c r="Q74" i="13"/>
  <c r="BW74" i="13"/>
  <c r="CB36" i="13"/>
  <c r="AD42" i="13"/>
  <c r="BA80" i="13"/>
  <c r="BE42" i="13"/>
  <c r="CF42" i="13"/>
  <c r="K74" i="13"/>
  <c r="O36" i="13"/>
  <c r="BB80" i="13"/>
  <c r="CG74" i="13"/>
  <c r="AY74" i="13"/>
  <c r="N80" i="13"/>
  <c r="Q36" i="13"/>
  <c r="Y74" i="13"/>
  <c r="AW74" i="13"/>
  <c r="BE80" i="13"/>
  <c r="BJ36" i="13"/>
  <c r="D30" i="13"/>
  <c r="D42" i="13" s="1"/>
  <c r="AA80" i="13"/>
  <c r="D39" i="13"/>
  <c r="AD80" i="13"/>
  <c r="D40" i="13"/>
  <c r="V42" i="13"/>
  <c r="AL74" i="13"/>
  <c r="AT42" i="13"/>
  <c r="E36" i="13"/>
  <c r="AR36" i="13"/>
  <c r="BD80" i="13"/>
  <c r="BU36" i="13"/>
  <c r="CH74" i="13"/>
  <c r="D44" i="13"/>
  <c r="F42" i="13"/>
  <c r="Y36" i="13"/>
  <c r="AQ74" i="13"/>
  <c r="AW36" i="13"/>
  <c r="I36" i="13"/>
  <c r="BI74" i="13"/>
  <c r="BJ74" i="13"/>
  <c r="BW36" i="13"/>
  <c r="BX36" i="13"/>
  <c r="BG74" i="13"/>
  <c r="AO74" i="13"/>
  <c r="G36" i="13"/>
  <c r="CE74" i="13"/>
  <c r="AJ36" i="13"/>
  <c r="BR36" i="13"/>
  <c r="E74" i="13"/>
  <c r="H36" i="13"/>
  <c r="J80" i="13"/>
  <c r="M42" i="13"/>
  <c r="M74" i="13"/>
  <c r="P36" i="13"/>
  <c r="R80" i="13"/>
  <c r="U42" i="13"/>
  <c r="U74" i="13"/>
  <c r="X36" i="13"/>
  <c r="Z80" i="13"/>
  <c r="AC42" i="13"/>
  <c r="AC74" i="13"/>
  <c r="AF36" i="13"/>
  <c r="AH80" i="13"/>
  <c r="AK42" i="13"/>
  <c r="AK74" i="13"/>
  <c r="AN36" i="13"/>
  <c r="AP80" i="13"/>
  <c r="AS42" i="13"/>
  <c r="AS74" i="13"/>
  <c r="AV36" i="13"/>
  <c r="AX36" i="13"/>
  <c r="AZ80" i="13"/>
  <c r="BC42" i="13"/>
  <c r="BC74" i="13"/>
  <c r="BF36" i="13"/>
  <c r="BH80" i="13"/>
  <c r="BK42" i="13"/>
  <c r="BK74" i="13"/>
  <c r="BN36" i="13"/>
  <c r="BP80" i="13"/>
  <c r="BS42" i="13"/>
  <c r="BS74" i="13"/>
  <c r="BV36" i="13"/>
  <c r="BX80" i="13"/>
  <c r="CA42" i="13"/>
  <c r="CA74" i="13"/>
  <c r="CD36" i="13"/>
  <c r="CF80" i="13"/>
  <c r="CI42" i="13"/>
  <c r="CI74" i="13"/>
  <c r="D38" i="13"/>
  <c r="W36" i="13"/>
  <c r="AB74" i="13"/>
  <c r="AE36" i="13"/>
  <c r="AJ74" i="13"/>
  <c r="AM36" i="13"/>
  <c r="AR74" i="13"/>
  <c r="AU36" i="13"/>
  <c r="H80" i="13"/>
  <c r="AN80" i="13"/>
  <c r="BF80" i="13"/>
  <c r="BI42" i="13"/>
  <c r="BN80" i="13"/>
  <c r="BQ42" i="13"/>
  <c r="BV80" i="13"/>
  <c r="BY42" i="13"/>
  <c r="CD80" i="13"/>
  <c r="CG42" i="13"/>
  <c r="K42" i="13"/>
  <c r="P80" i="13"/>
  <c r="S42" i="13"/>
  <c r="X80" i="13"/>
  <c r="AA42" i="13"/>
  <c r="AF80" i="13"/>
  <c r="AI42" i="13"/>
  <c r="AQ42" i="13"/>
  <c r="AV80" i="13"/>
  <c r="AX80" i="13"/>
  <c r="BA42" i="13"/>
  <c r="G80" i="13"/>
  <c r="J42" i="13"/>
  <c r="O80" i="13"/>
  <c r="R42" i="13"/>
  <c r="W80" i="13"/>
  <c r="Z42" i="13"/>
  <c r="AE80" i="13"/>
  <c r="AH42" i="13"/>
  <c r="AM80" i="13"/>
  <c r="AP42" i="13"/>
  <c r="AU80" i="13"/>
  <c r="D79" i="13"/>
  <c r="D82" i="13"/>
  <c r="D81" i="13"/>
  <c r="D78" i="13"/>
  <c r="D76" i="13"/>
  <c r="D77" i="13"/>
  <c r="D36" i="13" l="1"/>
  <c r="D74" i="13"/>
  <c r="D80"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E48" i="13" s="1"/>
  <c r="F18" i="1"/>
  <c r="F17" i="1"/>
  <c r="F16" i="1"/>
  <c r="F15" i="1"/>
  <c r="F14" i="1"/>
  <c r="F12" i="1"/>
  <c r="CG57" i="13" l="1"/>
  <c r="CG62" i="13" s="1"/>
  <c r="BY57" i="13"/>
  <c r="BY62" i="13" s="1"/>
  <c r="BQ57" i="13"/>
  <c r="BQ62" i="13" s="1"/>
  <c r="BI57" i="13"/>
  <c r="BI62" i="13" s="1"/>
  <c r="BA57" i="13"/>
  <c r="BA62" i="13" s="1"/>
  <c r="AQ57" i="13"/>
  <c r="AQ62" i="13" s="1"/>
  <c r="AI57" i="13"/>
  <c r="AI62" i="13" s="1"/>
  <c r="AA57" i="13"/>
  <c r="AA62" i="13" s="1"/>
  <c r="S57" i="13"/>
  <c r="S62" i="13" s="1"/>
  <c r="K57" i="13"/>
  <c r="K62" i="13" s="1"/>
  <c r="AR57" i="13"/>
  <c r="AR62" i="13" s="1"/>
  <c r="AJ57" i="13"/>
  <c r="AJ62" i="13" s="1"/>
  <c r="AB57" i="13"/>
  <c r="AB62" i="13" s="1"/>
  <c r="T57" i="13"/>
  <c r="T62" i="13" s="1"/>
  <c r="CH57" i="13"/>
  <c r="CH62" i="13" s="1"/>
  <c r="BZ57" i="13"/>
  <c r="BZ62" i="13" s="1"/>
  <c r="BR57" i="13"/>
  <c r="BR62" i="13" s="1"/>
  <c r="BJ57" i="13"/>
  <c r="BJ62" i="13" s="1"/>
  <c r="BB57" i="13"/>
  <c r="BB62" i="13" s="1"/>
  <c r="L57" i="13"/>
  <c r="L62" i="13" s="1"/>
  <c r="AS57" i="13"/>
  <c r="AS62" i="13" s="1"/>
  <c r="AK57" i="13"/>
  <c r="AK62" i="13" s="1"/>
  <c r="U57" i="13"/>
  <c r="U62" i="13" s="1"/>
  <c r="CI57" i="13"/>
  <c r="CI62" i="13" s="1"/>
  <c r="CA57" i="13"/>
  <c r="CA62" i="13" s="1"/>
  <c r="BS57" i="13"/>
  <c r="BS62" i="13" s="1"/>
  <c r="BK57" i="13"/>
  <c r="BK62" i="13" s="1"/>
  <c r="BC57" i="13"/>
  <c r="BC62" i="13" s="1"/>
  <c r="AC57" i="13"/>
  <c r="AC62" i="13" s="1"/>
  <c r="CB57" i="13"/>
  <c r="CB62" i="13" s="1"/>
  <c r="BT57" i="13"/>
  <c r="BT62" i="13" s="1"/>
  <c r="BL57" i="13"/>
  <c r="BL62" i="13" s="1"/>
  <c r="BD57" i="13"/>
  <c r="BD62" i="13" s="1"/>
  <c r="AT57" i="13"/>
  <c r="AT62" i="13" s="1"/>
  <c r="AL57" i="13"/>
  <c r="AL62" i="13" s="1"/>
  <c r="AD57" i="13"/>
  <c r="AD62" i="13" s="1"/>
  <c r="V57" i="13"/>
  <c r="V62" i="13" s="1"/>
  <c r="N57" i="13"/>
  <c r="N62" i="13" s="1"/>
  <c r="F57" i="13"/>
  <c r="F62" i="13" s="1"/>
  <c r="BE57" i="13"/>
  <c r="BE62" i="13" s="1"/>
  <c r="AU57" i="13"/>
  <c r="AU62" i="13" s="1"/>
  <c r="AM57" i="13"/>
  <c r="AM62" i="13" s="1"/>
  <c r="AE57" i="13"/>
  <c r="AE62" i="13" s="1"/>
  <c r="W57" i="13"/>
  <c r="W62" i="13" s="1"/>
  <c r="O57" i="13"/>
  <c r="O62" i="13" s="1"/>
  <c r="G57" i="13"/>
  <c r="G62" i="13" s="1"/>
  <c r="R57" i="13"/>
  <c r="R62" i="13" s="1"/>
  <c r="J57" i="13"/>
  <c r="J62" i="13" s="1"/>
  <c r="CC57" i="13"/>
  <c r="CC62" i="13" s="1"/>
  <c r="BU57" i="13"/>
  <c r="BU62" i="13" s="1"/>
  <c r="BM57" i="13"/>
  <c r="BM62" i="13" s="1"/>
  <c r="CD57" i="13"/>
  <c r="CD62" i="13" s="1"/>
  <c r="BV57" i="13"/>
  <c r="BV62" i="13" s="1"/>
  <c r="BN57" i="13"/>
  <c r="BN62" i="13" s="1"/>
  <c r="BF57" i="13"/>
  <c r="BF62" i="13" s="1"/>
  <c r="AX57" i="13"/>
  <c r="AX62" i="13" s="1"/>
  <c r="AV57" i="13"/>
  <c r="AV62" i="13" s="1"/>
  <c r="AN57" i="13"/>
  <c r="AN62" i="13" s="1"/>
  <c r="AF57" i="13"/>
  <c r="AF62" i="13" s="1"/>
  <c r="X57" i="13"/>
  <c r="X62" i="13" s="1"/>
  <c r="P57" i="13"/>
  <c r="P62" i="13" s="1"/>
  <c r="H57" i="13"/>
  <c r="H62" i="13" s="1"/>
  <c r="E57" i="13"/>
  <c r="E62" i="13" s="1"/>
  <c r="BX57" i="13"/>
  <c r="BX62" i="13" s="1"/>
  <c r="BP57" i="13"/>
  <c r="BP62" i="13" s="1"/>
  <c r="BH57" i="13"/>
  <c r="BH62" i="13" s="1"/>
  <c r="AH57" i="13"/>
  <c r="AH62" i="13" s="1"/>
  <c r="Z57" i="13"/>
  <c r="Z62" i="13" s="1"/>
  <c r="M57" i="13"/>
  <c r="M62" i="13" s="1"/>
  <c r="CE57" i="13"/>
  <c r="CE62" i="13" s="1"/>
  <c r="BW57" i="13"/>
  <c r="BW62" i="13" s="1"/>
  <c r="BO57" i="13"/>
  <c r="BO62" i="13" s="1"/>
  <c r="BG57" i="13"/>
  <c r="BG62" i="13" s="1"/>
  <c r="AY57" i="13"/>
  <c r="AY62" i="13" s="1"/>
  <c r="AW57" i="13"/>
  <c r="AW62" i="13" s="1"/>
  <c r="AO57" i="13"/>
  <c r="AO62" i="13" s="1"/>
  <c r="AG57" i="13"/>
  <c r="AG62" i="13" s="1"/>
  <c r="Y57" i="13"/>
  <c r="Y62" i="13" s="1"/>
  <c r="Q57" i="13"/>
  <c r="Q62" i="13" s="1"/>
  <c r="I57" i="13"/>
  <c r="I62" i="13" s="1"/>
  <c r="CF57" i="13"/>
  <c r="CF62" i="13" s="1"/>
  <c r="AZ57" i="13"/>
  <c r="AZ62" i="13" s="1"/>
  <c r="AP57" i="13"/>
  <c r="AP62" i="13" s="1"/>
  <c r="G42" i="1"/>
  <c r="E38" i="15" l="1"/>
  <c r="D26" i="15"/>
  <c r="D38" i="15" s="1"/>
  <c r="D30" i="15" l="1"/>
  <c r="D36" i="15" l="1"/>
  <c r="D42" i="15"/>
  <c r="G45" i="1" l="1"/>
  <c r="G46" i="1"/>
  <c r="E48" i="15"/>
  <c r="E57" i="15" s="1"/>
  <c r="E62" i="15" s="1"/>
</calcChain>
</file>

<file path=xl/sharedStrings.xml><?xml version="1.0" encoding="utf-8"?>
<sst xmlns="http://schemas.openxmlformats.org/spreadsheetml/2006/main" count="951" uniqueCount="418">
  <si>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</si>
  <si>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</si>
  <si>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</si>
  <si>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</si>
  <si>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</si>
  <si>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</si>
  <si>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</si>
  <si>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</si>
  <si>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</si>
  <si>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</si>
  <si>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</si>
  <si>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</si>
  <si>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</si>
  <si>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</si>
  <si>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</si>
  <si>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</si>
  <si>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</si>
  <si>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</si>
  <si>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</si>
  <si>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</si>
  <si>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</si>
  <si>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</si>
  <si>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</si>
  <si>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</si>
  <si>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</si>
  <si>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</si>
  <si>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</si>
  <si>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</si>
  <si>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</si>
  <si>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</si>
  <si>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</si>
  <si>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</si>
  <si>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</si>
  <si>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</si>
  <si>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</si>
  <si>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</si>
  <si>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</si>
  <si>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</si>
  <si>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</si>
  <si>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</si>
  <si>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</si>
  <si>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</si>
  <si>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</si>
  <si>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</si>
  <si>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</si>
  <si>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</si>
  <si>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</si>
  <si>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</si>
  <si>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</si>
  <si>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</si>
  <si>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</si>
  <si>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</si>
  <si>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</si>
  <si>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</si>
  <si>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</si>
  <si>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</si>
  <si>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</si>
  <si>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</si>
  <si>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</si>
  <si>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</si>
  <si>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</si>
  <si>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</si>
  <si>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</si>
  <si>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</si>
  <si>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</si>
  <si>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</si>
  <si>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</si>
  <si>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</si>
  <si>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</si>
  <si>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</si>
  <si>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</si>
  <si>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</si>
  <si>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</si>
  <si>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</si>
  <si>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</si>
  <si>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</si>
  <si>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</si>
  <si>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</si>
  <si>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</si>
  <si>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</si>
  <si>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</si>
  <si>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</si>
  <si>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</si>
  <si>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</si>
  <si>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</si>
  <si>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</si>
  <si>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</si>
  <si>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</si>
  <si>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</si>
  <si>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</si>
  <si>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</si>
  <si>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</si>
  <si>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</si>
  <si>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</si>
  <si>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</si>
  <si>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</si>
  <si>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</si>
  <si>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</si>
  <si>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</si>
  <si>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</si>
  <si>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</si>
  <si>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</si>
  <si>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</si>
  <si>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</si>
  <si>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</si>
  <si>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</si>
  <si>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</si>
  <si>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</si>
  <si>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</si>
  <si>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</si>
  <si>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</si>
  <si>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</si>
  <si>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</si>
  <si>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</si>
  <si>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</si>
  <si>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</si>
  <si>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</si>
  <si>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</si>
  <si>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</si>
  <si>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</si>
  <si>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</si>
  <si>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</si>
  <si>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</si>
  <si>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</si>
  <si>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</si>
  <si>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</si>
  <si>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</si>
  <si>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</si>
  <si>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</si>
  <si>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</si>
  <si>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</si>
  <si>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</si>
  <si>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</si>
  <si>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</si>
  <si>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</si>
  <si>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</si>
  <si>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</si>
  <si>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</si>
  <si>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</si>
  <si>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</si>
  <si>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</si>
  <si>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</si>
  <si>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</si>
  <si>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</si>
  <si>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</si>
  <si>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</si>
  <si>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</si>
  <si>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</si>
  <si>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</si>
  <si>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</si>
  <si>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</si>
  <si>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</si>
  <si>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</si>
  <si>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</si>
  <si>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</si>
  <si>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</si>
  <si>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</si>
  <si>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</si>
  <si>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</si>
  <si>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</si>
  <si>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</si>
  <si>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</si>
  <si>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</si>
  <si>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</si>
  <si>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</si>
  <si>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</si>
  <si>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</si>
  <si>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</si>
  <si>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</si>
  <si>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</si>
  <si>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</si>
  <si>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</si>
  <si>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</si>
  <si>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</si>
  <si>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</si>
  <si>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</si>
  <si>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</si>
  <si>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</si>
  <si>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</si>
  <si>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</si>
  <si>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</si>
  <si>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</si>
  <si>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</si>
  <si>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</si>
  <si>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</si>
  <si>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</si>
  <si>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</si>
  <si>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</si>
  <si>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</si>
  <si>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</si>
  <si>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</si>
  <si>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</si>
  <si>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</si>
  <si>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</si>
  <si>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</si>
  <si>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</si>
  <si>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</si>
  <si>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</si>
  <si>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</si>
  <si>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</si>
  <si>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</si>
  <si>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</si>
  <si>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</si>
  <si>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</si>
  <si>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</si>
  <si>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</si>
  <si>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</si>
  <si>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</si>
  <si>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</si>
  <si>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</si>
  <si>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</si>
  <si>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</si>
  <si>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</si>
  <si>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</si>
  <si>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</si>
  <si>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</si>
  <si>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</si>
  <si>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</si>
  <si>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</si>
  <si>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</si>
  <si>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</si>
  <si>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</si>
  <si>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</si>
  <si>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</si>
  <si>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</si>
  <si>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</si>
  <si>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</si>
  <si>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Alliant Health Plans</t>
  </si>
  <si>
    <t>Individual</t>
  </si>
  <si>
    <t>Market:</t>
  </si>
  <si>
    <t>Alliant Individual PPO</t>
  </si>
  <si>
    <t>Alliant Individual HMO</t>
  </si>
  <si>
    <t>83761GA004</t>
  </si>
  <si>
    <t>83761GA011</t>
  </si>
  <si>
    <t>SoloCare Gold PPO 2300 - 3 Free PCP Visits, $5 Generic Rx</t>
  </si>
  <si>
    <t>SoloCare Silver PPO 6000 - 3 Free PCP Visits (Off)</t>
  </si>
  <si>
    <t>SoloCare Silver PPO 7000 - 3 Free PCP Visits, $5 Generic Rx</t>
  </si>
  <si>
    <t>SoloCare Platinum PPO Copay Plan (3 Free PCP Visits) 40184</t>
  </si>
  <si>
    <t>SoloCare Gold PPO HDHP 1600</t>
  </si>
  <si>
    <t>SoloCare Gold PPO 1500 - 3 Free PCP Visits</t>
  </si>
  <si>
    <t>SoloCare Silver PPO 6000 - 3 Free PCP Visits (On)</t>
  </si>
  <si>
    <t>SoloCare Silver PPO (3 Free PCP Visits + $225 Specialty Drug Copay) 40336</t>
  </si>
  <si>
    <t>SoloCare Gold PPO HDHP 3000</t>
  </si>
  <si>
    <t>SoloCare Silver PPO HDHP 6000</t>
  </si>
  <si>
    <t>SoloCare Platinum PPO Copay Plan (3 Free PCP Visits + Dental) 40348</t>
  </si>
  <si>
    <t>SoloCare Platinum PPO Copay Plan (3 Free PCP Visits + Chiro + Dental) 40349</t>
  </si>
  <si>
    <t>SoloCare Gold PPO (3 Free PCP Visits + Dental) 40354</t>
  </si>
  <si>
    <t>SoloCare Gold PPO Chiro 2300 - 3 Free PCP Visits, $5 Generic Rx</t>
  </si>
  <si>
    <t>SoloCare Gold PPO (3 Free PCP Visits + Dental) 40357</t>
  </si>
  <si>
    <t>SoloCare Gold PPO Chiro 1500 - 3 Free PCP Visits</t>
  </si>
  <si>
    <t>SoloCare Silver PPO (3 Free PCP Visits + Chiro + $225 Specialty Drug Copay) 40367</t>
  </si>
  <si>
    <t>SoloCare Silver PPO (3 Free PCP Visits +$225 Specialty Drug Copay +  Dental) 40368</t>
  </si>
  <si>
    <t>SoloCare Silver PPO Chiro 7000 - 3 Free PCP Visits, $5 Generic Rx</t>
  </si>
  <si>
    <t>SoloCare Silver PPO (3 Free PCP Visits + Chiro + $225 Specialty Drug Copay) 40371</t>
  </si>
  <si>
    <t>SoloCare Silver PPO (3 Free PCP Visits + $225 Specialty Drug Copay + Dental) 40372</t>
  </si>
  <si>
    <t>SoloCare Silver PPO Chiro 6000 - 3 Free PCP Visits (On)</t>
  </si>
  <si>
    <t>SoloCare Silver PPO (3 Free PCP Visits + Chiro + $225 Specialty Drug Copay) 40374</t>
  </si>
  <si>
    <t>SoloCare Silver PPO (3 Free PCP Visits + $225 Specialty Drug Copay + Dental) 40375</t>
  </si>
  <si>
    <t>SoloCare Silver PPO (3 Free PCP Visits + Chiro + $225 Specialty Drug Copay + Dental) 40376</t>
  </si>
  <si>
    <t xml:space="preserve">SoloCare PPO Standard Platinum </t>
  </si>
  <si>
    <t xml:space="preserve">SoloCare PPO Standard Gold  </t>
  </si>
  <si>
    <t xml:space="preserve">SoloCare PPO Standard Silver </t>
  </si>
  <si>
    <t>SoloCare Platinum PPO - $0 PCP, $0 Generic Rx</t>
  </si>
  <si>
    <t>SoloCare Bronze PPO HDHP 7050</t>
  </si>
  <si>
    <t>SoloCare Catastrophic PPO</t>
  </si>
  <si>
    <t>SoloCare Silver PPO Chiro 6000 - 3 Free PCP Visits (Off)</t>
  </si>
  <si>
    <t xml:space="preserve">SoloCare Bronze PPO Chiro HDHP 7050 </t>
  </si>
  <si>
    <t xml:space="preserve">SoloCare Gold PPO HDHP Chiro 1600 </t>
  </si>
  <si>
    <t xml:space="preserve">SoloCare Gold PPO HDHP Chiro 3000 </t>
  </si>
  <si>
    <t xml:space="preserve">SoloCare Silver PPO HDHP Chiro 6000 </t>
  </si>
  <si>
    <t>SoloCare Catastrophic PPO Chiro</t>
  </si>
  <si>
    <t>SoloCare PPO Standard Expanded Bronze</t>
  </si>
  <si>
    <t>SoloCare PPO Standard Platinum Chiro</t>
  </si>
  <si>
    <t>SoloCare PPO Standard Gold Chiro</t>
  </si>
  <si>
    <t>SoloCare PPO Standard Silver Chiro</t>
  </si>
  <si>
    <t>SoloCare PPO Standard Expanded Bronze Chiro</t>
  </si>
  <si>
    <t>SoloCare Platinum PPO Chiro - $0 PCP, $0 Generic Rx</t>
  </si>
  <si>
    <t>SoloCare Gold No Referral HMO 2300 - 3 Free PCP Visits, $5 Generic Rx</t>
  </si>
  <si>
    <t>SoloCare Gold No Referral HMO 1500 - 3 Free PCP Visits</t>
  </si>
  <si>
    <t>SoloCare Silver No Referral HMO 7000 - 3 Free PCP Visits, $5 Generic Rx</t>
  </si>
  <si>
    <t>SoloCare Silver No Referral HMO 6000 - 3 Free PCP Visits (On)</t>
  </si>
  <si>
    <t>SoloCare Silver HMO (3 Free PCP Visits + $225 Specialty Drug Copay) 110010</t>
  </si>
  <si>
    <t>SoloCare Bronze No Referral HMO ($250 Specialty Drug Copay) 110011</t>
  </si>
  <si>
    <t>SoloCare Bronze No Referral HMO ($250 Specialty Drug Copay + Dental) 110013</t>
  </si>
  <si>
    <t>SoloCare Bronze No Referral HMO 110015</t>
  </si>
  <si>
    <t>SoloCare Bronze No Referral HMO (+ Dental) 110017</t>
  </si>
  <si>
    <t>SoloCare Bronze No Referral HMO HDHP 7050</t>
  </si>
  <si>
    <t>SoloCare Bronze No Referral HMO HDHP (+ Dental) 110021</t>
  </si>
  <si>
    <t>SoloCare Catastrophic No Referral HMO</t>
  </si>
  <si>
    <t xml:space="preserve">SoloCare No Referral HMO Standard Gold  </t>
  </si>
  <si>
    <t xml:space="preserve">SoloCare No Referral HMO Standard Silver </t>
  </si>
  <si>
    <t>SoloCare No Referral HMO Standard Expanded Bronze</t>
  </si>
  <si>
    <t>SoloCare Platinum No Referral HMO - $0 PCP, $0 Generic Rx</t>
  </si>
  <si>
    <t>SoloCare Silver No Referral HMO 6000 - 3 Free PCP Visits (Off)</t>
  </si>
  <si>
    <t>SoloCare Gold No Referral HMO HDHP 1600</t>
  </si>
  <si>
    <t>SoloCare Gold No Referral HMO HDHP 3000</t>
  </si>
  <si>
    <t>SoloCare Silver No Referral HMO HDHP 6000</t>
  </si>
  <si>
    <t>SoloCare Platinum No Referral HMO Chiro - $0 PCP, $0 Generic Rx</t>
  </si>
  <si>
    <t>SoloCare Gold No Referral HMO Chiro 2300 - 3 Free PCP Visits, $5 Generic Rx</t>
  </si>
  <si>
    <t>SoloCare Gold No Referral HMO Chiro 1500 - 3 Free PCP Visits</t>
  </si>
  <si>
    <t>SoloCare Silver No Referral HMO Chiro 6000 - 3 Free PCP Visits (Off)</t>
  </si>
  <si>
    <t>SoloCare Silver No Referral HMO Chiro 7000 - 3 Free PCP Visits, $5 Generic Rx</t>
  </si>
  <si>
    <t>SoloCare Silver No Referral HMO Chiro 6000 - 3 Free PCP Visits (On)</t>
  </si>
  <si>
    <t xml:space="preserve">SoloCare Bronze No Referral HMO Chiro HDHP 7050 </t>
  </si>
  <si>
    <t xml:space="preserve">SoloCare Gold No Referral HMO HDHP Chiro 1600 </t>
  </si>
  <si>
    <t xml:space="preserve">SoloCare Gold No Referral HMO HDHP Chiro 3000 </t>
  </si>
  <si>
    <t xml:space="preserve">SoloCare Silver No Referral HMO HDHP Chiro 6000 </t>
  </si>
  <si>
    <t>SoloCare Catastrophic No Referral HMO Chiro</t>
  </si>
  <si>
    <t xml:space="preserve">SoloCare No Referral HMO Standard Platinum </t>
  </si>
  <si>
    <t>SoloCare No Referral HMO Standard Platinum Chiro</t>
  </si>
  <si>
    <t>SoloCare No Referral HMO Standard Gold Chiro</t>
  </si>
  <si>
    <t>SoloCare No Referral HMO Standard Silver Chiro</t>
  </si>
  <si>
    <t>SoloCare No Referral HMO Standard Expanded Bronze Chiro</t>
  </si>
  <si>
    <t>83761GA0040002</t>
  </si>
  <si>
    <t>83761GA0040007</t>
  </si>
  <si>
    <t>83761GA0040017</t>
  </si>
  <si>
    <t>83761GA0040184</t>
  </si>
  <si>
    <t>83761GA0040324</t>
  </si>
  <si>
    <t>83761GA0040330</t>
  </si>
  <si>
    <t>83761GA0040331</t>
  </si>
  <si>
    <t>83761GA0040336</t>
  </si>
  <si>
    <t>83761GA0040344</t>
  </si>
  <si>
    <t>83761GA0040345</t>
  </si>
  <si>
    <t>83761GA0040348</t>
  </si>
  <si>
    <t>83761GA0040349</t>
  </si>
  <si>
    <t>83761GA0040354</t>
  </si>
  <si>
    <t>83761GA0040355</t>
  </si>
  <si>
    <t>83761GA0040357</t>
  </si>
  <si>
    <t>83761GA0040358</t>
  </si>
  <si>
    <t>83761GA0040367</t>
  </si>
  <si>
    <t>83761GA0040368</t>
  </si>
  <si>
    <t>83761GA0040369</t>
  </si>
  <si>
    <t>83761GA0040371</t>
  </si>
  <si>
    <t>83761GA0040372</t>
  </si>
  <si>
    <t>83761GA0040373</t>
  </si>
  <si>
    <t>83761GA0040374</t>
  </si>
  <si>
    <t>83761GA0040375</t>
  </si>
  <si>
    <t>83761GA0040376</t>
  </si>
  <si>
    <t>83761GA0040377</t>
  </si>
  <si>
    <t>83761GA0040378</t>
  </si>
  <si>
    <t>83761GA0040379</t>
  </si>
  <si>
    <t>83761GA0040380</t>
  </si>
  <si>
    <t>83761GA0040381</t>
  </si>
  <si>
    <t>83761GA0040382</t>
  </si>
  <si>
    <t>83761GA0040383</t>
  </si>
  <si>
    <t>83761GA0040384</t>
  </si>
  <si>
    <t>83761GA0040385</t>
  </si>
  <si>
    <t>83761GA0040386</t>
  </si>
  <si>
    <t>83761GA0040387</t>
  </si>
  <si>
    <t>83761GA0040388</t>
  </si>
  <si>
    <t>83761GA0040391</t>
  </si>
  <si>
    <t>83761GA0040392</t>
  </si>
  <si>
    <t>83761GA0040393</t>
  </si>
  <si>
    <t>83761GA0040394</t>
  </si>
  <si>
    <t>83761GA0040395</t>
  </si>
  <si>
    <t>83761GA0040396</t>
  </si>
  <si>
    <t>83761GA0040397</t>
  </si>
  <si>
    <t>83761GA0040398</t>
  </si>
  <si>
    <t>83761GA0110003</t>
  </si>
  <si>
    <t>83761GA0110004</t>
  </si>
  <si>
    <t>83761GA0110008</t>
  </si>
  <si>
    <t>83761GA0110009</t>
  </si>
  <si>
    <t>83761GA0110010</t>
  </si>
  <si>
    <t>83761GA0110011</t>
  </si>
  <si>
    <t>83761GA0110013</t>
  </si>
  <si>
    <t>83761GA0110015</t>
  </si>
  <si>
    <t>83761GA0110017</t>
  </si>
  <si>
    <t>83761GA0110019</t>
  </si>
  <si>
    <t>83761GA0110021</t>
  </si>
  <si>
    <t>83761GA0110023</t>
  </si>
  <si>
    <t>83761GA0110024</t>
  </si>
  <si>
    <t>83761GA0110025</t>
  </si>
  <si>
    <t>83761GA0110027</t>
  </si>
  <si>
    <t>83761GA0110028</t>
  </si>
  <si>
    <t>83761GA0110029</t>
  </si>
  <si>
    <t>83761GA0110030</t>
  </si>
  <si>
    <t>83761GA0110031</t>
  </si>
  <si>
    <t>83761GA0110032</t>
  </si>
  <si>
    <t>83761GA0110033</t>
  </si>
  <si>
    <t>83761GA0110034</t>
  </si>
  <si>
    <t>83761GA0110035</t>
  </si>
  <si>
    <t>83761GA0110036</t>
  </si>
  <si>
    <t>83761GA0110037</t>
  </si>
  <si>
    <t>83761GA0110038</t>
  </si>
  <si>
    <t>83761GA0110039</t>
  </si>
  <si>
    <t>83761GA0110040</t>
  </si>
  <si>
    <t>83761GA0110042</t>
  </si>
  <si>
    <t>83761GA0110043</t>
  </si>
  <si>
    <t>83761GA0110044</t>
  </si>
  <si>
    <t>83761GA0110045</t>
  </si>
  <si>
    <t>83761GA0110046</t>
  </si>
  <si>
    <t>83761GA0110047</t>
  </si>
  <si>
    <t>83761GA0110048</t>
  </si>
  <si>
    <t>83761GA0110049</t>
  </si>
  <si>
    <t>83761GA0110050</t>
  </si>
  <si>
    <t>83761GA0110051</t>
  </si>
  <si>
    <t>PPO</t>
  </si>
  <si>
    <t>HMO</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</si>
  <si>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</si>
  <si>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</si>
  <si>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</si>
  <si>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</si>
  <si>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</si>
  <si>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</si>
  <si>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</si>
  <si>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</si>
  <si>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</si>
  <si>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</si>
  <si>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</si>
  <si>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</si>
  <si>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</si>
  <si>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</si>
  <si>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</si>
  <si>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</si>
  <si>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SoloCare Exp Bronze PPO 9450 - $0 Generic Rx</t>
  </si>
  <si>
    <t>SoloCare Exp Bronze PPO Chiro 9450 - $0 Generic Rx</t>
  </si>
  <si>
    <t>SoloCare Exp Bronze No Referral HMO 9450 - $0 Generic Rx</t>
  </si>
  <si>
    <t>SoloCare Exp Bronze No Referral HMO Chiro 9450 - $0 Generic Rx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</si>
</sst>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4">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170" fontId="0" fillId="0" borderId="12" xfId="0" applyNumberFormat="1" applyBorder="1" applyAlignment="1">
      <alignment horizontal="center"/>
    </xf>
    <xf numFmtId="170" fontId="0" fillId="0" borderId="37" xfId="0" applyNumberFormat="1" applyBorder="1" applyAlignment="1">
      <alignment horizontal="center"/>
    </xf>
    <xf numFmtId="170" fontId="0" fillId="0" borderId="11" xfId="0" applyNumberFormat="1" applyBorder="1" applyAlignment="1">
      <alignment horizontal="center"/>
    </xf>
    <xf numFmtId="168" fontId="0" fillId="0" borderId="12" xfId="0" applyNumberFormat="1" applyBorder="1" applyAlignment="1">
      <alignment horizontal="center"/>
    </xf>
    <xf numFmtId="168" fontId="0" fillId="0" borderId="37" xfId="0" applyNumberFormat="1" applyBorder="1" applyAlignment="1">
      <alignment horizontal="center"/>
    </xf>
    <xf numFmtId="168" fontId="0" fillId="0" borderId="11" xfId="0" applyNumberFormat="1" applyBorder="1" applyAlignment="1">
      <alignment horizontal="center"/>
    </xf>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2"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11" xfId="0" applyFill="1" applyBorder="1" applyAlignment="1" applyProtection="1">
      <alignment horizontal="center"/>
      <protection locked="0"/>
    </xf>
    <xf numFmtId="10" fontId="0" fillId="0" borderId="12" xfId="0" applyNumberFormat="1" applyBorder="1" applyAlignment="1">
      <alignment horizontal="center"/>
    </xf>
    <xf numFmtId="10" fontId="0" fillId="0" borderId="37" xfId="0" applyNumberFormat="1" applyBorder="1" applyAlignment="1">
      <alignment horizontal="center"/>
    </xf>
    <xf numFmtId="10" fontId="0" fillId="0" borderId="11"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990600</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114300</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152400</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57150</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0</xdr:row>
          <xdr:rowOff>0</xdr:rowOff>
        </xdr:from>
        <xdr:to>
          <xdr:col>26</xdr:col>
          <xdr:colOff>19050</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69</xdr:col>
          <xdr:colOff>228600</xdr:colOff>
          <xdr:row>0</xdr:row>
          <xdr:rowOff>0</xdr:rowOff>
        </xdr:from>
        <xdr:to>
          <xdr:col>70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223</v>
      </c>
      <c r="B1" s="4" t="s">
        <v>226</v>
      </c>
      <c r="C1" s="3"/>
      <c r="D1" s="3"/>
      <c r="E1" s="3"/>
      <c r="F1" s="4"/>
      <c r="K1" s="98" t="s">
        <v>211</v>
      </c>
    </row>
    <row r="2" spans="1:29" ht="18.75">
      <c r="B2" s="3"/>
      <c r="C2" s="3"/>
      <c r="D2" s="3"/>
      <c r="E2" s="3"/>
      <c r="F2" s="4"/>
      <c r="K2" s="98" t="s">
        <v>212</v>
      </c>
    </row>
    <row r="3" spans="1:29" ht="15.75">
      <c r="B3" s="96" t="s">
        <v>5</v>
      </c>
      <c r="C3" s="210" t="s">
        <v>227</v>
      </c>
      <c r="D3" s="211"/>
      <c r="E3" s="211"/>
      <c r="F3" s="211"/>
      <c r="G3" s="211"/>
      <c r="H3" s="212"/>
      <c r="K3" s="98" t="s">
        <v>213</v>
      </c>
    </row>
    <row r="4" spans="1:29" ht="18.75">
      <c r="B4" s="97" t="s">
        <v>6</v>
      </c>
      <c r="C4" s="213">
        <v>83761</v>
      </c>
      <c r="D4" s="207" t="s">
        <v>7</v>
      </c>
      <c r="E4" s="213" t="s">
        <v>37</v>
      </c>
      <c r="F4" s="4"/>
      <c r="G4" s="4"/>
      <c r="H4" s="4"/>
      <c r="K4" s="98" t="s">
        <v>214</v>
      </c>
    </row>
    <row r="5" spans="1:29" ht="15.75">
      <c r="B5" s="96" t="s">
        <v>14</v>
      </c>
      <c r="C5" s="219">
        <f>MAX('Wksh 2 - Plan Product Info'!E19:CI19)</f>
        <v>45292</v>
      </c>
      <c r="D5" s="207" t="s">
        <v>229</v>
      </c>
      <c r="E5" s="213" t="s">
        <v>228</v>
      </c>
    </row>
    <row r="6" spans="1:29" ht="18.75">
      <c r="B6" s="3"/>
      <c r="C6" s="3"/>
      <c r="D6" s="3"/>
      <c r="E6" s="3"/>
      <c r="F6" s="4"/>
    </row>
    <row r="7" spans="1:29">
      <c r="F7" s="2"/>
    </row>
    <row r="8" spans="1:29">
      <c r="B8" s="235" t="s">
        <v>3</v>
      </c>
      <c r="C8" s="236"/>
      <c r="D8" s="236"/>
      <c r="E8" s="236"/>
      <c r="F8" s="236"/>
      <c r="G8" s="236"/>
      <c r="H8" s="236"/>
      <c r="I8" s="236"/>
      <c r="J8" s="236"/>
      <c r="K8" s="236"/>
      <c r="L8" s="236"/>
      <c r="M8" s="236"/>
      <c r="N8" s="236"/>
      <c r="O8" s="236"/>
      <c r="P8" s="236"/>
      <c r="Q8" s="237"/>
      <c r="R8"/>
      <c r="S8"/>
      <c r="T8"/>
      <c r="U8"/>
      <c r="V8"/>
      <c r="W8"/>
      <c r="X8"/>
      <c r="Y8"/>
    </row>
    <row r="9" spans="1:29">
      <c r="B9" s="238"/>
      <c r="C9" s="239"/>
      <c r="D9" s="239"/>
      <c r="E9" s="239"/>
      <c r="F9" s="239"/>
      <c r="G9" s="239"/>
      <c r="H9" s="239"/>
      <c r="I9" s="239"/>
      <c r="J9" s="239"/>
      <c r="K9" s="239"/>
      <c r="L9" s="239"/>
      <c r="M9" s="239"/>
      <c r="N9" s="239"/>
      <c r="O9" s="239"/>
      <c r="P9" s="239"/>
      <c r="Q9" s="240"/>
      <c r="R9"/>
      <c r="S9"/>
      <c r="T9"/>
      <c r="U9"/>
      <c r="V9"/>
      <c r="W9"/>
      <c r="X9"/>
      <c r="Y9"/>
    </row>
    <row r="10" spans="1:29">
      <c r="B10" s="19"/>
      <c r="F10" s="2"/>
    </row>
    <row r="11" spans="1:29">
      <c r="B11" s="28" t="s">
        <v>85</v>
      </c>
      <c r="E11" s="29"/>
      <c r="F11" s="2"/>
    </row>
    <row r="12" spans="1:29">
      <c r="B12" s="75" t="s">
        <v>21</v>
      </c>
      <c r="D12" s="214">
        <v>44562</v>
      </c>
      <c r="E12" s="31" t="s">
        <v>11</v>
      </c>
      <c r="F12" s="84">
        <f>EDATE(D12,12)-1</f>
        <v>44926</v>
      </c>
      <c r="H12" s="33"/>
      <c r="I12" s="32"/>
    </row>
    <row r="13" spans="1:29">
      <c r="B13" s="30"/>
      <c r="E13" s="69" t="s">
        <v>2</v>
      </c>
      <c r="F13" s="34" t="s">
        <v>23</v>
      </c>
      <c r="G13"/>
      <c r="J13"/>
      <c r="P13"/>
      <c r="Q13"/>
      <c r="U13"/>
      <c r="V13"/>
      <c r="W13"/>
      <c r="X13"/>
      <c r="Y13"/>
      <c r="AC13" s="35"/>
    </row>
    <row r="14" spans="1:29">
      <c r="B14" s="244" t="s">
        <v>86</v>
      </c>
      <c r="C14" s="245"/>
      <c r="D14" s="246"/>
      <c r="E14" s="102">
        <v>324753833.845285</v>
      </c>
      <c r="F14" s="103">
        <f>E14/E19</f>
        <v>718.77453176798736</v>
      </c>
      <c r="G14" s="36"/>
      <c r="J14"/>
      <c r="P14"/>
      <c r="Q14"/>
      <c r="U14"/>
      <c r="V14"/>
      <c r="W14"/>
      <c r="X14"/>
      <c r="Y14"/>
      <c r="AC14" s="35"/>
    </row>
    <row r="15" spans="1:29">
      <c r="B15" s="247" t="s">
        <v>87</v>
      </c>
      <c r="C15" s="247"/>
      <c r="D15" s="247"/>
      <c r="E15" s="102">
        <v>86660398.610533997</v>
      </c>
      <c r="F15" s="104">
        <f>E15/E19</f>
        <v>191.80462535752164</v>
      </c>
      <c r="G15" s="36"/>
      <c r="J15"/>
      <c r="P15"/>
      <c r="Q15"/>
      <c r="U15"/>
      <c r="V15"/>
      <c r="W15"/>
      <c r="X15"/>
      <c r="Y15"/>
      <c r="AC15" s="35"/>
    </row>
    <row r="16" spans="1:29">
      <c r="B16" s="247" t="s">
        <v>88</v>
      </c>
      <c r="C16" s="247"/>
      <c r="D16" s="247"/>
      <c r="E16" s="102">
        <v>197459564.28762701</v>
      </c>
      <c r="F16" s="104">
        <f>E16/E19</f>
        <v>437.03535131032766</v>
      </c>
      <c r="G16" s="36"/>
      <c r="J16"/>
      <c r="P16"/>
      <c r="Q16"/>
      <c r="U16"/>
      <c r="V16"/>
      <c r="W16"/>
      <c r="X16"/>
      <c r="Y16"/>
      <c r="AC16" s="35"/>
    </row>
    <row r="17" spans="2:31">
      <c r="B17" s="247" t="s">
        <v>89</v>
      </c>
      <c r="C17" s="247"/>
      <c r="D17" s="247"/>
      <c r="E17" s="105">
        <v>1277544.88891754</v>
      </c>
      <c r="F17" s="106">
        <f>E17/E19</f>
        <v>2.827577794760566</v>
      </c>
      <c r="G17" s="37"/>
      <c r="H17" s="38"/>
      <c r="I17" s="32"/>
      <c r="J17"/>
      <c r="O17" s="39"/>
      <c r="P17"/>
      <c r="Q17"/>
      <c r="U17"/>
      <c r="V17"/>
      <c r="W17"/>
      <c r="X17"/>
      <c r="Y17"/>
      <c r="AC17" s="35"/>
    </row>
    <row r="18" spans="2:31">
      <c r="B18" s="247" t="s">
        <v>90</v>
      </c>
      <c r="C18" s="247"/>
      <c r="D18" s="247"/>
      <c r="E18" s="105">
        <v>228584528.00999999</v>
      </c>
      <c r="F18" s="107">
        <f>E18/E19</f>
        <v>505.92393365883453</v>
      </c>
      <c r="G18" s="40"/>
      <c r="H18" s="38"/>
      <c r="I18" s="32"/>
      <c r="J18"/>
      <c r="P18"/>
      <c r="Q18"/>
      <c r="U18"/>
      <c r="V18"/>
      <c r="W18"/>
      <c r="X18"/>
      <c r="Y18"/>
      <c r="AC18" s="35"/>
    </row>
    <row r="19" spans="2:31">
      <c r="B19" s="247" t="s">
        <v>22</v>
      </c>
      <c r="C19" s="247"/>
      <c r="D19" s="247"/>
      <c r="E19" s="215">
        <f>'Wksh 2 - Plan Product Info'!D33</f>
        <v>451816</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41" t="s">
        <v>92</v>
      </c>
      <c r="E22" s="242"/>
      <c r="F22" s="243" t="s">
        <v>93</v>
      </c>
      <c r="G22" s="243"/>
      <c r="H22" s="228"/>
      <c r="I22" s="38"/>
      <c r="J22" s="32"/>
      <c r="K22" s="38"/>
      <c r="L22"/>
      <c r="R22"/>
      <c r="S22"/>
      <c r="W22"/>
      <c r="X22"/>
      <c r="Y22"/>
      <c r="Z22"/>
      <c r="AA22"/>
      <c r="AE22" s="35"/>
    </row>
    <row r="23" spans="2:31" ht="30.75" thickBot="1">
      <c r="B23" s="229" t="s">
        <v>145</v>
      </c>
      <c r="C23" s="230" t="s">
        <v>135</v>
      </c>
      <c r="D23" s="110" t="s">
        <v>94</v>
      </c>
      <c r="E23" s="109" t="s">
        <v>95</v>
      </c>
      <c r="F23" s="117" t="s">
        <v>94</v>
      </c>
      <c r="G23" s="115" t="s">
        <v>95</v>
      </c>
      <c r="H23" s="231" t="s">
        <v>96</v>
      </c>
      <c r="I23" s="38"/>
      <c r="J23" s="32"/>
      <c r="K23" s="38"/>
      <c r="L23"/>
      <c r="R23"/>
      <c r="S23"/>
      <c r="W23"/>
      <c r="X23"/>
      <c r="Y23"/>
      <c r="Z23"/>
      <c r="AA23"/>
      <c r="AE23" s="35"/>
    </row>
    <row r="24" spans="2:31">
      <c r="B24" s="111" t="s">
        <v>78</v>
      </c>
      <c r="C24" s="129">
        <v>105.14551837172201</v>
      </c>
      <c r="D24" s="122">
        <v>1.0487136765698299</v>
      </c>
      <c r="E24" s="125">
        <v>1.0048773427429301</v>
      </c>
      <c r="F24" s="122">
        <v>1.0484445534707301</v>
      </c>
      <c r="G24" s="127">
        <v>1.0048516424617699</v>
      </c>
      <c r="H24" s="131">
        <f t="shared" ref="H24:H29" si="0">PRODUCT(C24:G24)</f>
        <v>116.73690290720653</v>
      </c>
      <c r="I24" s="38"/>
      <c r="J24" s="32"/>
      <c r="K24" s="38"/>
      <c r="L24"/>
      <c r="R24"/>
      <c r="S24"/>
      <c r="W24"/>
      <c r="X24"/>
      <c r="Y24"/>
      <c r="Z24"/>
      <c r="AA24"/>
      <c r="AE24" s="35"/>
    </row>
    <row r="25" spans="2:31">
      <c r="B25" s="111" t="s">
        <v>19</v>
      </c>
      <c r="C25" s="130">
        <v>249.99333471998401</v>
      </c>
      <c r="D25" s="123">
        <v>1.0925559854826701</v>
      </c>
      <c r="E25" s="124">
        <v>1.0048822647583</v>
      </c>
      <c r="F25" s="123">
        <v>1.09204465159438</v>
      </c>
      <c r="G25" s="126">
        <v>1.0048575656657399</v>
      </c>
      <c r="H25" s="132">
        <f t="shared" si="0"/>
        <v>301.18422041566919</v>
      </c>
      <c r="I25" s="38"/>
      <c r="J25" s="32"/>
      <c r="K25" s="38"/>
      <c r="L25"/>
      <c r="R25"/>
      <c r="S25"/>
      <c r="W25"/>
      <c r="X25"/>
      <c r="Y25"/>
      <c r="Z25"/>
      <c r="AA25"/>
      <c r="AE25" s="35"/>
    </row>
    <row r="26" spans="2:31">
      <c r="B26" s="111" t="s">
        <v>0</v>
      </c>
      <c r="C26" s="130">
        <v>236.754019980652</v>
      </c>
      <c r="D26" s="123">
        <v>1.0560207280553</v>
      </c>
      <c r="E26" s="124">
        <v>1</v>
      </c>
      <c r="F26" s="123">
        <v>1.0557112364913399</v>
      </c>
      <c r="G26" s="128">
        <v>1</v>
      </c>
      <c r="H26" s="132">
        <f t="shared" si="0"/>
        <v>263.94591726259091</v>
      </c>
      <c r="I26" s="38"/>
      <c r="J26" s="32"/>
      <c r="K26" s="38"/>
      <c r="L26"/>
      <c r="R26"/>
      <c r="S26"/>
      <c r="W26"/>
      <c r="X26"/>
      <c r="Y26"/>
      <c r="Z26"/>
      <c r="AA26"/>
      <c r="AE26" s="35"/>
    </row>
    <row r="27" spans="2:31">
      <c r="B27" s="111" t="s">
        <v>18</v>
      </c>
      <c r="C27" s="130">
        <v>19.158868693528198</v>
      </c>
      <c r="D27" s="123">
        <v>1.0560207280553</v>
      </c>
      <c r="E27" s="124">
        <v>1</v>
      </c>
      <c r="F27" s="123">
        <v>1.0557112364913399</v>
      </c>
      <c r="G27" s="126">
        <v>1</v>
      </c>
      <c r="H27" s="132">
        <f t="shared" si="0"/>
        <v>21.359321254355457</v>
      </c>
      <c r="I27" s="38"/>
      <c r="J27" s="32"/>
      <c r="K27" s="38"/>
      <c r="L27"/>
      <c r="R27"/>
      <c r="S27"/>
      <c r="W27"/>
      <c r="X27"/>
      <c r="Y27"/>
      <c r="Z27"/>
      <c r="AA27"/>
      <c r="AE27" s="35"/>
    </row>
    <row r="28" spans="2:31">
      <c r="B28" s="111" t="s">
        <v>1</v>
      </c>
      <c r="C28" s="130">
        <v>0</v>
      </c>
      <c r="D28" s="120">
        <v>1</v>
      </c>
      <c r="E28" s="121">
        <v>1</v>
      </c>
      <c r="F28" s="123">
        <v>1</v>
      </c>
      <c r="G28" s="126">
        <v>1</v>
      </c>
      <c r="H28" s="132">
        <f t="shared" si="0"/>
        <v>0</v>
      </c>
      <c r="I28" s="38"/>
      <c r="J28" s="32"/>
      <c r="K28" s="38"/>
      <c r="L28"/>
      <c r="R28"/>
      <c r="S28"/>
      <c r="W28"/>
      <c r="X28"/>
      <c r="Y28"/>
      <c r="Z28"/>
      <c r="AA28"/>
      <c r="AE28" s="35"/>
    </row>
    <row r="29" spans="2:31" ht="15.75" thickBot="1">
      <c r="B29" s="111" t="s">
        <v>20</v>
      </c>
      <c r="C29" s="114">
        <v>107.042367197244</v>
      </c>
      <c r="D29" s="119">
        <v>1.0389709412558601</v>
      </c>
      <c r="E29" s="118">
        <v>1.0146285776495501</v>
      </c>
      <c r="F29" s="119">
        <v>1.0387556427765801</v>
      </c>
      <c r="G29" s="85">
        <v>1.0145507760058601</v>
      </c>
      <c r="H29" s="116">
        <f t="shared" si="0"/>
        <v>118.91958351206654</v>
      </c>
      <c r="I29" s="38"/>
      <c r="J29" s="32"/>
      <c r="K29" s="38"/>
      <c r="L29"/>
      <c r="R29"/>
      <c r="S29"/>
      <c r="W29"/>
      <c r="X29"/>
      <c r="Y29"/>
      <c r="Z29"/>
      <c r="AA29"/>
      <c r="AE29" s="35"/>
    </row>
    <row r="30" spans="2:31" ht="15.75" thickBot="1">
      <c r="B30" s="112" t="s">
        <v>2</v>
      </c>
      <c r="C30" s="113">
        <f>SUM(C24:C29)</f>
        <v>718.09410896313034</v>
      </c>
      <c r="D30" s="232"/>
      <c r="E30" s="233"/>
      <c r="F30" s="233"/>
      <c r="G30" s="233"/>
      <c r="H30" s="144">
        <f>SUM(H24:H29)</f>
        <v>822.1459453518886</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v>
      </c>
      <c r="G32" s="40"/>
      <c r="H32" s="38"/>
      <c r="I32" s="38"/>
      <c r="J32" s="32"/>
      <c r="K32" s="38"/>
      <c r="L32"/>
      <c r="R32"/>
      <c r="S32"/>
      <c r="W32"/>
      <c r="X32"/>
      <c r="Y32"/>
      <c r="Z32"/>
      <c r="AA32"/>
      <c r="AE32" s="35"/>
    </row>
    <row r="33" spans="2:31">
      <c r="B33" s="223" t="s">
        <v>99</v>
      </c>
      <c r="C33" s="224"/>
      <c r="D33" s="224"/>
      <c r="E33" s="225"/>
      <c r="F33" s="136">
        <v>0.99423630733862001</v>
      </c>
      <c r="G33" s="40"/>
      <c r="H33" s="38"/>
      <c r="I33" s="38"/>
      <c r="J33" s="32"/>
      <c r="K33" s="38"/>
      <c r="L33"/>
      <c r="R33"/>
      <c r="S33"/>
      <c r="W33"/>
      <c r="X33"/>
      <c r="Y33"/>
      <c r="Z33"/>
      <c r="AA33"/>
      <c r="AE33" s="35"/>
    </row>
    <row r="34" spans="2:31">
      <c r="B34" s="223" t="s">
        <v>100</v>
      </c>
      <c r="C34" s="224"/>
      <c r="D34" s="224"/>
      <c r="E34" s="225"/>
      <c r="F34" s="136">
        <v>0.95244547697538295</v>
      </c>
      <c r="G34" s="40"/>
      <c r="H34" s="38"/>
      <c r="I34" s="38"/>
      <c r="J34" s="32"/>
      <c r="K34" s="38"/>
      <c r="L34"/>
      <c r="R34"/>
      <c r="S34"/>
      <c r="W34"/>
      <c r="X34"/>
      <c r="Y34"/>
      <c r="Z34"/>
      <c r="AA34"/>
      <c r="AE34" s="35"/>
    </row>
    <row r="35" spans="2:31">
      <c r="B35" s="223" t="s">
        <v>17</v>
      </c>
      <c r="C35" s="224"/>
      <c r="D35" s="224"/>
      <c r="E35" s="225"/>
      <c r="F35" s="136">
        <v>0.99988773184247504</v>
      </c>
      <c r="G35" s="40"/>
      <c r="H35" s="38"/>
      <c r="I35" s="38"/>
      <c r="J35" s="32"/>
      <c r="K35" s="38"/>
      <c r="L35"/>
      <c r="R35"/>
      <c r="S35"/>
      <c r="W35"/>
      <c r="X35"/>
      <c r="Y35"/>
      <c r="Z35"/>
      <c r="AA35"/>
      <c r="AE35" s="35"/>
    </row>
    <row r="36" spans="2:31">
      <c r="B36" s="223" t="s">
        <v>218</v>
      </c>
      <c r="C36" s="224"/>
      <c r="D36" s="137">
        <f>IF(C5&lt;&gt;"",C5,"")</f>
        <v>45292</v>
      </c>
      <c r="E36" s="138"/>
      <c r="F36" s="135">
        <f>H30*PRODUCT(F32:F35)</f>
        <v>778.44852741639966</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0</v>
      </c>
      <c r="G38" s="40"/>
      <c r="H38" s="38"/>
      <c r="I38" s="38"/>
      <c r="J38" s="32"/>
      <c r="K38" s="38"/>
      <c r="L38"/>
      <c r="R38"/>
      <c r="S38"/>
      <c r="W38"/>
      <c r="X38"/>
      <c r="Y38"/>
      <c r="Z38"/>
      <c r="AA38"/>
      <c r="AE38" s="35"/>
    </row>
    <row r="39" spans="2:31">
      <c r="B39" s="223" t="s">
        <v>217</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f>IF(C5&lt;&gt;"",C5,"")</f>
        <v>45292</v>
      </c>
      <c r="E42" s="139"/>
      <c r="F42" s="135">
        <f>ROUND(F39*F36+(1-F39)*F38,2)</f>
        <v>778.45</v>
      </c>
      <c r="G42" s="140">
        <f>F42*F48</f>
        <v>450988001.45000005</v>
      </c>
      <c r="H42" s="38"/>
      <c r="I42" s="38"/>
      <c r="J42" s="32"/>
      <c r="K42" s="38"/>
      <c r="L42"/>
      <c r="R42"/>
      <c r="S42"/>
      <c r="W42"/>
      <c r="X42"/>
      <c r="Y42"/>
      <c r="Z42"/>
      <c r="AA42"/>
      <c r="AE42" s="35"/>
    </row>
    <row r="43" spans="2:31">
      <c r="B43" s="223" t="s">
        <v>87</v>
      </c>
      <c r="C43" s="224"/>
      <c r="D43" s="224"/>
      <c r="E43" s="225"/>
      <c r="F43" s="133">
        <v>190.087949593118</v>
      </c>
      <c r="G43" s="140">
        <f>F43*F48</f>
        <v>110125742.80522658</v>
      </c>
      <c r="H43" s="38"/>
      <c r="I43" s="38"/>
      <c r="J43" s="32"/>
      <c r="K43" s="38"/>
      <c r="L43"/>
      <c r="R43"/>
      <c r="S43"/>
      <c r="W43"/>
      <c r="X43"/>
      <c r="Y43"/>
      <c r="Z43"/>
      <c r="AA43"/>
      <c r="AE43" s="35"/>
    </row>
    <row r="44" spans="2:31">
      <c r="B44" s="223" t="s">
        <v>136</v>
      </c>
      <c r="C44" s="224"/>
      <c r="D44" s="224"/>
      <c r="E44" s="225"/>
      <c r="F44" s="133">
        <v>3.5921528554538402</v>
      </c>
      <c r="G44" s="140">
        <f>F44*F48</f>
        <v>2081081.4274314833</v>
      </c>
      <c r="H44" s="38"/>
      <c r="I44" s="38"/>
      <c r="J44" s="32"/>
      <c r="K44" s="38"/>
      <c r="L44"/>
      <c r="R44"/>
      <c r="S44"/>
      <c r="W44"/>
      <c r="X44"/>
      <c r="Y44"/>
      <c r="Z44"/>
      <c r="AA44"/>
      <c r="AE44" s="35"/>
    </row>
    <row r="45" spans="2:31">
      <c r="B45" s="223" t="s">
        <v>102</v>
      </c>
      <c r="C45" s="224"/>
      <c r="D45" s="224"/>
      <c r="E45" s="225"/>
      <c r="F45" s="142">
        <v>2.8223579169073702E-2</v>
      </c>
      <c r="G45" s="141">
        <f>F45*F46*F48</f>
        <v>9839318.1509898044</v>
      </c>
      <c r="H45" s="38"/>
      <c r="I45" s="38"/>
      <c r="J45" s="32"/>
      <c r="K45" s="38"/>
      <c r="L45"/>
      <c r="R45"/>
      <c r="S45"/>
      <c r="W45"/>
      <c r="X45"/>
      <c r="Y45"/>
      <c r="Z45"/>
      <c r="AA45"/>
      <c r="AE45" s="35"/>
    </row>
    <row r="46" spans="2:31">
      <c r="B46" s="223" t="s">
        <v>122</v>
      </c>
      <c r="C46" s="224"/>
      <c r="D46" s="224"/>
      <c r="E46" s="225"/>
      <c r="F46" s="135">
        <f>(F42-F43-F44)/(1-F45)</f>
        <v>601.75353611833407</v>
      </c>
      <c r="G46" s="143">
        <f>F46*F48</f>
        <v>348620495.36833179</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579341</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34" t="s">
        <v>146</v>
      </c>
      <c r="C50" s="234"/>
      <c r="D50" s="234"/>
      <c r="E50" s="234"/>
      <c r="F50" s="234"/>
      <c r="G50" s="234"/>
      <c r="H50" s="234"/>
      <c r="I50" s="234"/>
      <c r="J50" s="234"/>
      <c r="K50" s="234"/>
      <c r="L50" s="234"/>
      <c r="M50" s="234"/>
      <c r="N50" s="234"/>
      <c r="O50" s="234"/>
      <c r="P50" s="234"/>
      <c r="Q50" s="234"/>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34"/>
      <c r="B112" s="234"/>
      <c r="C112" s="234"/>
      <c r="D112" s="234"/>
      <c r="E112" s="234"/>
      <c r="F112" s="234"/>
      <c r="G112" s="234"/>
      <c r="H112" s="234"/>
      <c r="I112" s="234"/>
      <c r="J112" s="234"/>
      <c r="K112" s="234"/>
      <c r="L112" s="234"/>
      <c r="M112" s="234"/>
      <c r="N112" s="234"/>
      <c r="O112" s="234"/>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algorithmName="SHA-512" hashValue="WPE53n6Vjc1PntX9105pLcaeZ1fk0VCG1bNtUf31euBFTF0MDg6bmv/UdtY9hjQ2RQwRpr2XzMu2HmpLIKMpaQ==" saltValue="iU9UT5eutO84RzUw/SUsRA=="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83"/>
  <sheetViews>
    <sheetView showGridLines="0" tabSelected="1"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87" width="15.7109375" customWidth="1"/>
  </cols>
  <sheetData>
    <row r="1" spans="1:87" ht="18.600000000000001" customHeight="1">
      <c r="A1" s="100" t="s">
        <v>224</v>
      </c>
      <c r="C1" s="16" t="s">
        <v>219</v>
      </c>
      <c r="D1" s="16"/>
      <c r="E1" s="3"/>
      <c r="F1" s="3"/>
      <c r="G1" s="3"/>
      <c r="H1" s="4"/>
      <c r="I1" s="1"/>
      <c r="J1" s="1"/>
      <c r="K1" s="1"/>
      <c r="L1" s="1"/>
      <c r="M1" s="1"/>
      <c r="N1" s="1"/>
      <c r="O1" s="1"/>
      <c r="P1" s="98" t="s">
        <v>211</v>
      </c>
      <c r="Q1" s="1"/>
      <c r="S1" s="1"/>
      <c r="T1" s="1"/>
      <c r="U1" s="1"/>
    </row>
    <row r="2" spans="1:87" ht="18.75">
      <c r="C2" s="3"/>
      <c r="D2" s="3"/>
      <c r="E2" s="3"/>
      <c r="F2" s="3"/>
      <c r="G2" s="3"/>
      <c r="H2" s="4"/>
      <c r="I2" s="1"/>
      <c r="J2" s="1"/>
      <c r="K2" s="1"/>
      <c r="L2" s="1"/>
      <c r="M2" s="1"/>
      <c r="N2" s="1"/>
      <c r="O2" s="1"/>
      <c r="P2" s="98" t="s">
        <v>212</v>
      </c>
      <c r="Q2" s="1"/>
      <c r="S2" s="1"/>
      <c r="T2" s="1"/>
      <c r="U2" s="1"/>
    </row>
    <row r="3" spans="1:87" ht="18.75">
      <c r="C3" s="96" t="s">
        <v>5</v>
      </c>
      <c r="D3" s="93" t="str">
        <f>IF('Wksh 1 - Market Experience'!C3&lt;&gt;"", 'Wksh 1 - Market Experience'!C3,"")</f>
        <v>Alliant Health Plans</v>
      </c>
      <c r="F3" s="6"/>
      <c r="G3" s="6"/>
      <c r="J3" s="1"/>
      <c r="K3" s="1"/>
      <c r="P3" s="99" t="s">
        <v>213</v>
      </c>
    </row>
    <row r="4" spans="1:87" ht="18.75">
      <c r="C4" s="97" t="s">
        <v>6</v>
      </c>
      <c r="D4" s="94">
        <f>IF('Wksh 1 - Market Experience'!C4&lt;&gt;"", 'Wksh 1 - Market Experience'!C4,"")</f>
        <v>83761</v>
      </c>
      <c r="E4" s="96" t="s">
        <v>7</v>
      </c>
      <c r="F4" s="101" t="str">
        <f>IF('Wksh 1 - Market Experience'!E4&lt;&gt;"",'Wksh 1 - Market Experience'!E4,"")</f>
        <v>GA</v>
      </c>
      <c r="G4" s="7"/>
      <c r="J4" s="1"/>
      <c r="K4" s="1"/>
      <c r="P4" s="99" t="s">
        <v>214</v>
      </c>
    </row>
    <row r="5" spans="1:87" ht="15.75">
      <c r="C5" s="96" t="s">
        <v>14</v>
      </c>
      <c r="D5" s="95">
        <f>IF('Wksh 1 - Market Experience'!C5&lt;&gt;"", 'Wksh 1 - Market Experience'!C5,"")</f>
        <v>45292</v>
      </c>
      <c r="E5" s="96" t="s">
        <v>9</v>
      </c>
      <c r="F5" s="101" t="str">
        <f>IF('Wksh 1 - Market Experience'!E5&lt;&gt;"",'Wksh 1 - Market Experience'!E5,"")</f>
        <v>Individual</v>
      </c>
      <c r="G5" s="1"/>
      <c r="H5" s="1"/>
      <c r="I5" s="1"/>
      <c r="J5" s="1"/>
      <c r="K5" s="1"/>
      <c r="L5" s="1"/>
      <c r="P5" s="99" t="s">
        <v>221</v>
      </c>
    </row>
    <row r="6" spans="1:87">
      <c r="C6" s="1"/>
      <c r="D6" s="1"/>
      <c r="E6" s="1"/>
      <c r="F6" s="1"/>
      <c r="G6" s="1"/>
      <c r="H6" s="2"/>
      <c r="I6" s="1"/>
      <c r="J6" s="1"/>
      <c r="K6" s="1"/>
      <c r="L6" s="1"/>
      <c r="M6" s="1"/>
      <c r="N6" s="1"/>
      <c r="O6" s="1"/>
      <c r="P6" s="99" t="s">
        <v>222</v>
      </c>
      <c r="Q6" s="1"/>
      <c r="R6" s="1"/>
      <c r="S6" s="1"/>
      <c r="T6" s="1"/>
      <c r="U6" s="1"/>
    </row>
    <row r="7" spans="1:87">
      <c r="C7" s="254" t="s">
        <v>15</v>
      </c>
      <c r="D7" s="255"/>
      <c r="E7" s="255"/>
      <c r="F7" s="255"/>
      <c r="G7" s="255"/>
      <c r="H7" s="255"/>
      <c r="I7" s="255"/>
      <c r="J7" s="255"/>
      <c r="K7" s="255"/>
      <c r="L7" s="255"/>
      <c r="M7" s="255"/>
      <c r="N7" s="255"/>
      <c r="O7" s="255"/>
      <c r="P7" s="255"/>
      <c r="Q7" s="255"/>
      <c r="R7" s="255"/>
      <c r="S7" s="255"/>
      <c r="T7" s="255"/>
      <c r="U7" s="255"/>
      <c r="V7" s="256"/>
    </row>
    <row r="8" spans="1:87">
      <c r="C8" s="257"/>
      <c r="D8" s="258"/>
      <c r="E8" s="258"/>
      <c r="F8" s="258"/>
      <c r="G8" s="258"/>
      <c r="H8" s="258"/>
      <c r="I8" s="258"/>
      <c r="J8" s="258"/>
      <c r="K8" s="258"/>
      <c r="L8" s="258"/>
      <c r="M8" s="258"/>
      <c r="N8" s="258"/>
      <c r="O8" s="258"/>
      <c r="P8" s="258"/>
      <c r="Q8" s="258"/>
      <c r="R8" s="258"/>
      <c r="S8" s="258"/>
      <c r="T8" s="258"/>
      <c r="U8" s="258"/>
      <c r="V8" s="259"/>
    </row>
    <row r="9" spans="1:87">
      <c r="B9" t="s">
        <v>103</v>
      </c>
      <c r="C9" s="19" t="s">
        <v>77</v>
      </c>
      <c r="D9" s="19"/>
      <c r="E9" s="17"/>
      <c r="F9" s="17"/>
      <c r="G9" s="17"/>
      <c r="H9" s="18"/>
      <c r="I9" s="17"/>
      <c r="J9" s="17"/>
      <c r="K9" s="17"/>
      <c r="L9" s="17"/>
      <c r="M9" s="17"/>
      <c r="N9" s="17"/>
      <c r="O9" s="17"/>
      <c r="P9" s="17"/>
      <c r="Q9" s="17"/>
      <c r="R9" s="17"/>
      <c r="S9" s="17"/>
      <c r="T9" s="17"/>
      <c r="U9" s="17"/>
    </row>
    <row r="10" spans="1:87" ht="15" customHeight="1">
      <c r="B10" s="146" t="s">
        <v>153</v>
      </c>
      <c r="C10" s="168" t="s">
        <v>104</v>
      </c>
      <c r="D10" s="220"/>
      <c r="E10" s="260" t="s">
        <v>230</v>
      </c>
      <c r="F10" s="261"/>
      <c r="G10" s="261"/>
      <c r="H10" s="261"/>
      <c r="I10" s="261"/>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c r="AL10" s="261"/>
      <c r="AM10" s="261"/>
      <c r="AN10" s="261"/>
      <c r="AO10" s="261"/>
      <c r="AP10" s="261"/>
      <c r="AQ10" s="261"/>
      <c r="AR10" s="261"/>
      <c r="AS10" s="261"/>
      <c r="AT10" s="261"/>
      <c r="AU10" s="261"/>
      <c r="AV10" s="261"/>
      <c r="AW10" s="262"/>
      <c r="AX10" s="260" t="s">
        <v>231</v>
      </c>
      <c r="AY10" s="261"/>
      <c r="AZ10" s="261"/>
      <c r="BA10" s="261"/>
      <c r="BB10" s="261"/>
      <c r="BC10" s="261"/>
      <c r="BD10" s="261"/>
      <c r="BE10" s="261"/>
      <c r="BF10" s="261"/>
      <c r="BG10" s="261"/>
      <c r="BH10" s="261"/>
      <c r="BI10" s="261"/>
      <c r="BJ10" s="261"/>
      <c r="BK10" s="261"/>
      <c r="BL10" s="261"/>
      <c r="BM10" s="261"/>
      <c r="BN10" s="261"/>
      <c r="BO10" s="261"/>
      <c r="BP10" s="261"/>
      <c r="BQ10" s="261"/>
      <c r="BR10" s="261"/>
      <c r="BS10" s="261"/>
      <c r="BT10" s="261"/>
      <c r="BU10" s="261"/>
      <c r="BV10" s="261"/>
      <c r="BW10" s="261"/>
      <c r="BX10" s="261"/>
      <c r="BY10" s="261"/>
      <c r="BZ10" s="261"/>
      <c r="CA10" s="261"/>
      <c r="CB10" s="261"/>
      <c r="CC10" s="261"/>
      <c r="CD10" s="261"/>
      <c r="CE10" s="261"/>
      <c r="CF10" s="261"/>
      <c r="CG10" s="261"/>
      <c r="CH10" s="261"/>
      <c r="CI10" s="262"/>
    </row>
    <row r="11" spans="1:87" ht="15" customHeight="1">
      <c r="B11" s="146" t="s">
        <v>154</v>
      </c>
      <c r="C11" s="168" t="s">
        <v>105</v>
      </c>
      <c r="D11" s="221"/>
      <c r="E11" s="260" t="s">
        <v>232</v>
      </c>
      <c r="F11" s="261"/>
      <c r="G11" s="261"/>
      <c r="H11" s="261"/>
      <c r="I11" s="261"/>
      <c r="J11" s="261"/>
      <c r="K11" s="261"/>
      <c r="L11" s="261"/>
      <c r="M11" s="261"/>
      <c r="N11" s="261"/>
      <c r="O11" s="261"/>
      <c r="P11" s="261"/>
      <c r="Q11" s="261"/>
      <c r="R11" s="261"/>
      <c r="S11" s="261"/>
      <c r="T11" s="261"/>
      <c r="U11" s="261"/>
      <c r="V11" s="261"/>
      <c r="W11" s="261"/>
      <c r="X11" s="261"/>
      <c r="Y11" s="261"/>
      <c r="Z11" s="261"/>
      <c r="AA11" s="261"/>
      <c r="AB11" s="261"/>
      <c r="AC11" s="261"/>
      <c r="AD11" s="261"/>
      <c r="AE11" s="261"/>
      <c r="AF11" s="261"/>
      <c r="AG11" s="261"/>
      <c r="AH11" s="261"/>
      <c r="AI11" s="261"/>
      <c r="AJ11" s="261"/>
      <c r="AK11" s="261"/>
      <c r="AL11" s="261"/>
      <c r="AM11" s="261"/>
      <c r="AN11" s="261"/>
      <c r="AO11" s="261"/>
      <c r="AP11" s="261"/>
      <c r="AQ11" s="261"/>
      <c r="AR11" s="261"/>
      <c r="AS11" s="261"/>
      <c r="AT11" s="261"/>
      <c r="AU11" s="261"/>
      <c r="AV11" s="261"/>
      <c r="AW11" s="262"/>
      <c r="AX11" s="260" t="s">
        <v>233</v>
      </c>
      <c r="AY11" s="261"/>
      <c r="AZ11" s="261"/>
      <c r="BA11" s="261"/>
      <c r="BB11" s="261"/>
      <c r="BC11" s="261"/>
      <c r="BD11" s="261"/>
      <c r="BE11" s="261"/>
      <c r="BF11" s="261"/>
      <c r="BG11" s="261"/>
      <c r="BH11" s="261"/>
      <c r="BI11" s="261"/>
      <c r="BJ11" s="261"/>
      <c r="BK11" s="261"/>
      <c r="BL11" s="261"/>
      <c r="BM11" s="261"/>
      <c r="BN11" s="261"/>
      <c r="BO11" s="261"/>
      <c r="BP11" s="261"/>
      <c r="BQ11" s="261"/>
      <c r="BR11" s="261"/>
      <c r="BS11" s="261"/>
      <c r="BT11" s="261"/>
      <c r="BU11" s="261"/>
      <c r="BV11" s="261"/>
      <c r="BW11" s="261"/>
      <c r="BX11" s="261"/>
      <c r="BY11" s="261"/>
      <c r="BZ11" s="261"/>
      <c r="CA11" s="261"/>
      <c r="CB11" s="261"/>
      <c r="CC11" s="261"/>
      <c r="CD11" s="261"/>
      <c r="CE11" s="261"/>
      <c r="CF11" s="261"/>
      <c r="CG11" s="261"/>
      <c r="CH11" s="261"/>
      <c r="CI11" s="262"/>
    </row>
    <row r="12" spans="1:87" ht="15" customHeight="1">
      <c r="B12" s="146" t="s">
        <v>155</v>
      </c>
      <c r="C12" s="168" t="s">
        <v>10</v>
      </c>
      <c r="D12" s="221"/>
      <c r="E12" s="179" t="s">
        <v>234</v>
      </c>
      <c r="F12" s="179" t="s">
        <v>235</v>
      </c>
      <c r="G12" s="179" t="s">
        <v>236</v>
      </c>
      <c r="H12" s="179" t="s">
        <v>238</v>
      </c>
      <c r="I12" s="179" t="s">
        <v>239</v>
      </c>
      <c r="J12" s="179" t="s">
        <v>240</v>
      </c>
      <c r="K12" s="179" t="s">
        <v>242</v>
      </c>
      <c r="L12" s="179" t="s">
        <v>243</v>
      </c>
      <c r="M12" s="179" t="s">
        <v>247</v>
      </c>
      <c r="N12" s="179" t="s">
        <v>249</v>
      </c>
      <c r="O12" s="179" t="s">
        <v>252</v>
      </c>
      <c r="P12" s="179" t="s">
        <v>255</v>
      </c>
      <c r="Q12" s="179" t="s">
        <v>259</v>
      </c>
      <c r="R12" s="179" t="s">
        <v>260</v>
      </c>
      <c r="S12" s="179" t="s">
        <v>261</v>
      </c>
      <c r="T12" s="179" t="s">
        <v>262</v>
      </c>
      <c r="U12" s="179" t="s">
        <v>414</v>
      </c>
      <c r="V12" s="179" t="s">
        <v>263</v>
      </c>
      <c r="W12" s="179" t="s">
        <v>264</v>
      </c>
      <c r="X12" s="179" t="s">
        <v>265</v>
      </c>
      <c r="Y12" s="179" t="s">
        <v>415</v>
      </c>
      <c r="Z12" s="179" t="s">
        <v>266</v>
      </c>
      <c r="AA12" s="179" t="s">
        <v>267</v>
      </c>
      <c r="AB12" s="179" t="s">
        <v>268</v>
      </c>
      <c r="AC12" s="179" t="s">
        <v>269</v>
      </c>
      <c r="AD12" s="179" t="s">
        <v>270</v>
      </c>
      <c r="AE12" s="179" t="s">
        <v>271</v>
      </c>
      <c r="AF12" s="179" t="s">
        <v>276</v>
      </c>
      <c r="AG12" s="179" t="s">
        <v>272</v>
      </c>
      <c r="AH12" s="179" t="s">
        <v>273</v>
      </c>
      <c r="AI12" s="179" t="s">
        <v>274</v>
      </c>
      <c r="AJ12" s="179" t="s">
        <v>275</v>
      </c>
      <c r="AK12" s="179" t="s">
        <v>237</v>
      </c>
      <c r="AL12" s="179" t="s">
        <v>241</v>
      </c>
      <c r="AM12" s="179" t="s">
        <v>244</v>
      </c>
      <c r="AN12" s="179" t="s">
        <v>245</v>
      </c>
      <c r="AO12" s="179" t="s">
        <v>246</v>
      </c>
      <c r="AP12" s="179" t="s">
        <v>248</v>
      </c>
      <c r="AQ12" s="179" t="s">
        <v>250</v>
      </c>
      <c r="AR12" s="179" t="s">
        <v>251</v>
      </c>
      <c r="AS12" s="179" t="s">
        <v>253</v>
      </c>
      <c r="AT12" s="179" t="s">
        <v>254</v>
      </c>
      <c r="AU12" s="179" t="s">
        <v>256</v>
      </c>
      <c r="AV12" s="179" t="s">
        <v>257</v>
      </c>
      <c r="AW12" s="179" t="s">
        <v>258</v>
      </c>
      <c r="AX12" s="179" t="s">
        <v>277</v>
      </c>
      <c r="AY12" s="179" t="s">
        <v>278</v>
      </c>
      <c r="AZ12" s="179" t="s">
        <v>279</v>
      </c>
      <c r="BA12" s="179" t="s">
        <v>280</v>
      </c>
      <c r="BB12" s="179" t="s">
        <v>286</v>
      </c>
      <c r="BC12" s="179" t="s">
        <v>288</v>
      </c>
      <c r="BD12" s="179" t="s">
        <v>289</v>
      </c>
      <c r="BE12" s="179" t="s">
        <v>290</v>
      </c>
      <c r="BF12" s="179" t="s">
        <v>291</v>
      </c>
      <c r="BG12" s="179" t="s">
        <v>292</v>
      </c>
      <c r="BH12" s="179" t="s">
        <v>293</v>
      </c>
      <c r="BI12" s="179" t="s">
        <v>416</v>
      </c>
      <c r="BJ12" s="179" t="s">
        <v>294</v>
      </c>
      <c r="BK12" s="179" t="s">
        <v>295</v>
      </c>
      <c r="BL12" s="179" t="s">
        <v>296</v>
      </c>
      <c r="BM12" s="179" t="s">
        <v>297</v>
      </c>
      <c r="BN12" s="179" t="s">
        <v>298</v>
      </c>
      <c r="BO12" s="179" t="s">
        <v>299</v>
      </c>
      <c r="BP12" s="179" t="s">
        <v>300</v>
      </c>
      <c r="BQ12" s="179" t="s">
        <v>301</v>
      </c>
      <c r="BR12" s="179" t="s">
        <v>302</v>
      </c>
      <c r="BS12" s="179" t="s">
        <v>417</v>
      </c>
      <c r="BT12" s="179" t="s">
        <v>303</v>
      </c>
      <c r="BU12" s="179" t="s">
        <v>304</v>
      </c>
      <c r="BV12" s="179" t="s">
        <v>305</v>
      </c>
      <c r="BW12" s="179" t="s">
        <v>306</v>
      </c>
      <c r="BX12" s="179" t="s">
        <v>307</v>
      </c>
      <c r="BY12" s="179" t="s">
        <v>308</v>
      </c>
      <c r="BZ12" s="179" t="s">
        <v>309</v>
      </c>
      <c r="CA12" s="179" t="s">
        <v>310</v>
      </c>
      <c r="CB12" s="179" t="s">
        <v>311</v>
      </c>
      <c r="CC12" s="179" t="s">
        <v>312</v>
      </c>
      <c r="CD12" s="179" t="s">
        <v>281</v>
      </c>
      <c r="CE12" s="179" t="s">
        <v>282</v>
      </c>
      <c r="CF12" s="179" t="s">
        <v>283</v>
      </c>
      <c r="CG12" s="179" t="s">
        <v>284</v>
      </c>
      <c r="CH12" s="179" t="s">
        <v>285</v>
      </c>
      <c r="CI12" s="179" t="s">
        <v>287</v>
      </c>
    </row>
    <row r="13" spans="1:87" ht="15" customHeight="1">
      <c r="B13" s="146" t="s">
        <v>156</v>
      </c>
      <c r="C13" s="168" t="s">
        <v>106</v>
      </c>
      <c r="D13" s="221"/>
      <c r="E13" s="180" t="s">
        <v>313</v>
      </c>
      <c r="F13" s="180" t="s">
        <v>314</v>
      </c>
      <c r="G13" s="180" t="s">
        <v>315</v>
      </c>
      <c r="H13" s="180" t="s">
        <v>317</v>
      </c>
      <c r="I13" s="180" t="s">
        <v>318</v>
      </c>
      <c r="J13" s="180" t="s">
        <v>319</v>
      </c>
      <c r="K13" s="180" t="s">
        <v>321</v>
      </c>
      <c r="L13" s="180" t="s">
        <v>322</v>
      </c>
      <c r="M13" s="180" t="s">
        <v>326</v>
      </c>
      <c r="N13" s="180" t="s">
        <v>328</v>
      </c>
      <c r="O13" s="180" t="s">
        <v>331</v>
      </c>
      <c r="P13" s="180" t="s">
        <v>334</v>
      </c>
      <c r="Q13" s="180" t="s">
        <v>338</v>
      </c>
      <c r="R13" s="180" t="s">
        <v>339</v>
      </c>
      <c r="S13" s="180" t="s">
        <v>340</v>
      </c>
      <c r="T13" s="180" t="s">
        <v>341</v>
      </c>
      <c r="U13" s="180" t="s">
        <v>342</v>
      </c>
      <c r="V13" s="180" t="s">
        <v>343</v>
      </c>
      <c r="W13" s="180" t="s">
        <v>344</v>
      </c>
      <c r="X13" s="180" t="s">
        <v>345</v>
      </c>
      <c r="Y13" s="180" t="s">
        <v>346</v>
      </c>
      <c r="Z13" s="180" t="s">
        <v>347</v>
      </c>
      <c r="AA13" s="180" t="s">
        <v>348</v>
      </c>
      <c r="AB13" s="180" t="s">
        <v>349</v>
      </c>
      <c r="AC13" s="180" t="s">
        <v>350</v>
      </c>
      <c r="AD13" s="180" t="s">
        <v>351</v>
      </c>
      <c r="AE13" s="180" t="s">
        <v>352</v>
      </c>
      <c r="AF13" s="180" t="s">
        <v>357</v>
      </c>
      <c r="AG13" s="180" t="s">
        <v>353</v>
      </c>
      <c r="AH13" s="180" t="s">
        <v>354</v>
      </c>
      <c r="AI13" s="180" t="s">
        <v>355</v>
      </c>
      <c r="AJ13" s="180" t="s">
        <v>356</v>
      </c>
      <c r="AK13" s="180" t="s">
        <v>316</v>
      </c>
      <c r="AL13" s="180" t="s">
        <v>320</v>
      </c>
      <c r="AM13" s="180" t="s">
        <v>323</v>
      </c>
      <c r="AN13" s="180" t="s">
        <v>324</v>
      </c>
      <c r="AO13" s="180" t="s">
        <v>325</v>
      </c>
      <c r="AP13" s="180" t="s">
        <v>327</v>
      </c>
      <c r="AQ13" s="180" t="s">
        <v>329</v>
      </c>
      <c r="AR13" s="180" t="s">
        <v>330</v>
      </c>
      <c r="AS13" s="180" t="s">
        <v>332</v>
      </c>
      <c r="AT13" s="180" t="s">
        <v>333</v>
      </c>
      <c r="AU13" s="180" t="s">
        <v>335</v>
      </c>
      <c r="AV13" s="180" t="s">
        <v>336</v>
      </c>
      <c r="AW13" s="180" t="s">
        <v>337</v>
      </c>
      <c r="AX13" s="180" t="s">
        <v>358</v>
      </c>
      <c r="AY13" s="180" t="s">
        <v>359</v>
      </c>
      <c r="AZ13" s="180" t="s">
        <v>360</v>
      </c>
      <c r="BA13" s="180" t="s">
        <v>361</v>
      </c>
      <c r="BB13" s="180" t="s">
        <v>367</v>
      </c>
      <c r="BC13" s="180" t="s">
        <v>369</v>
      </c>
      <c r="BD13" s="180" t="s">
        <v>370</v>
      </c>
      <c r="BE13" s="180" t="s">
        <v>371</v>
      </c>
      <c r="BF13" s="180" t="s">
        <v>372</v>
      </c>
      <c r="BG13" s="180" t="s">
        <v>373</v>
      </c>
      <c r="BH13" s="180" t="s">
        <v>374</v>
      </c>
      <c r="BI13" s="180" t="s">
        <v>375</v>
      </c>
      <c r="BJ13" s="180" t="s">
        <v>376</v>
      </c>
      <c r="BK13" s="180" t="s">
        <v>377</v>
      </c>
      <c r="BL13" s="180" t="s">
        <v>378</v>
      </c>
      <c r="BM13" s="180" t="s">
        <v>379</v>
      </c>
      <c r="BN13" s="180" t="s">
        <v>380</v>
      </c>
      <c r="BO13" s="180" t="s">
        <v>381</v>
      </c>
      <c r="BP13" s="180" t="s">
        <v>382</v>
      </c>
      <c r="BQ13" s="180" t="s">
        <v>383</v>
      </c>
      <c r="BR13" s="180" t="s">
        <v>384</v>
      </c>
      <c r="BS13" s="180" t="s">
        <v>385</v>
      </c>
      <c r="BT13" s="180" t="s">
        <v>386</v>
      </c>
      <c r="BU13" s="180" t="s">
        <v>387</v>
      </c>
      <c r="BV13" s="180" t="s">
        <v>388</v>
      </c>
      <c r="BW13" s="180" t="s">
        <v>389</v>
      </c>
      <c r="BX13" s="180" t="s">
        <v>390</v>
      </c>
      <c r="BY13" s="180" t="s">
        <v>391</v>
      </c>
      <c r="BZ13" s="180" t="s">
        <v>392</v>
      </c>
      <c r="CA13" s="180" t="s">
        <v>393</v>
      </c>
      <c r="CB13" s="180" t="s">
        <v>394</v>
      </c>
      <c r="CC13" s="180" t="s">
        <v>395</v>
      </c>
      <c r="CD13" s="180" t="s">
        <v>362</v>
      </c>
      <c r="CE13" s="180" t="s">
        <v>363</v>
      </c>
      <c r="CF13" s="180" t="s">
        <v>364</v>
      </c>
      <c r="CG13" s="180" t="s">
        <v>365</v>
      </c>
      <c r="CH13" s="180" t="s">
        <v>366</v>
      </c>
      <c r="CI13" s="180" t="s">
        <v>368</v>
      </c>
    </row>
    <row r="14" spans="1:87" ht="15" customHeight="1">
      <c r="B14" s="146" t="s">
        <v>157</v>
      </c>
      <c r="C14" s="168" t="s">
        <v>107</v>
      </c>
      <c r="D14" s="221"/>
      <c r="E14" s="181" t="s">
        <v>138</v>
      </c>
      <c r="F14" s="181" t="s">
        <v>139</v>
      </c>
      <c r="G14" s="181" t="s">
        <v>139</v>
      </c>
      <c r="H14" s="181" t="s">
        <v>138</v>
      </c>
      <c r="I14" s="181" t="s">
        <v>138</v>
      </c>
      <c r="J14" s="181" t="s">
        <v>139</v>
      </c>
      <c r="K14" s="181" t="s">
        <v>138</v>
      </c>
      <c r="L14" s="181" t="s">
        <v>139</v>
      </c>
      <c r="M14" s="181" t="s">
        <v>138</v>
      </c>
      <c r="N14" s="181" t="s">
        <v>138</v>
      </c>
      <c r="O14" s="181" t="s">
        <v>139</v>
      </c>
      <c r="P14" s="181" t="s">
        <v>139</v>
      </c>
      <c r="Q14" s="181" t="s">
        <v>137</v>
      </c>
      <c r="R14" s="181" t="s">
        <v>138</v>
      </c>
      <c r="S14" s="181" t="s">
        <v>139</v>
      </c>
      <c r="T14" s="181" t="s">
        <v>137</v>
      </c>
      <c r="U14" s="181" t="s">
        <v>140</v>
      </c>
      <c r="V14" s="181" t="s">
        <v>140</v>
      </c>
      <c r="W14" s="181" t="s">
        <v>141</v>
      </c>
      <c r="X14" s="181" t="s">
        <v>139</v>
      </c>
      <c r="Y14" s="181" t="s">
        <v>140</v>
      </c>
      <c r="Z14" s="181" t="s">
        <v>140</v>
      </c>
      <c r="AA14" s="181" t="s">
        <v>138</v>
      </c>
      <c r="AB14" s="181" t="s">
        <v>138</v>
      </c>
      <c r="AC14" s="181" t="s">
        <v>139</v>
      </c>
      <c r="AD14" s="181" t="s">
        <v>141</v>
      </c>
      <c r="AE14" s="181" t="s">
        <v>140</v>
      </c>
      <c r="AF14" s="181" t="s">
        <v>137</v>
      </c>
      <c r="AG14" s="181" t="s">
        <v>137</v>
      </c>
      <c r="AH14" s="181" t="s">
        <v>138</v>
      </c>
      <c r="AI14" s="181" t="s">
        <v>139</v>
      </c>
      <c r="AJ14" s="181" t="s">
        <v>140</v>
      </c>
      <c r="AK14" s="181" t="s">
        <v>137</v>
      </c>
      <c r="AL14" s="181" t="s">
        <v>139</v>
      </c>
      <c r="AM14" s="181" t="s">
        <v>137</v>
      </c>
      <c r="AN14" s="181" t="s">
        <v>137</v>
      </c>
      <c r="AO14" s="181" t="s">
        <v>138</v>
      </c>
      <c r="AP14" s="181" t="s">
        <v>138</v>
      </c>
      <c r="AQ14" s="181" t="s">
        <v>139</v>
      </c>
      <c r="AR14" s="181" t="s">
        <v>139</v>
      </c>
      <c r="AS14" s="181" t="s">
        <v>139</v>
      </c>
      <c r="AT14" s="181" t="s">
        <v>139</v>
      </c>
      <c r="AU14" s="181" t="s">
        <v>139</v>
      </c>
      <c r="AV14" s="181" t="s">
        <v>139</v>
      </c>
      <c r="AW14" s="181" t="s">
        <v>139</v>
      </c>
      <c r="AX14" s="181" t="s">
        <v>138</v>
      </c>
      <c r="AY14" s="181" t="s">
        <v>138</v>
      </c>
      <c r="AZ14" s="181" t="s">
        <v>139</v>
      </c>
      <c r="BA14" s="181" t="s">
        <v>139</v>
      </c>
      <c r="BB14" s="181" t="s">
        <v>140</v>
      </c>
      <c r="BC14" s="181" t="s">
        <v>141</v>
      </c>
      <c r="BD14" s="181" t="s">
        <v>138</v>
      </c>
      <c r="BE14" s="181" t="s">
        <v>139</v>
      </c>
      <c r="BF14" s="181" t="s">
        <v>140</v>
      </c>
      <c r="BG14" s="181" t="s">
        <v>137</v>
      </c>
      <c r="BH14" s="181" t="s">
        <v>139</v>
      </c>
      <c r="BI14" s="181" t="s">
        <v>140</v>
      </c>
      <c r="BJ14" s="181" t="s">
        <v>138</v>
      </c>
      <c r="BK14" s="181" t="s">
        <v>138</v>
      </c>
      <c r="BL14" s="181" t="s">
        <v>139</v>
      </c>
      <c r="BM14" s="181" t="s">
        <v>137</v>
      </c>
      <c r="BN14" s="181" t="s">
        <v>138</v>
      </c>
      <c r="BO14" s="181" t="s">
        <v>138</v>
      </c>
      <c r="BP14" s="181" t="s">
        <v>139</v>
      </c>
      <c r="BQ14" s="181" t="s">
        <v>139</v>
      </c>
      <c r="BR14" s="181" t="s">
        <v>139</v>
      </c>
      <c r="BS14" s="181" t="s">
        <v>140</v>
      </c>
      <c r="BT14" s="181" t="s">
        <v>140</v>
      </c>
      <c r="BU14" s="181" t="s">
        <v>138</v>
      </c>
      <c r="BV14" s="181" t="s">
        <v>138</v>
      </c>
      <c r="BW14" s="181" t="s">
        <v>139</v>
      </c>
      <c r="BX14" s="181" t="s">
        <v>141</v>
      </c>
      <c r="BY14" s="181" t="s">
        <v>137</v>
      </c>
      <c r="BZ14" s="181" t="s">
        <v>137</v>
      </c>
      <c r="CA14" s="181" t="s">
        <v>138</v>
      </c>
      <c r="CB14" s="181" t="s">
        <v>139</v>
      </c>
      <c r="CC14" s="181" t="s">
        <v>140</v>
      </c>
      <c r="CD14" s="181" t="s">
        <v>139</v>
      </c>
      <c r="CE14" s="181" t="s">
        <v>140</v>
      </c>
      <c r="CF14" s="181" t="s">
        <v>140</v>
      </c>
      <c r="CG14" s="181" t="s">
        <v>140</v>
      </c>
      <c r="CH14" s="181" t="s">
        <v>140</v>
      </c>
      <c r="CI14" s="181" t="s">
        <v>140</v>
      </c>
    </row>
    <row r="15" spans="1:87" ht="15" customHeight="1">
      <c r="B15" s="146" t="s">
        <v>158</v>
      </c>
      <c r="C15" s="168" t="s">
        <v>26</v>
      </c>
      <c r="D15" s="221"/>
      <c r="E15" s="182">
        <v>0.80293372410682895</v>
      </c>
      <c r="F15" s="182">
        <v>0.71529109856185102</v>
      </c>
      <c r="G15" s="182">
        <v>0.71200511536298094</v>
      </c>
      <c r="H15" s="182">
        <v>0.78493296038712301</v>
      </c>
      <c r="I15" s="182">
        <v>0.81221076152105498</v>
      </c>
      <c r="J15" s="182">
        <v>0.71848123369910599</v>
      </c>
      <c r="K15" s="182">
        <v>0.80894064690493805</v>
      </c>
      <c r="L15" s="182">
        <v>0.69368400063327895</v>
      </c>
      <c r="M15" s="182">
        <v>0.80293372410682895</v>
      </c>
      <c r="N15" s="182">
        <v>0.81221076152105498</v>
      </c>
      <c r="O15" s="182">
        <v>0.71200511536298094</v>
      </c>
      <c r="P15" s="182">
        <v>0.71848123369910599</v>
      </c>
      <c r="Q15" s="182">
        <v>0.88100660952180698</v>
      </c>
      <c r="R15" s="182">
        <v>0.78018511643967503</v>
      </c>
      <c r="S15" s="182">
        <v>0.70014949725724396</v>
      </c>
      <c r="T15" s="182">
        <v>0.91176892127573805</v>
      </c>
      <c r="U15" s="182">
        <v>0.64580000000000004</v>
      </c>
      <c r="V15" s="182">
        <v>0.64941940468421999</v>
      </c>
      <c r="W15" s="182">
        <v>0.62647429968786805</v>
      </c>
      <c r="X15" s="182">
        <v>0.71529109856185102</v>
      </c>
      <c r="Y15" s="182">
        <v>0.64580000000000004</v>
      </c>
      <c r="Z15" s="182">
        <v>0.64941940468421999</v>
      </c>
      <c r="AA15" s="182">
        <v>0.78493296038712301</v>
      </c>
      <c r="AB15" s="182">
        <v>0.80894064690493805</v>
      </c>
      <c r="AC15" s="182">
        <v>0.69368400063327895</v>
      </c>
      <c r="AD15" s="182">
        <v>0.62647429968786805</v>
      </c>
      <c r="AE15" s="182">
        <v>0.64385514697795698</v>
      </c>
      <c r="AF15" s="182">
        <v>0.91176892127573805</v>
      </c>
      <c r="AG15" s="182">
        <v>0.88100660952180698</v>
      </c>
      <c r="AH15" s="182">
        <v>0.78018511643967503</v>
      </c>
      <c r="AI15" s="182">
        <v>0.70014949725724396</v>
      </c>
      <c r="AJ15" s="182">
        <v>0.64385514697795698</v>
      </c>
      <c r="AK15" s="182">
        <v>0.88100000000000001</v>
      </c>
      <c r="AL15" s="182">
        <v>0.71499999999999997</v>
      </c>
      <c r="AM15" s="182">
        <v>0.88100000000000001</v>
      </c>
      <c r="AN15" s="182">
        <v>0.88100000000000001</v>
      </c>
      <c r="AO15" s="182">
        <v>0.8</v>
      </c>
      <c r="AP15" s="182">
        <v>0.82</v>
      </c>
      <c r="AQ15" s="182">
        <v>0.68600000000000005</v>
      </c>
      <c r="AR15" s="182">
        <v>0.70099999999999996</v>
      </c>
      <c r="AS15" s="182">
        <v>0.71499999999999997</v>
      </c>
      <c r="AT15" s="182">
        <v>0.71699999999999997</v>
      </c>
      <c r="AU15" s="182">
        <v>0.71399999999999997</v>
      </c>
      <c r="AV15" s="182">
        <v>0.71499999999999997</v>
      </c>
      <c r="AW15" s="182">
        <v>0.71499999999999997</v>
      </c>
      <c r="AX15" s="182">
        <v>0.80293372410682895</v>
      </c>
      <c r="AY15" s="182">
        <v>0.81221076152105498</v>
      </c>
      <c r="AZ15" s="182">
        <v>0.71200511536298094</v>
      </c>
      <c r="BA15" s="182">
        <v>0.71848123369910599</v>
      </c>
      <c r="BB15" s="182">
        <v>0.64941940468421999</v>
      </c>
      <c r="BC15" s="182">
        <v>0.62647429968786805</v>
      </c>
      <c r="BD15" s="182">
        <v>0.78018511643967503</v>
      </c>
      <c r="BE15" s="182">
        <v>0.70014949725724396</v>
      </c>
      <c r="BF15" s="182">
        <v>0.64385514697795698</v>
      </c>
      <c r="BG15" s="182">
        <v>0.91176892127573805</v>
      </c>
      <c r="BH15" s="182">
        <v>0.71529109856185102</v>
      </c>
      <c r="BI15" s="182">
        <v>0.64580000000000004</v>
      </c>
      <c r="BJ15" s="182">
        <v>0.78493296038712301</v>
      </c>
      <c r="BK15" s="182">
        <v>0.80894064690493805</v>
      </c>
      <c r="BL15" s="182">
        <v>0.69368400063327895</v>
      </c>
      <c r="BM15" s="182">
        <v>0.91176892127573805</v>
      </c>
      <c r="BN15" s="182">
        <v>0.80293372410682895</v>
      </c>
      <c r="BO15" s="182">
        <v>0.81221076152105498</v>
      </c>
      <c r="BP15" s="182">
        <v>0.71529109856185102</v>
      </c>
      <c r="BQ15" s="182">
        <v>0.71200511536298094</v>
      </c>
      <c r="BR15" s="182">
        <v>0.71848123369910599</v>
      </c>
      <c r="BS15" s="182">
        <v>0.64580000000000004</v>
      </c>
      <c r="BT15" s="182">
        <v>0.64941940468421999</v>
      </c>
      <c r="BU15" s="182">
        <v>0.78493296038712301</v>
      </c>
      <c r="BV15" s="182">
        <v>0.80894064690493805</v>
      </c>
      <c r="BW15" s="182">
        <v>0.69368400063327895</v>
      </c>
      <c r="BX15" s="182">
        <v>0.62647429968786805</v>
      </c>
      <c r="BY15" s="182">
        <v>0.88100660952180698</v>
      </c>
      <c r="BZ15" s="182">
        <v>0.88100660952180698</v>
      </c>
      <c r="CA15" s="182">
        <v>0.78018511643967503</v>
      </c>
      <c r="CB15" s="182">
        <v>0.70014949725724396</v>
      </c>
      <c r="CC15" s="182">
        <v>0.64385514697795698</v>
      </c>
      <c r="CD15" s="182">
        <v>0.71499999999999997</v>
      </c>
      <c r="CE15" s="182">
        <v>0.64400000000000002</v>
      </c>
      <c r="CF15" s="182">
        <v>0.64400000000000002</v>
      </c>
      <c r="CG15" s="182">
        <v>0.64400000000000002</v>
      </c>
      <c r="CH15" s="182">
        <v>0.64400000000000002</v>
      </c>
      <c r="CI15" s="182">
        <v>0.64100000000000001</v>
      </c>
    </row>
    <row r="16" spans="1:87" ht="15" customHeight="1">
      <c r="B16" s="146" t="s">
        <v>159</v>
      </c>
      <c r="C16" s="168" t="s">
        <v>80</v>
      </c>
      <c r="D16" s="221"/>
      <c r="E16" s="179" t="s">
        <v>82</v>
      </c>
      <c r="F16" s="179" t="s">
        <v>82</v>
      </c>
      <c r="G16" s="179" t="s">
        <v>82</v>
      </c>
      <c r="H16" s="179" t="s">
        <v>82</v>
      </c>
      <c r="I16" s="179" t="s">
        <v>82</v>
      </c>
      <c r="J16" s="179" t="s">
        <v>82</v>
      </c>
      <c r="K16" s="179" t="s">
        <v>82</v>
      </c>
      <c r="L16" s="179" t="s">
        <v>82</v>
      </c>
      <c r="M16" s="179" t="s">
        <v>82</v>
      </c>
      <c r="N16" s="179" t="s">
        <v>82</v>
      </c>
      <c r="O16" s="179" t="s">
        <v>82</v>
      </c>
      <c r="P16" s="179" t="s">
        <v>82</v>
      </c>
      <c r="Q16" s="179" t="s">
        <v>82</v>
      </c>
      <c r="R16" s="179" t="s">
        <v>82</v>
      </c>
      <c r="S16" s="179" t="s">
        <v>82</v>
      </c>
      <c r="T16" s="179" t="s">
        <v>81</v>
      </c>
      <c r="U16" s="179" t="s">
        <v>81</v>
      </c>
      <c r="V16" s="179" t="s">
        <v>81</v>
      </c>
      <c r="W16" s="179" t="s">
        <v>81</v>
      </c>
      <c r="X16" s="179" t="s">
        <v>81</v>
      </c>
      <c r="Y16" s="179" t="s">
        <v>81</v>
      </c>
      <c r="Z16" s="179" t="s">
        <v>81</v>
      </c>
      <c r="AA16" s="179" t="s">
        <v>81</v>
      </c>
      <c r="AB16" s="179" t="s">
        <v>81</v>
      </c>
      <c r="AC16" s="179" t="s">
        <v>81</v>
      </c>
      <c r="AD16" s="179" t="s">
        <v>81</v>
      </c>
      <c r="AE16" s="179" t="s">
        <v>81</v>
      </c>
      <c r="AF16" s="179" t="s">
        <v>81</v>
      </c>
      <c r="AG16" s="179" t="s">
        <v>81</v>
      </c>
      <c r="AH16" s="179" t="s">
        <v>81</v>
      </c>
      <c r="AI16" s="179" t="s">
        <v>81</v>
      </c>
      <c r="AJ16" s="179" t="s">
        <v>81</v>
      </c>
      <c r="AK16" s="179" t="s">
        <v>83</v>
      </c>
      <c r="AL16" s="179" t="s">
        <v>83</v>
      </c>
      <c r="AM16" s="179" t="s">
        <v>83</v>
      </c>
      <c r="AN16" s="179" t="s">
        <v>83</v>
      </c>
      <c r="AO16" s="179" t="s">
        <v>83</v>
      </c>
      <c r="AP16" s="179" t="s">
        <v>83</v>
      </c>
      <c r="AQ16" s="179" t="s">
        <v>83</v>
      </c>
      <c r="AR16" s="179" t="s">
        <v>83</v>
      </c>
      <c r="AS16" s="179" t="s">
        <v>83</v>
      </c>
      <c r="AT16" s="179" t="s">
        <v>83</v>
      </c>
      <c r="AU16" s="179" t="s">
        <v>83</v>
      </c>
      <c r="AV16" s="179" t="s">
        <v>83</v>
      </c>
      <c r="AW16" s="179" t="s">
        <v>83</v>
      </c>
      <c r="AX16" s="179" t="s">
        <v>82</v>
      </c>
      <c r="AY16" s="179" t="s">
        <v>82</v>
      </c>
      <c r="AZ16" s="179" t="s">
        <v>82</v>
      </c>
      <c r="BA16" s="179" t="s">
        <v>82</v>
      </c>
      <c r="BB16" s="179" t="s">
        <v>82</v>
      </c>
      <c r="BC16" s="179" t="s">
        <v>82</v>
      </c>
      <c r="BD16" s="179" t="s">
        <v>82</v>
      </c>
      <c r="BE16" s="179" t="s">
        <v>82</v>
      </c>
      <c r="BF16" s="179" t="s">
        <v>82</v>
      </c>
      <c r="BG16" s="179" t="s">
        <v>81</v>
      </c>
      <c r="BH16" s="179" t="s">
        <v>81</v>
      </c>
      <c r="BI16" s="179" t="s">
        <v>81</v>
      </c>
      <c r="BJ16" s="179" t="s">
        <v>81</v>
      </c>
      <c r="BK16" s="179" t="s">
        <v>81</v>
      </c>
      <c r="BL16" s="179" t="s">
        <v>81</v>
      </c>
      <c r="BM16" s="179" t="s">
        <v>81</v>
      </c>
      <c r="BN16" s="179" t="s">
        <v>81</v>
      </c>
      <c r="BO16" s="179" t="s">
        <v>81</v>
      </c>
      <c r="BP16" s="179" t="s">
        <v>81</v>
      </c>
      <c r="BQ16" s="179" t="s">
        <v>81</v>
      </c>
      <c r="BR16" s="179" t="s">
        <v>81</v>
      </c>
      <c r="BS16" s="179" t="s">
        <v>81</v>
      </c>
      <c r="BT16" s="179" t="s">
        <v>81</v>
      </c>
      <c r="BU16" s="179" t="s">
        <v>81</v>
      </c>
      <c r="BV16" s="179" t="s">
        <v>81</v>
      </c>
      <c r="BW16" s="179" t="s">
        <v>81</v>
      </c>
      <c r="BX16" s="179" t="s">
        <v>81</v>
      </c>
      <c r="BY16" s="179" t="s">
        <v>81</v>
      </c>
      <c r="BZ16" s="179" t="s">
        <v>81</v>
      </c>
      <c r="CA16" s="179" t="s">
        <v>81</v>
      </c>
      <c r="CB16" s="179" t="s">
        <v>81</v>
      </c>
      <c r="CC16" s="179" t="s">
        <v>81</v>
      </c>
      <c r="CD16" s="179" t="s">
        <v>83</v>
      </c>
      <c r="CE16" s="179" t="s">
        <v>83</v>
      </c>
      <c r="CF16" s="179" t="s">
        <v>83</v>
      </c>
      <c r="CG16" s="179" t="s">
        <v>83</v>
      </c>
      <c r="CH16" s="179" t="s">
        <v>83</v>
      </c>
      <c r="CI16" s="179" t="s">
        <v>83</v>
      </c>
    </row>
    <row r="17" spans="1:87" ht="15" customHeight="1">
      <c r="B17" s="146" t="s">
        <v>152</v>
      </c>
      <c r="C17" s="169" t="s">
        <v>108</v>
      </c>
      <c r="D17" s="221"/>
      <c r="E17" s="179" t="s">
        <v>396</v>
      </c>
      <c r="F17" s="179" t="s">
        <v>396</v>
      </c>
      <c r="G17" s="179" t="s">
        <v>396</v>
      </c>
      <c r="H17" s="179" t="s">
        <v>396</v>
      </c>
      <c r="I17" s="179" t="s">
        <v>396</v>
      </c>
      <c r="J17" s="179" t="s">
        <v>396</v>
      </c>
      <c r="K17" s="179" t="s">
        <v>396</v>
      </c>
      <c r="L17" s="179" t="s">
        <v>396</v>
      </c>
      <c r="M17" s="179" t="s">
        <v>396</v>
      </c>
      <c r="N17" s="179" t="s">
        <v>396</v>
      </c>
      <c r="O17" s="179" t="s">
        <v>396</v>
      </c>
      <c r="P17" s="179" t="s">
        <v>396</v>
      </c>
      <c r="Q17" s="179" t="s">
        <v>396</v>
      </c>
      <c r="R17" s="179" t="s">
        <v>396</v>
      </c>
      <c r="S17" s="179" t="s">
        <v>396</v>
      </c>
      <c r="T17" s="179" t="s">
        <v>396</v>
      </c>
      <c r="U17" s="179" t="s">
        <v>396</v>
      </c>
      <c r="V17" s="179" t="s">
        <v>396</v>
      </c>
      <c r="W17" s="179" t="s">
        <v>396</v>
      </c>
      <c r="X17" s="179" t="s">
        <v>396</v>
      </c>
      <c r="Y17" s="179" t="s">
        <v>396</v>
      </c>
      <c r="Z17" s="179" t="s">
        <v>396</v>
      </c>
      <c r="AA17" s="179" t="s">
        <v>396</v>
      </c>
      <c r="AB17" s="179" t="s">
        <v>396</v>
      </c>
      <c r="AC17" s="179" t="s">
        <v>396</v>
      </c>
      <c r="AD17" s="179" t="s">
        <v>396</v>
      </c>
      <c r="AE17" s="179" t="s">
        <v>396</v>
      </c>
      <c r="AF17" s="179" t="s">
        <v>396</v>
      </c>
      <c r="AG17" s="179" t="s">
        <v>396</v>
      </c>
      <c r="AH17" s="179" t="s">
        <v>396</v>
      </c>
      <c r="AI17" s="179" t="s">
        <v>396</v>
      </c>
      <c r="AJ17" s="179" t="s">
        <v>396</v>
      </c>
      <c r="AK17" s="179" t="s">
        <v>396</v>
      </c>
      <c r="AL17" s="179" t="s">
        <v>396</v>
      </c>
      <c r="AM17" s="179" t="s">
        <v>396</v>
      </c>
      <c r="AN17" s="179" t="s">
        <v>396</v>
      </c>
      <c r="AO17" s="179" t="s">
        <v>396</v>
      </c>
      <c r="AP17" s="179" t="s">
        <v>396</v>
      </c>
      <c r="AQ17" s="179" t="s">
        <v>396</v>
      </c>
      <c r="AR17" s="179" t="s">
        <v>396</v>
      </c>
      <c r="AS17" s="179" t="s">
        <v>396</v>
      </c>
      <c r="AT17" s="179" t="s">
        <v>396</v>
      </c>
      <c r="AU17" s="179" t="s">
        <v>396</v>
      </c>
      <c r="AV17" s="179" t="s">
        <v>396</v>
      </c>
      <c r="AW17" s="179" t="s">
        <v>396</v>
      </c>
      <c r="AX17" s="179" t="s">
        <v>397</v>
      </c>
      <c r="AY17" s="179" t="s">
        <v>397</v>
      </c>
      <c r="AZ17" s="179" t="s">
        <v>397</v>
      </c>
      <c r="BA17" s="179" t="s">
        <v>397</v>
      </c>
      <c r="BB17" s="179" t="s">
        <v>397</v>
      </c>
      <c r="BC17" s="179" t="s">
        <v>397</v>
      </c>
      <c r="BD17" s="179" t="s">
        <v>397</v>
      </c>
      <c r="BE17" s="179" t="s">
        <v>397</v>
      </c>
      <c r="BF17" s="179" t="s">
        <v>397</v>
      </c>
      <c r="BG17" s="179" t="s">
        <v>397</v>
      </c>
      <c r="BH17" s="179" t="s">
        <v>397</v>
      </c>
      <c r="BI17" s="179" t="s">
        <v>397</v>
      </c>
      <c r="BJ17" s="179" t="s">
        <v>397</v>
      </c>
      <c r="BK17" s="179" t="s">
        <v>397</v>
      </c>
      <c r="BL17" s="179" t="s">
        <v>397</v>
      </c>
      <c r="BM17" s="179" t="s">
        <v>397</v>
      </c>
      <c r="BN17" s="179" t="s">
        <v>397</v>
      </c>
      <c r="BO17" s="179" t="s">
        <v>397</v>
      </c>
      <c r="BP17" s="179" t="s">
        <v>397</v>
      </c>
      <c r="BQ17" s="179" t="s">
        <v>397</v>
      </c>
      <c r="BR17" s="179" t="s">
        <v>397</v>
      </c>
      <c r="BS17" s="179" t="s">
        <v>397</v>
      </c>
      <c r="BT17" s="179" t="s">
        <v>397</v>
      </c>
      <c r="BU17" s="179" t="s">
        <v>397</v>
      </c>
      <c r="BV17" s="179" t="s">
        <v>397</v>
      </c>
      <c r="BW17" s="179" t="s">
        <v>397</v>
      </c>
      <c r="BX17" s="179" t="s">
        <v>397</v>
      </c>
      <c r="BY17" s="179" t="s">
        <v>397</v>
      </c>
      <c r="BZ17" s="179" t="s">
        <v>397</v>
      </c>
      <c r="CA17" s="179" t="s">
        <v>397</v>
      </c>
      <c r="CB17" s="179" t="s">
        <v>397</v>
      </c>
      <c r="CC17" s="179" t="s">
        <v>397</v>
      </c>
      <c r="CD17" s="179" t="s">
        <v>397</v>
      </c>
      <c r="CE17" s="179" t="s">
        <v>397</v>
      </c>
      <c r="CF17" s="179" t="s">
        <v>397</v>
      </c>
      <c r="CG17" s="179" t="s">
        <v>397</v>
      </c>
      <c r="CH17" s="179" t="s">
        <v>397</v>
      </c>
      <c r="CI17" s="179" t="s">
        <v>397</v>
      </c>
    </row>
    <row r="18" spans="1:87" ht="15" customHeight="1">
      <c r="B18" s="146" t="s">
        <v>151</v>
      </c>
      <c r="C18" s="168" t="s">
        <v>16</v>
      </c>
      <c r="D18" s="221"/>
      <c r="E18" s="183" t="s">
        <v>143</v>
      </c>
      <c r="F18" s="183" t="s">
        <v>144</v>
      </c>
      <c r="G18" s="183" t="s">
        <v>143</v>
      </c>
      <c r="H18" s="183" t="s">
        <v>144</v>
      </c>
      <c r="I18" s="183" t="s">
        <v>143</v>
      </c>
      <c r="J18" s="183" t="s">
        <v>143</v>
      </c>
      <c r="K18" s="183" t="s">
        <v>144</v>
      </c>
      <c r="L18" s="183" t="s">
        <v>144</v>
      </c>
      <c r="M18" s="183" t="s">
        <v>143</v>
      </c>
      <c r="N18" s="183" t="s">
        <v>143</v>
      </c>
      <c r="O18" s="183" t="s">
        <v>143</v>
      </c>
      <c r="P18" s="183" t="s">
        <v>143</v>
      </c>
      <c r="Q18" s="183" t="s">
        <v>143</v>
      </c>
      <c r="R18" s="183" t="s">
        <v>143</v>
      </c>
      <c r="S18" s="183" t="s">
        <v>143</v>
      </c>
      <c r="T18" s="183" t="s">
        <v>143</v>
      </c>
      <c r="U18" s="183" t="s">
        <v>143</v>
      </c>
      <c r="V18" s="183" t="s">
        <v>143</v>
      </c>
      <c r="W18" s="183" t="s">
        <v>143</v>
      </c>
      <c r="X18" s="183" t="s">
        <v>144</v>
      </c>
      <c r="Y18" s="183" t="s">
        <v>143</v>
      </c>
      <c r="Z18" s="183" t="s">
        <v>143</v>
      </c>
      <c r="AA18" s="183" t="s">
        <v>144</v>
      </c>
      <c r="AB18" s="183" t="s">
        <v>144</v>
      </c>
      <c r="AC18" s="183" t="s">
        <v>144</v>
      </c>
      <c r="AD18" s="183" t="s">
        <v>143</v>
      </c>
      <c r="AE18" s="183" t="s">
        <v>143</v>
      </c>
      <c r="AF18" s="183" t="s">
        <v>143</v>
      </c>
      <c r="AG18" s="183" t="s">
        <v>143</v>
      </c>
      <c r="AH18" s="183" t="s">
        <v>143</v>
      </c>
      <c r="AI18" s="183" t="s">
        <v>143</v>
      </c>
      <c r="AJ18" s="183" t="s">
        <v>143</v>
      </c>
      <c r="AK18" s="183" t="s">
        <v>144</v>
      </c>
      <c r="AL18" s="183" t="s">
        <v>144</v>
      </c>
      <c r="AM18" s="183" t="s">
        <v>144</v>
      </c>
      <c r="AN18" s="183" t="s">
        <v>144</v>
      </c>
      <c r="AO18" s="183" t="s">
        <v>144</v>
      </c>
      <c r="AP18" s="183" t="s">
        <v>144</v>
      </c>
      <c r="AQ18" s="183" t="s">
        <v>144</v>
      </c>
      <c r="AR18" s="183" t="s">
        <v>144</v>
      </c>
      <c r="AS18" s="183" t="s">
        <v>144</v>
      </c>
      <c r="AT18" s="183" t="s">
        <v>144</v>
      </c>
      <c r="AU18" s="183" t="s">
        <v>144</v>
      </c>
      <c r="AV18" s="183" t="s">
        <v>144</v>
      </c>
      <c r="AW18" s="183" t="s">
        <v>144</v>
      </c>
      <c r="AX18" s="183" t="s">
        <v>143</v>
      </c>
      <c r="AY18" s="183" t="s">
        <v>143</v>
      </c>
      <c r="AZ18" s="183" t="s">
        <v>143</v>
      </c>
      <c r="BA18" s="183" t="s">
        <v>143</v>
      </c>
      <c r="BB18" s="183" t="s">
        <v>143</v>
      </c>
      <c r="BC18" s="183" t="s">
        <v>143</v>
      </c>
      <c r="BD18" s="183" t="s">
        <v>143</v>
      </c>
      <c r="BE18" s="183" t="s">
        <v>143</v>
      </c>
      <c r="BF18" s="183" t="s">
        <v>143</v>
      </c>
      <c r="BG18" s="183" t="s">
        <v>143</v>
      </c>
      <c r="BH18" s="183" t="s">
        <v>144</v>
      </c>
      <c r="BI18" s="183" t="s">
        <v>143</v>
      </c>
      <c r="BJ18" s="183" t="s">
        <v>144</v>
      </c>
      <c r="BK18" s="183" t="s">
        <v>144</v>
      </c>
      <c r="BL18" s="183" t="s">
        <v>144</v>
      </c>
      <c r="BM18" s="183" t="s">
        <v>143</v>
      </c>
      <c r="BN18" s="183" t="s">
        <v>143</v>
      </c>
      <c r="BO18" s="183" t="s">
        <v>143</v>
      </c>
      <c r="BP18" s="183" t="s">
        <v>144</v>
      </c>
      <c r="BQ18" s="183" t="s">
        <v>143</v>
      </c>
      <c r="BR18" s="183" t="s">
        <v>143</v>
      </c>
      <c r="BS18" s="183" t="s">
        <v>143</v>
      </c>
      <c r="BT18" s="183" t="s">
        <v>143</v>
      </c>
      <c r="BU18" s="183" t="s">
        <v>144</v>
      </c>
      <c r="BV18" s="183" t="s">
        <v>144</v>
      </c>
      <c r="BW18" s="183" t="s">
        <v>144</v>
      </c>
      <c r="BX18" s="183" t="s">
        <v>143</v>
      </c>
      <c r="BY18" s="183" t="s">
        <v>143</v>
      </c>
      <c r="BZ18" s="183" t="s">
        <v>143</v>
      </c>
      <c r="CA18" s="183" t="s">
        <v>143</v>
      </c>
      <c r="CB18" s="183" t="s">
        <v>143</v>
      </c>
      <c r="CC18" s="183" t="s">
        <v>143</v>
      </c>
      <c r="CD18" s="183" t="s">
        <v>144</v>
      </c>
      <c r="CE18" s="183" t="s">
        <v>144</v>
      </c>
      <c r="CF18" s="183" t="s">
        <v>144</v>
      </c>
      <c r="CG18" s="183" t="s">
        <v>144</v>
      </c>
      <c r="CH18" s="183" t="s">
        <v>144</v>
      </c>
      <c r="CI18" s="183" t="s">
        <v>144</v>
      </c>
    </row>
    <row r="19" spans="1:87" ht="15" customHeight="1">
      <c r="B19" s="146" t="s">
        <v>147</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45292</v>
      </c>
      <c r="AZ19" s="184">
        <v>45292</v>
      </c>
      <c r="BA19" s="184">
        <v>45292</v>
      </c>
      <c r="BB19" s="184">
        <v>45292</v>
      </c>
      <c r="BC19" s="184">
        <v>45292</v>
      </c>
      <c r="BD19" s="184">
        <v>45292</v>
      </c>
      <c r="BE19" s="184">
        <v>45292</v>
      </c>
      <c r="BF19" s="184">
        <v>45292</v>
      </c>
      <c r="BG19" s="184">
        <v>45292</v>
      </c>
      <c r="BH19" s="184">
        <v>45292</v>
      </c>
      <c r="BI19" s="184">
        <v>45292</v>
      </c>
      <c r="BJ19" s="184">
        <v>45292</v>
      </c>
      <c r="BK19" s="184">
        <v>45292</v>
      </c>
      <c r="BL19" s="184">
        <v>45292</v>
      </c>
      <c r="BM19" s="184">
        <v>45292</v>
      </c>
      <c r="BN19" s="184">
        <v>45292</v>
      </c>
      <c r="BO19" s="184">
        <v>45292</v>
      </c>
      <c r="BP19" s="184">
        <v>45292</v>
      </c>
      <c r="BQ19" s="184">
        <v>45292</v>
      </c>
      <c r="BR19" s="184">
        <v>45292</v>
      </c>
      <c r="BS19" s="184">
        <v>45292</v>
      </c>
      <c r="BT19" s="184">
        <v>45292</v>
      </c>
      <c r="BU19" s="184">
        <v>45292</v>
      </c>
      <c r="BV19" s="184">
        <v>45292</v>
      </c>
      <c r="BW19" s="184">
        <v>45292</v>
      </c>
      <c r="BX19" s="184">
        <v>45292</v>
      </c>
      <c r="BY19" s="184">
        <v>45292</v>
      </c>
      <c r="BZ19" s="184">
        <v>45292</v>
      </c>
      <c r="CA19" s="184">
        <v>45292</v>
      </c>
      <c r="CB19" s="184">
        <v>45292</v>
      </c>
      <c r="CC19" s="184">
        <v>45292</v>
      </c>
      <c r="CD19" s="184">
        <v>45292</v>
      </c>
      <c r="CE19" s="184">
        <v>45292</v>
      </c>
      <c r="CF19" s="184">
        <v>45292</v>
      </c>
      <c r="CG19" s="184">
        <v>45292</v>
      </c>
      <c r="CH19" s="184">
        <v>45292</v>
      </c>
      <c r="CI19" s="184">
        <v>45292</v>
      </c>
    </row>
    <row r="20" spans="1:87" ht="15" customHeight="1">
      <c r="B20" s="146" t="s">
        <v>148</v>
      </c>
      <c r="C20" s="168" t="s">
        <v>109</v>
      </c>
      <c r="D20" s="221"/>
      <c r="E20" s="185">
        <v>0.185694658881629</v>
      </c>
      <c r="F20" s="185">
        <v>0.223499128199872</v>
      </c>
      <c r="G20" s="185">
        <v>0.248368598731003</v>
      </c>
      <c r="H20" s="185">
        <v>0.197985875001467</v>
      </c>
      <c r="I20" s="185">
        <v>0.21589378109628801</v>
      </c>
      <c r="J20" s="185">
        <v>0.26277505757188702</v>
      </c>
      <c r="K20" s="185">
        <v>0.21921658846740699</v>
      </c>
      <c r="L20" s="185">
        <v>0.218455284305204</v>
      </c>
      <c r="M20" s="185">
        <v>0.14176954770199501</v>
      </c>
      <c r="N20" s="185">
        <v>0.168266427277629</v>
      </c>
      <c r="O20" s="185">
        <v>0.19806514408377901</v>
      </c>
      <c r="P20" s="185">
        <v>0.236963097398669</v>
      </c>
      <c r="Q20" s="185">
        <v>0.190901152805556</v>
      </c>
      <c r="R20" s="185">
        <v>0.21969992437623301</v>
      </c>
      <c r="S20" s="185">
        <v>0.242503133011223</v>
      </c>
      <c r="T20" s="185">
        <v>0</v>
      </c>
      <c r="U20" s="185">
        <v>0</v>
      </c>
      <c r="V20" s="185">
        <v>0</v>
      </c>
      <c r="W20" s="185">
        <v>0</v>
      </c>
      <c r="X20" s="185">
        <v>0</v>
      </c>
      <c r="Y20" s="185">
        <v>0</v>
      </c>
      <c r="Z20" s="185">
        <v>0</v>
      </c>
      <c r="AA20" s="185">
        <v>0</v>
      </c>
      <c r="AB20" s="185">
        <v>0</v>
      </c>
      <c r="AC20" s="185">
        <v>0</v>
      </c>
      <c r="AD20" s="185">
        <v>0</v>
      </c>
      <c r="AE20" s="185">
        <v>0</v>
      </c>
      <c r="AF20" s="185">
        <v>0</v>
      </c>
      <c r="AG20" s="185">
        <v>0</v>
      </c>
      <c r="AH20" s="185">
        <v>0</v>
      </c>
      <c r="AI20" s="185">
        <v>0</v>
      </c>
      <c r="AJ20" s="185">
        <v>0</v>
      </c>
      <c r="AK20" s="185">
        <v>0</v>
      </c>
      <c r="AL20" s="185">
        <v>0</v>
      </c>
      <c r="AM20" s="185">
        <v>0</v>
      </c>
      <c r="AN20" s="185">
        <v>0</v>
      </c>
      <c r="AO20" s="185">
        <v>0</v>
      </c>
      <c r="AP20" s="185">
        <v>0</v>
      </c>
      <c r="AQ20" s="185">
        <v>0</v>
      </c>
      <c r="AR20" s="185">
        <v>0</v>
      </c>
      <c r="AS20" s="185">
        <v>0</v>
      </c>
      <c r="AT20" s="185">
        <v>0</v>
      </c>
      <c r="AU20" s="185">
        <v>0</v>
      </c>
      <c r="AV20" s="185">
        <v>0</v>
      </c>
      <c r="AW20" s="185">
        <v>0</v>
      </c>
      <c r="AX20" s="185">
        <v>0.162988620087059</v>
      </c>
      <c r="AY20" s="185">
        <v>0.23412252443985099</v>
      </c>
      <c r="AZ20" s="185">
        <v>0.24507124609164699</v>
      </c>
      <c r="BA20" s="185">
        <v>0.29791626602552301</v>
      </c>
      <c r="BB20" s="185">
        <v>0.19342186592952099</v>
      </c>
      <c r="BC20" s="185">
        <v>0.19595247000327801</v>
      </c>
      <c r="BD20" s="185">
        <v>0.237574462925702</v>
      </c>
      <c r="BE20" s="185">
        <v>0.25583592502855501</v>
      </c>
      <c r="BF20" s="185">
        <v>0.13697001877749901</v>
      </c>
      <c r="BG20" s="185">
        <v>0</v>
      </c>
      <c r="BH20" s="185">
        <v>0</v>
      </c>
      <c r="BI20" s="185">
        <v>0</v>
      </c>
      <c r="BJ20" s="185">
        <v>0</v>
      </c>
      <c r="BK20" s="185">
        <v>0</v>
      </c>
      <c r="BL20" s="185">
        <v>0</v>
      </c>
      <c r="BM20" s="185">
        <v>0</v>
      </c>
      <c r="BN20" s="185">
        <v>0</v>
      </c>
      <c r="BO20" s="185">
        <v>0</v>
      </c>
      <c r="BP20" s="185">
        <v>0</v>
      </c>
      <c r="BQ20" s="185">
        <v>0</v>
      </c>
      <c r="BR20" s="185">
        <v>0</v>
      </c>
      <c r="BS20" s="185">
        <v>0</v>
      </c>
      <c r="BT20" s="185">
        <v>0</v>
      </c>
      <c r="BU20" s="185">
        <v>0</v>
      </c>
      <c r="BV20" s="185">
        <v>0</v>
      </c>
      <c r="BW20" s="185">
        <v>0</v>
      </c>
      <c r="BX20" s="185">
        <v>0</v>
      </c>
      <c r="BY20" s="185">
        <v>0</v>
      </c>
      <c r="BZ20" s="185">
        <v>0</v>
      </c>
      <c r="CA20" s="185">
        <v>0</v>
      </c>
      <c r="CB20" s="185">
        <v>0</v>
      </c>
      <c r="CC20" s="185">
        <v>0</v>
      </c>
      <c r="CD20" s="185">
        <v>0</v>
      </c>
      <c r="CE20" s="185">
        <v>0</v>
      </c>
      <c r="CF20" s="185">
        <v>0</v>
      </c>
      <c r="CG20" s="185">
        <v>0</v>
      </c>
      <c r="CH20" s="185">
        <v>0</v>
      </c>
      <c r="CI20" s="185">
        <v>0</v>
      </c>
    </row>
    <row r="21" spans="1:87" ht="15" customHeight="1">
      <c r="B21" s="146" t="s">
        <v>149</v>
      </c>
      <c r="C21" s="168" t="s">
        <v>84</v>
      </c>
      <c r="D21" s="221"/>
      <c r="E21" s="263">
        <f t="array" ref="E21">IF(SUMPRODUCT((E16:AW16="Renewing")*((E14:AW14="Platinum")+(E14:AW14="Gold")+(E14:AW14="Silver")+(E14:AW14="Bronze")+(E14:AW14="Catastrophic")))=0, 0, ROUND(ROUND(SUMPRODUCT(1+E20:AW20,E34:AW34,E35:AW35,--(E16:AW16="Renewing")*((E14:AW14="Platinum")+(E14:AW14="Gold")+(E14:AW14="Silver")+(E14:AW14="Bronze")+(E14:AW14="Catastrophic")))/SUMPRODUCT(E34:AW34,E35:AW35,--(E16:AW16="Renewing")*((E14:AW14="Platinum")+(E14:AW14="Gold")+(E14:AW14="Silver")+(E14:AW14="Bronze")+(E14:AW14="Catastrophic"))), 4)-1, 4))</f>
        <v>0.22919999999999999</v>
      </c>
      <c r="F21" s="264"/>
      <c r="G21" s="264"/>
      <c r="H21" s="264"/>
      <c r="I21" s="264"/>
      <c r="J21" s="264"/>
      <c r="K21" s="264"/>
      <c r="L21" s="264"/>
      <c r="M21" s="264"/>
      <c r="N21" s="264"/>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5"/>
      <c r="AX21" s="263">
        <f t="array" ref="AX21">IF(SUMPRODUCT((AX16:CI16="Renewing")*((AX14:CI14="Platinum")+(AX14:CI14="Gold")+(AX14:CI14="Silver")+(AX14:CI14="Bronze")+(AX14:CI14="Catastrophic")))=0, 0, ROUND(ROUND(SUMPRODUCT(1+AX20:CI20,AX34:CI34,AX35:CI35,--(AX16:CI16="Renewing")*((AX14:CI14="Platinum")+(AX14:CI14="Gold")+(AX14:CI14="Silver")+(AX14:CI14="Bronze")+(AX14:CI14="Catastrophic")))/SUMPRODUCT(AX34:CI34,AX35:CI35,--(AX16:CI16="Renewing")*((AX14:CI14="Platinum")+(AX14:CI14="Gold")+(AX14:CI14="Silver")+(AX14:CI14="Bronze")+(AX14:CI14="Catastrophic"))), 4)-1, 4))</f>
        <v>0.223</v>
      </c>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5"/>
    </row>
    <row r="22" spans="1:87" ht="15" customHeight="1">
      <c r="B22" s="148" t="s">
        <v>150</v>
      </c>
      <c r="C22" s="139" t="s">
        <v>210</v>
      </c>
      <c r="D22" s="222"/>
      <c r="E22" s="263">
        <f t="array" ref="E22">IF(SUMPRODUCT((E16:CI16="Renewing")*((E14:CI14="Platinum")+(E14:CI14="Gold")+(E14:CI14="Silver")+(E14:CI14="Bronze")+(E14:CI14="Catastrophic")))=0, 0, ROUND(ROUND(SUMPRODUCT(1+E20:CI20,E34:CI34,E35:CI35,--(E16:CI16="Renewing")*((E14:CI14="Platinum")+(E14:CI14="Gold")+(E14:CI14="Silver")+(E14:CI14="Bronze")+(E14:CI14="Catastrophic")))/SUMPRODUCT(E34:CI34,E35:CI35,--(E16:CI16="Renewing")*((E14:CI14="Platinum")+(E14:CI14="Gold")+(E14:CI14="Silver")+(E14:CI14="Bronze")+(E14:CI14="Catastrophic"))), 4)-1, 4))</f>
        <v>0.22739999999999999</v>
      </c>
      <c r="F22" s="264"/>
      <c r="G22" s="264"/>
      <c r="H22" s="264"/>
      <c r="I22" s="264"/>
      <c r="J22" s="264"/>
      <c r="K22" s="264"/>
      <c r="L22" s="264"/>
      <c r="M22" s="264"/>
      <c r="N22" s="264"/>
      <c r="O22" s="264"/>
      <c r="P22" s="264"/>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5"/>
    </row>
    <row r="23" spans="1:87" ht="15" customHeight="1">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row>
    <row r="24" spans="1:87" ht="15" customHeight="1">
      <c r="A24" s="71" t="s">
        <v>119</v>
      </c>
      <c r="C24" s="19" t="s">
        <v>110</v>
      </c>
      <c r="D24" s="19"/>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row>
    <row r="25" spans="1:87" ht="15" customHeight="1">
      <c r="A25" s="149"/>
      <c r="B25" s="146" t="s">
        <v>160</v>
      </c>
      <c r="C25" s="152" t="s">
        <v>106</v>
      </c>
      <c r="D25" s="150" t="s">
        <v>2</v>
      </c>
      <c r="E25" s="90" t="str">
        <f t="shared" ref="E25:AJ25" si="0">IF(E13&lt;&gt;"",E13,"")</f>
        <v>83761GA0040002</v>
      </c>
      <c r="F25" s="90" t="str">
        <f t="shared" si="0"/>
        <v>83761GA0040007</v>
      </c>
      <c r="G25" s="90" t="str">
        <f t="shared" si="0"/>
        <v>83761GA0040017</v>
      </c>
      <c r="H25" s="90" t="str">
        <f t="shared" si="0"/>
        <v>83761GA0040324</v>
      </c>
      <c r="I25" s="90" t="str">
        <f t="shared" si="0"/>
        <v>83761GA0040330</v>
      </c>
      <c r="J25" s="90" t="str">
        <f t="shared" si="0"/>
        <v>83761GA0040331</v>
      </c>
      <c r="K25" s="90" t="str">
        <f t="shared" si="0"/>
        <v>83761GA0040344</v>
      </c>
      <c r="L25" s="90" t="str">
        <f t="shared" si="0"/>
        <v>83761GA0040345</v>
      </c>
      <c r="M25" s="90" t="str">
        <f t="shared" si="0"/>
        <v>83761GA0040355</v>
      </c>
      <c r="N25" s="90" t="str">
        <f t="shared" si="0"/>
        <v>83761GA0040358</v>
      </c>
      <c r="O25" s="90" t="str">
        <f t="shared" si="0"/>
        <v>83761GA0040369</v>
      </c>
      <c r="P25" s="90" t="str">
        <f t="shared" si="0"/>
        <v>83761GA0040373</v>
      </c>
      <c r="Q25" s="90" t="str">
        <f t="shared" si="0"/>
        <v>83761GA0040377</v>
      </c>
      <c r="R25" s="90" t="str">
        <f t="shared" si="0"/>
        <v>83761GA0040378</v>
      </c>
      <c r="S25" s="90" t="str">
        <f t="shared" si="0"/>
        <v>83761GA0040379</v>
      </c>
      <c r="T25" s="90" t="str">
        <f t="shared" si="0"/>
        <v>83761GA0040380</v>
      </c>
      <c r="U25" s="90" t="str">
        <f t="shared" si="0"/>
        <v>83761GA0040381</v>
      </c>
      <c r="V25" s="90" t="str">
        <f t="shared" si="0"/>
        <v>83761GA0040382</v>
      </c>
      <c r="W25" s="90" t="str">
        <f t="shared" si="0"/>
        <v>83761GA0040383</v>
      </c>
      <c r="X25" s="90" t="str">
        <f t="shared" si="0"/>
        <v>83761GA0040384</v>
      </c>
      <c r="Y25" s="90" t="str">
        <f t="shared" si="0"/>
        <v>83761GA0040385</v>
      </c>
      <c r="Z25" s="90" t="str">
        <f t="shared" si="0"/>
        <v>83761GA0040386</v>
      </c>
      <c r="AA25" s="90" t="str">
        <f t="shared" si="0"/>
        <v>83761GA0040387</v>
      </c>
      <c r="AB25" s="90" t="str">
        <f t="shared" si="0"/>
        <v>83761GA0040388</v>
      </c>
      <c r="AC25" s="90" t="str">
        <f t="shared" si="0"/>
        <v>83761GA0040391</v>
      </c>
      <c r="AD25" s="90" t="str">
        <f t="shared" si="0"/>
        <v>83761GA0040392</v>
      </c>
      <c r="AE25" s="90" t="str">
        <f t="shared" si="0"/>
        <v>83761GA0040393</v>
      </c>
      <c r="AF25" s="90" t="str">
        <f t="shared" si="0"/>
        <v>83761GA0040398</v>
      </c>
      <c r="AG25" s="90" t="str">
        <f t="shared" si="0"/>
        <v>83761GA0040394</v>
      </c>
      <c r="AH25" s="90" t="str">
        <f t="shared" si="0"/>
        <v>83761GA0040395</v>
      </c>
      <c r="AI25" s="90" t="str">
        <f t="shared" si="0"/>
        <v>83761GA0040396</v>
      </c>
      <c r="AJ25" s="90" t="str">
        <f t="shared" si="0"/>
        <v>83761GA0040397</v>
      </c>
      <c r="AK25" s="90" t="str">
        <f t="shared" ref="AK25:BP25" si="1">IF(AK13&lt;&gt;"",AK13,"")</f>
        <v>83761GA0040184</v>
      </c>
      <c r="AL25" s="90" t="str">
        <f t="shared" si="1"/>
        <v>83761GA0040336</v>
      </c>
      <c r="AM25" s="90" t="str">
        <f t="shared" si="1"/>
        <v>83761GA0040348</v>
      </c>
      <c r="AN25" s="90" t="str">
        <f t="shared" si="1"/>
        <v>83761GA0040349</v>
      </c>
      <c r="AO25" s="90" t="str">
        <f t="shared" si="1"/>
        <v>83761GA0040354</v>
      </c>
      <c r="AP25" s="90" t="str">
        <f t="shared" si="1"/>
        <v>83761GA0040357</v>
      </c>
      <c r="AQ25" s="90" t="str">
        <f t="shared" si="1"/>
        <v>83761GA0040367</v>
      </c>
      <c r="AR25" s="90" t="str">
        <f t="shared" si="1"/>
        <v>83761GA0040368</v>
      </c>
      <c r="AS25" s="90" t="str">
        <f t="shared" si="1"/>
        <v>83761GA0040371</v>
      </c>
      <c r="AT25" s="90" t="str">
        <f t="shared" si="1"/>
        <v>83761GA0040372</v>
      </c>
      <c r="AU25" s="90" t="str">
        <f t="shared" si="1"/>
        <v>83761GA0040374</v>
      </c>
      <c r="AV25" s="90" t="str">
        <f t="shared" si="1"/>
        <v>83761GA0040375</v>
      </c>
      <c r="AW25" s="90" t="str">
        <f t="shared" si="1"/>
        <v>83761GA0040376</v>
      </c>
      <c r="AX25" s="90" t="str">
        <f t="shared" si="1"/>
        <v>83761GA0110003</v>
      </c>
      <c r="AY25" s="90" t="str">
        <f t="shared" si="1"/>
        <v>83761GA0110004</v>
      </c>
      <c r="AZ25" s="90" t="str">
        <f t="shared" si="1"/>
        <v>83761GA0110008</v>
      </c>
      <c r="BA25" s="90" t="str">
        <f t="shared" si="1"/>
        <v>83761GA0110009</v>
      </c>
      <c r="BB25" s="90" t="str">
        <f t="shared" si="1"/>
        <v>83761GA0110019</v>
      </c>
      <c r="BC25" s="90" t="str">
        <f t="shared" si="1"/>
        <v>83761GA0110023</v>
      </c>
      <c r="BD25" s="90" t="str">
        <f t="shared" si="1"/>
        <v>83761GA0110024</v>
      </c>
      <c r="BE25" s="90" t="str">
        <f t="shared" si="1"/>
        <v>83761GA0110025</v>
      </c>
      <c r="BF25" s="90" t="str">
        <f t="shared" si="1"/>
        <v>83761GA0110027</v>
      </c>
      <c r="BG25" s="90" t="str">
        <f t="shared" si="1"/>
        <v>83761GA0110028</v>
      </c>
      <c r="BH25" s="90" t="str">
        <f t="shared" si="1"/>
        <v>83761GA0110029</v>
      </c>
      <c r="BI25" s="90" t="str">
        <f t="shared" si="1"/>
        <v>83761GA0110030</v>
      </c>
      <c r="BJ25" s="90" t="str">
        <f t="shared" si="1"/>
        <v>83761GA0110031</v>
      </c>
      <c r="BK25" s="90" t="str">
        <f t="shared" si="1"/>
        <v>83761GA0110032</v>
      </c>
      <c r="BL25" s="90" t="str">
        <f t="shared" si="1"/>
        <v>83761GA0110033</v>
      </c>
      <c r="BM25" s="90" t="str">
        <f t="shared" si="1"/>
        <v>83761GA0110034</v>
      </c>
      <c r="BN25" s="90" t="str">
        <f t="shared" si="1"/>
        <v>83761GA0110035</v>
      </c>
      <c r="BO25" s="90" t="str">
        <f t="shared" si="1"/>
        <v>83761GA0110036</v>
      </c>
      <c r="BP25" s="90" t="str">
        <f t="shared" si="1"/>
        <v>83761GA0110037</v>
      </c>
      <c r="BQ25" s="90" t="str">
        <f t="shared" ref="BQ25:CI25" si="2">IF(BQ13&lt;&gt;"",BQ13,"")</f>
        <v>83761GA0110038</v>
      </c>
      <c r="BR25" s="90" t="str">
        <f t="shared" si="2"/>
        <v>83761GA0110039</v>
      </c>
      <c r="BS25" s="90" t="str">
        <f t="shared" si="2"/>
        <v>83761GA0110040</v>
      </c>
      <c r="BT25" s="90" t="str">
        <f t="shared" si="2"/>
        <v>83761GA0110042</v>
      </c>
      <c r="BU25" s="90" t="str">
        <f t="shared" si="2"/>
        <v>83761GA0110043</v>
      </c>
      <c r="BV25" s="90" t="str">
        <f t="shared" si="2"/>
        <v>83761GA0110044</v>
      </c>
      <c r="BW25" s="90" t="str">
        <f t="shared" si="2"/>
        <v>83761GA0110045</v>
      </c>
      <c r="BX25" s="90" t="str">
        <f t="shared" si="2"/>
        <v>83761GA0110046</v>
      </c>
      <c r="BY25" s="90" t="str">
        <f t="shared" si="2"/>
        <v>83761GA0110047</v>
      </c>
      <c r="BZ25" s="90" t="str">
        <f t="shared" si="2"/>
        <v>83761GA0110048</v>
      </c>
      <c r="CA25" s="90" t="str">
        <f t="shared" si="2"/>
        <v>83761GA0110049</v>
      </c>
      <c r="CB25" s="90" t="str">
        <f t="shared" si="2"/>
        <v>83761GA0110050</v>
      </c>
      <c r="CC25" s="90" t="str">
        <f t="shared" si="2"/>
        <v>83761GA0110051</v>
      </c>
      <c r="CD25" s="90" t="str">
        <f t="shared" si="2"/>
        <v>83761GA0110010</v>
      </c>
      <c r="CE25" s="90" t="str">
        <f t="shared" si="2"/>
        <v>83761GA0110011</v>
      </c>
      <c r="CF25" s="90" t="str">
        <f t="shared" si="2"/>
        <v>83761GA0110013</v>
      </c>
      <c r="CG25" s="90" t="str">
        <f t="shared" si="2"/>
        <v>83761GA0110015</v>
      </c>
      <c r="CH25" s="90" t="str">
        <f t="shared" si="2"/>
        <v>83761GA0110017</v>
      </c>
      <c r="CI25" s="90" t="str">
        <f t="shared" si="2"/>
        <v>83761GA0110021</v>
      </c>
    </row>
    <row r="26" spans="1:87" ht="15" customHeight="1">
      <c r="A26" s="151">
        <f>'Wksh 1 - Market Experience'!E14</f>
        <v>324753833.845285</v>
      </c>
      <c r="B26" s="146" t="s">
        <v>161</v>
      </c>
      <c r="C26" s="200" t="s">
        <v>86</v>
      </c>
      <c r="D26" s="198">
        <f>SUM(E26:CI26)</f>
        <v>324753833.8452853</v>
      </c>
      <c r="E26" s="187">
        <v>33151617.404668</v>
      </c>
      <c r="F26" s="187">
        <v>5945348.75639812</v>
      </c>
      <c r="G26" s="187">
        <v>87491174.696079299</v>
      </c>
      <c r="H26" s="187">
        <v>749406.05139808601</v>
      </c>
      <c r="I26" s="187">
        <v>13154425.5900297</v>
      </c>
      <c r="J26" s="187">
        <v>43790276.337831199</v>
      </c>
      <c r="K26" s="187">
        <v>709060.42239296203</v>
      </c>
      <c r="L26" s="187">
        <v>636727.53051643702</v>
      </c>
      <c r="M26" s="187">
        <v>821863.54990499199</v>
      </c>
      <c r="N26" s="187">
        <v>2101038.8630406898</v>
      </c>
      <c r="O26" s="187">
        <v>1351779.4048667599</v>
      </c>
      <c r="P26" s="187">
        <v>2923901.74187038</v>
      </c>
      <c r="Q26" s="187">
        <v>0</v>
      </c>
      <c r="R26" s="187">
        <v>0</v>
      </c>
      <c r="S26" s="187">
        <v>0</v>
      </c>
      <c r="T26" s="187">
        <v>0</v>
      </c>
      <c r="U26" s="187">
        <v>0</v>
      </c>
      <c r="V26" s="187">
        <v>0</v>
      </c>
      <c r="W26" s="187">
        <v>0</v>
      </c>
      <c r="X26" s="187">
        <v>0</v>
      </c>
      <c r="Y26" s="187">
        <v>0</v>
      </c>
      <c r="Z26" s="187">
        <v>0</v>
      </c>
      <c r="AA26" s="187">
        <v>0</v>
      </c>
      <c r="AB26" s="187">
        <v>0</v>
      </c>
      <c r="AC26" s="187">
        <v>0</v>
      </c>
      <c r="AD26" s="187">
        <v>0</v>
      </c>
      <c r="AE26" s="187">
        <v>0</v>
      </c>
      <c r="AF26" s="187">
        <v>0</v>
      </c>
      <c r="AG26" s="187">
        <v>0</v>
      </c>
      <c r="AH26" s="187">
        <v>0</v>
      </c>
      <c r="AI26" s="187">
        <v>0</v>
      </c>
      <c r="AJ26" s="187">
        <v>0</v>
      </c>
      <c r="AK26" s="187">
        <v>35864976.604745902</v>
      </c>
      <c r="AL26" s="187">
        <v>249907.635630857</v>
      </c>
      <c r="AM26" s="187">
        <v>3381274.4844409502</v>
      </c>
      <c r="AN26" s="187">
        <v>6897764.8955110498</v>
      </c>
      <c r="AO26" s="187">
        <v>760708.70922014001</v>
      </c>
      <c r="AP26" s="187">
        <v>2090350.3385797599</v>
      </c>
      <c r="AQ26" s="187">
        <v>1829286.7339448901</v>
      </c>
      <c r="AR26" s="187">
        <v>1926101.5641600599</v>
      </c>
      <c r="AS26" s="187">
        <v>6796489.2148439698</v>
      </c>
      <c r="AT26" s="187">
        <v>5085777.8540285099</v>
      </c>
      <c r="AU26" s="187">
        <v>349824.334496008</v>
      </c>
      <c r="AV26" s="187">
        <v>447557.19103584101</v>
      </c>
      <c r="AW26" s="187">
        <v>412310.46343402599</v>
      </c>
      <c r="AX26" s="187">
        <v>2275805.3930033999</v>
      </c>
      <c r="AY26" s="187">
        <v>1312160.4519047199</v>
      </c>
      <c r="AZ26" s="187">
        <v>10101856.4850957</v>
      </c>
      <c r="BA26" s="187">
        <v>40141979.556822598</v>
      </c>
      <c r="BB26" s="187">
        <v>6039201.6291748304</v>
      </c>
      <c r="BC26" s="187">
        <v>402624.04967987002</v>
      </c>
      <c r="BD26" s="187">
        <v>0</v>
      </c>
      <c r="BE26" s="187">
        <v>0</v>
      </c>
      <c r="BF26" s="187">
        <v>0</v>
      </c>
      <c r="BG26" s="187">
        <v>0</v>
      </c>
      <c r="BH26" s="187">
        <v>0</v>
      </c>
      <c r="BI26" s="187">
        <v>0</v>
      </c>
      <c r="BJ26" s="187">
        <v>0</v>
      </c>
      <c r="BK26" s="187">
        <v>0</v>
      </c>
      <c r="BL26" s="187">
        <v>0</v>
      </c>
      <c r="BM26" s="187">
        <v>0</v>
      </c>
      <c r="BN26" s="187">
        <v>0</v>
      </c>
      <c r="BO26" s="187">
        <v>0</v>
      </c>
      <c r="BP26" s="187">
        <v>0</v>
      </c>
      <c r="BQ26" s="187">
        <v>0</v>
      </c>
      <c r="BR26" s="187">
        <v>0</v>
      </c>
      <c r="BS26" s="187">
        <v>0</v>
      </c>
      <c r="BT26" s="187">
        <v>0</v>
      </c>
      <c r="BU26" s="187">
        <v>0</v>
      </c>
      <c r="BV26" s="187">
        <v>0</v>
      </c>
      <c r="BW26" s="187">
        <v>0</v>
      </c>
      <c r="BX26" s="187">
        <v>0</v>
      </c>
      <c r="BY26" s="187">
        <v>0</v>
      </c>
      <c r="BZ26" s="187">
        <v>0</v>
      </c>
      <c r="CA26" s="187">
        <v>0</v>
      </c>
      <c r="CB26" s="187">
        <v>0</v>
      </c>
      <c r="CC26" s="187">
        <v>0</v>
      </c>
      <c r="CD26" s="187">
        <v>333271.12512992101</v>
      </c>
      <c r="CE26" s="187">
        <v>1582380.3257208499</v>
      </c>
      <c r="CF26" s="187">
        <v>306420.28426208103</v>
      </c>
      <c r="CG26" s="187">
        <v>1748264.8549205801</v>
      </c>
      <c r="CH26" s="187">
        <v>317622.405994242</v>
      </c>
      <c r="CI26" s="187">
        <v>1273296.9105078999</v>
      </c>
    </row>
    <row r="27" spans="1:87" ht="15" customHeight="1">
      <c r="A27" s="153">
        <f>'Wksh 1 - Market Experience'!E15</f>
        <v>86660398.610533997</v>
      </c>
      <c r="B27" s="146" t="s">
        <v>162</v>
      </c>
      <c r="C27" s="200" t="s">
        <v>87</v>
      </c>
      <c r="D27" s="198">
        <f>SUM(E27:CI27)</f>
        <v>86660398.610533804</v>
      </c>
      <c r="E27" s="187">
        <v>7707937.2114886604</v>
      </c>
      <c r="F27" s="187">
        <v>739681.11800000002</v>
      </c>
      <c r="G27" s="187">
        <v>25749502.586351901</v>
      </c>
      <c r="H27" s="187">
        <v>277726.77149999997</v>
      </c>
      <c r="I27" s="187">
        <v>2953120.4415479102</v>
      </c>
      <c r="J27" s="187">
        <v>11047727.4747626</v>
      </c>
      <c r="K27" s="187">
        <v>102050.4785</v>
      </c>
      <c r="L27" s="187">
        <v>44151.500903253604</v>
      </c>
      <c r="M27" s="187">
        <v>186667.59899999999</v>
      </c>
      <c r="N27" s="187">
        <v>397666.40973915398</v>
      </c>
      <c r="O27" s="187">
        <v>223203.694930172</v>
      </c>
      <c r="P27" s="187">
        <v>627537.14575512602</v>
      </c>
      <c r="Q27" s="187">
        <v>0</v>
      </c>
      <c r="R27" s="187">
        <v>0</v>
      </c>
      <c r="S27" s="187">
        <v>0</v>
      </c>
      <c r="T27" s="187">
        <v>0</v>
      </c>
      <c r="U27" s="187">
        <v>0</v>
      </c>
      <c r="V27" s="187">
        <v>0</v>
      </c>
      <c r="W27" s="187">
        <v>0</v>
      </c>
      <c r="X27" s="187">
        <v>0</v>
      </c>
      <c r="Y27" s="187">
        <v>0</v>
      </c>
      <c r="Z27" s="187">
        <v>0</v>
      </c>
      <c r="AA27" s="187">
        <v>0</v>
      </c>
      <c r="AB27" s="187">
        <v>0</v>
      </c>
      <c r="AC27" s="187">
        <v>0</v>
      </c>
      <c r="AD27" s="187">
        <v>0</v>
      </c>
      <c r="AE27" s="187">
        <v>0</v>
      </c>
      <c r="AF27" s="187">
        <v>0</v>
      </c>
      <c r="AG27" s="187">
        <v>0</v>
      </c>
      <c r="AH27" s="187">
        <v>0</v>
      </c>
      <c r="AI27" s="187">
        <v>0</v>
      </c>
      <c r="AJ27" s="187">
        <v>0</v>
      </c>
      <c r="AK27" s="187">
        <v>10072139.593091199</v>
      </c>
      <c r="AL27" s="187">
        <v>50387.584000000003</v>
      </c>
      <c r="AM27" s="187">
        <v>898234.95680027094</v>
      </c>
      <c r="AN27" s="187">
        <v>1751407.92891532</v>
      </c>
      <c r="AO27" s="187">
        <v>118304.90855325801</v>
      </c>
      <c r="AP27" s="187">
        <v>578123.57863642299</v>
      </c>
      <c r="AQ27" s="187">
        <v>360511.35015517898</v>
      </c>
      <c r="AR27" s="187">
        <v>370910.23042687197</v>
      </c>
      <c r="AS27" s="187">
        <v>2068837.8132316701</v>
      </c>
      <c r="AT27" s="187">
        <v>1290666.6765983</v>
      </c>
      <c r="AU27" s="187">
        <v>77671.562000000005</v>
      </c>
      <c r="AV27" s="187">
        <v>105014.432</v>
      </c>
      <c r="AW27" s="187">
        <v>34330.593500000003</v>
      </c>
      <c r="AX27" s="187">
        <v>390162.69208612503</v>
      </c>
      <c r="AY27" s="187">
        <v>307584.97749999998</v>
      </c>
      <c r="AZ27" s="187">
        <v>2636059.7859407002</v>
      </c>
      <c r="BA27" s="187">
        <v>12209481.677182401</v>
      </c>
      <c r="BB27" s="187">
        <v>1722725.42654707</v>
      </c>
      <c r="BC27" s="187">
        <v>75972.248000000007</v>
      </c>
      <c r="BD27" s="187">
        <v>0</v>
      </c>
      <c r="BE27" s="187">
        <v>0</v>
      </c>
      <c r="BF27" s="187">
        <v>0</v>
      </c>
      <c r="BG27" s="187">
        <v>0</v>
      </c>
      <c r="BH27" s="187">
        <v>0</v>
      </c>
      <c r="BI27" s="187">
        <v>0</v>
      </c>
      <c r="BJ27" s="187">
        <v>0</v>
      </c>
      <c r="BK27" s="187">
        <v>0</v>
      </c>
      <c r="BL27" s="187">
        <v>0</v>
      </c>
      <c r="BM27" s="187">
        <v>0</v>
      </c>
      <c r="BN27" s="187">
        <v>0</v>
      </c>
      <c r="BO27" s="187">
        <v>0</v>
      </c>
      <c r="BP27" s="187">
        <v>0</v>
      </c>
      <c r="BQ27" s="187">
        <v>0</v>
      </c>
      <c r="BR27" s="187">
        <v>0</v>
      </c>
      <c r="BS27" s="187">
        <v>0</v>
      </c>
      <c r="BT27" s="187">
        <v>0</v>
      </c>
      <c r="BU27" s="187">
        <v>0</v>
      </c>
      <c r="BV27" s="187">
        <v>0</v>
      </c>
      <c r="BW27" s="187">
        <v>0</v>
      </c>
      <c r="BX27" s="187">
        <v>0</v>
      </c>
      <c r="BY27" s="187">
        <v>0</v>
      </c>
      <c r="BZ27" s="187">
        <v>0</v>
      </c>
      <c r="CA27" s="187">
        <v>0</v>
      </c>
      <c r="CB27" s="187">
        <v>0</v>
      </c>
      <c r="CC27" s="187">
        <v>0</v>
      </c>
      <c r="CD27" s="187">
        <v>124808.968324517</v>
      </c>
      <c r="CE27" s="187">
        <v>362484.94449999998</v>
      </c>
      <c r="CF27" s="187">
        <v>78250.592000000106</v>
      </c>
      <c r="CG27" s="187">
        <v>432652.34806021297</v>
      </c>
      <c r="CH27" s="187">
        <v>71397.279505512895</v>
      </c>
      <c r="CI27" s="187">
        <v>415304.03049999999</v>
      </c>
    </row>
    <row r="28" spans="1:87" ht="15" customHeight="1">
      <c r="A28" s="154"/>
      <c r="B28" s="146" t="s">
        <v>163</v>
      </c>
      <c r="C28" s="147" t="s">
        <v>111</v>
      </c>
      <c r="D28" s="201">
        <f>SUM(E28:CI28)</f>
        <v>40633870.94712434</v>
      </c>
      <c r="E28" s="187">
        <v>6491858.0863623098</v>
      </c>
      <c r="F28" s="187">
        <v>1606302.97884301</v>
      </c>
      <c r="G28" s="187">
        <v>9330948.1227295399</v>
      </c>
      <c r="H28" s="187">
        <v>168542.07707415399</v>
      </c>
      <c r="I28" s="187">
        <v>2438858.7718550698</v>
      </c>
      <c r="J28" s="187">
        <v>5678380.1829577098</v>
      </c>
      <c r="K28" s="187">
        <v>139727.910671355</v>
      </c>
      <c r="L28" s="187">
        <v>238623.479728665</v>
      </c>
      <c r="M28" s="187">
        <v>157749.01296055099</v>
      </c>
      <c r="N28" s="187">
        <v>431998.96559597802</v>
      </c>
      <c r="O28" s="187">
        <v>202223.64281316899</v>
      </c>
      <c r="P28" s="187">
        <v>301808.37342733599</v>
      </c>
      <c r="Q28" s="187">
        <v>0</v>
      </c>
      <c r="R28" s="187">
        <v>0</v>
      </c>
      <c r="S28" s="187">
        <v>0</v>
      </c>
      <c r="T28" s="187">
        <v>0</v>
      </c>
      <c r="U28" s="187">
        <v>0</v>
      </c>
      <c r="V28" s="187">
        <v>0</v>
      </c>
      <c r="W28" s="187">
        <v>0</v>
      </c>
      <c r="X28" s="187">
        <v>0</v>
      </c>
      <c r="Y28" s="187">
        <v>0</v>
      </c>
      <c r="Z28" s="187">
        <v>0</v>
      </c>
      <c r="AA28" s="187">
        <v>0</v>
      </c>
      <c r="AB28" s="187">
        <v>0</v>
      </c>
      <c r="AC28" s="187">
        <v>0</v>
      </c>
      <c r="AD28" s="187">
        <v>0</v>
      </c>
      <c r="AE28" s="187">
        <v>0</v>
      </c>
      <c r="AF28" s="187">
        <v>0</v>
      </c>
      <c r="AG28" s="187">
        <v>0</v>
      </c>
      <c r="AH28" s="187">
        <v>0</v>
      </c>
      <c r="AI28" s="187">
        <v>0</v>
      </c>
      <c r="AJ28" s="187">
        <v>0</v>
      </c>
      <c r="AK28" s="187">
        <v>2451366.8530731099</v>
      </c>
      <c r="AL28" s="187">
        <v>28787.347288335601</v>
      </c>
      <c r="AM28" s="187">
        <v>262899.856366336</v>
      </c>
      <c r="AN28" s="187">
        <v>379574.70029402501</v>
      </c>
      <c r="AO28" s="187">
        <v>212547.369352662</v>
      </c>
      <c r="AP28" s="187">
        <v>378357.39974697301</v>
      </c>
      <c r="AQ28" s="187">
        <v>252041.951743249</v>
      </c>
      <c r="AR28" s="187">
        <v>264282.06662773498</v>
      </c>
      <c r="AS28" s="187">
        <v>636928.115123166</v>
      </c>
      <c r="AT28" s="187">
        <v>532235.71889312798</v>
      </c>
      <c r="AU28" s="187">
        <v>35327.918314042698</v>
      </c>
      <c r="AV28" s="187">
        <v>78390.295273093594</v>
      </c>
      <c r="AW28" s="187">
        <v>63407.5296211229</v>
      </c>
      <c r="AX28" s="187">
        <v>408280.74068794999</v>
      </c>
      <c r="AY28" s="187">
        <v>241737.341832918</v>
      </c>
      <c r="AZ28" s="187">
        <v>953930.04805821006</v>
      </c>
      <c r="BA28" s="187">
        <v>3343924.9444898702</v>
      </c>
      <c r="BB28" s="187">
        <v>1347505.7527034299</v>
      </c>
      <c r="BC28" s="187">
        <v>161660.378266883</v>
      </c>
      <c r="BD28" s="187">
        <v>0</v>
      </c>
      <c r="BE28" s="187">
        <v>0</v>
      </c>
      <c r="BF28" s="187">
        <v>0</v>
      </c>
      <c r="BG28" s="187">
        <v>0</v>
      </c>
      <c r="BH28" s="187">
        <v>0</v>
      </c>
      <c r="BI28" s="187">
        <v>0</v>
      </c>
      <c r="BJ28" s="187">
        <v>0</v>
      </c>
      <c r="BK28" s="187">
        <v>0</v>
      </c>
      <c r="BL28" s="187">
        <v>0</v>
      </c>
      <c r="BM28" s="187">
        <v>0</v>
      </c>
      <c r="BN28" s="187">
        <v>0</v>
      </c>
      <c r="BO28" s="187">
        <v>0</v>
      </c>
      <c r="BP28" s="187">
        <v>0</v>
      </c>
      <c r="BQ28" s="187">
        <v>0</v>
      </c>
      <c r="BR28" s="187">
        <v>0</v>
      </c>
      <c r="BS28" s="187">
        <v>0</v>
      </c>
      <c r="BT28" s="187">
        <v>0</v>
      </c>
      <c r="BU28" s="187">
        <v>0</v>
      </c>
      <c r="BV28" s="187">
        <v>0</v>
      </c>
      <c r="BW28" s="187">
        <v>0</v>
      </c>
      <c r="BX28" s="187">
        <v>0</v>
      </c>
      <c r="BY28" s="187">
        <v>0</v>
      </c>
      <c r="BZ28" s="187">
        <v>0</v>
      </c>
      <c r="CA28" s="187">
        <v>0</v>
      </c>
      <c r="CB28" s="187">
        <v>0</v>
      </c>
      <c r="CC28" s="187">
        <v>0</v>
      </c>
      <c r="CD28" s="187">
        <v>34748.180728920801</v>
      </c>
      <c r="CE28" s="187">
        <v>465202.05660482601</v>
      </c>
      <c r="CF28" s="187">
        <v>81346.368822267497</v>
      </c>
      <c r="CG28" s="187">
        <v>451477.59743699501</v>
      </c>
      <c r="CH28" s="187">
        <v>71844.314928360196</v>
      </c>
      <c r="CI28" s="187">
        <v>309044.49582787399</v>
      </c>
    </row>
    <row r="29" spans="1:87" ht="15" customHeight="1">
      <c r="A29" s="154"/>
      <c r="B29" s="146" t="s">
        <v>164</v>
      </c>
      <c r="C29" s="156" t="s">
        <v>112</v>
      </c>
      <c r="D29" s="201">
        <f>SUM(E29:CI29)</f>
        <v>0</v>
      </c>
      <c r="E29" s="187">
        <v>0</v>
      </c>
      <c r="F29" s="187">
        <v>0</v>
      </c>
      <c r="G29" s="187">
        <v>0</v>
      </c>
      <c r="H29" s="187">
        <v>0</v>
      </c>
      <c r="I29" s="187">
        <v>0</v>
      </c>
      <c r="J29" s="187">
        <v>0</v>
      </c>
      <c r="K29" s="187">
        <v>0</v>
      </c>
      <c r="L29" s="187">
        <v>0</v>
      </c>
      <c r="M29" s="187">
        <v>0</v>
      </c>
      <c r="N29" s="187">
        <v>0</v>
      </c>
      <c r="O29" s="187">
        <v>0</v>
      </c>
      <c r="P29" s="187">
        <v>0</v>
      </c>
      <c r="Q29" s="187">
        <v>0</v>
      </c>
      <c r="R29" s="187">
        <v>0</v>
      </c>
      <c r="S29" s="187">
        <v>0</v>
      </c>
      <c r="T29" s="187">
        <v>0</v>
      </c>
      <c r="U29" s="187">
        <v>0</v>
      </c>
      <c r="V29" s="187">
        <v>0</v>
      </c>
      <c r="W29" s="187">
        <v>0</v>
      </c>
      <c r="X29" s="187">
        <v>0</v>
      </c>
      <c r="Y29" s="187">
        <v>0</v>
      </c>
      <c r="Z29" s="187">
        <v>0</v>
      </c>
      <c r="AA29" s="187">
        <v>0</v>
      </c>
      <c r="AB29" s="187">
        <v>0</v>
      </c>
      <c r="AC29" s="187">
        <v>0</v>
      </c>
      <c r="AD29" s="187">
        <v>0</v>
      </c>
      <c r="AE29" s="187">
        <v>0</v>
      </c>
      <c r="AF29" s="187">
        <v>0</v>
      </c>
      <c r="AG29" s="187">
        <v>0</v>
      </c>
      <c r="AH29" s="187">
        <v>0</v>
      </c>
      <c r="AI29" s="187">
        <v>0</v>
      </c>
      <c r="AJ29" s="187">
        <v>0</v>
      </c>
      <c r="AK29" s="187">
        <v>0</v>
      </c>
      <c r="AL29" s="187">
        <v>0</v>
      </c>
      <c r="AM29" s="187">
        <v>0</v>
      </c>
      <c r="AN29" s="187">
        <v>0</v>
      </c>
      <c r="AO29" s="187">
        <v>0</v>
      </c>
      <c r="AP29" s="187">
        <v>0</v>
      </c>
      <c r="AQ29" s="187">
        <v>0</v>
      </c>
      <c r="AR29" s="187">
        <v>0</v>
      </c>
      <c r="AS29" s="187">
        <v>0</v>
      </c>
      <c r="AT29" s="187">
        <v>0</v>
      </c>
      <c r="AU29" s="187">
        <v>0</v>
      </c>
      <c r="AV29" s="187">
        <v>0</v>
      </c>
      <c r="AW29" s="187">
        <v>0</v>
      </c>
      <c r="AX29" s="187">
        <v>0</v>
      </c>
      <c r="AY29" s="187">
        <v>0</v>
      </c>
      <c r="AZ29" s="187">
        <v>0</v>
      </c>
      <c r="BA29" s="187">
        <v>0</v>
      </c>
      <c r="BB29" s="187">
        <v>0</v>
      </c>
      <c r="BC29" s="187">
        <v>0</v>
      </c>
      <c r="BD29" s="187">
        <v>0</v>
      </c>
      <c r="BE29" s="187">
        <v>0</v>
      </c>
      <c r="BF29" s="187">
        <v>0</v>
      </c>
      <c r="BG29" s="187">
        <v>0</v>
      </c>
      <c r="BH29" s="187">
        <v>0</v>
      </c>
      <c r="BI29" s="187">
        <v>0</v>
      </c>
      <c r="BJ29" s="187">
        <v>0</v>
      </c>
      <c r="BK29" s="187">
        <v>0</v>
      </c>
      <c r="BL29" s="187">
        <v>0</v>
      </c>
      <c r="BM29" s="187">
        <v>0</v>
      </c>
      <c r="BN29" s="187">
        <v>0</v>
      </c>
      <c r="BO29" s="187">
        <v>0</v>
      </c>
      <c r="BP29" s="187">
        <v>0</v>
      </c>
      <c r="BQ29" s="187">
        <v>0</v>
      </c>
      <c r="BR29" s="187">
        <v>0</v>
      </c>
      <c r="BS29" s="187">
        <v>0</v>
      </c>
      <c r="BT29" s="187">
        <v>0</v>
      </c>
      <c r="BU29" s="187">
        <v>0</v>
      </c>
      <c r="BV29" s="187">
        <v>0</v>
      </c>
      <c r="BW29" s="187">
        <v>0</v>
      </c>
      <c r="BX29" s="187">
        <v>0</v>
      </c>
      <c r="BY29" s="187">
        <v>0</v>
      </c>
      <c r="BZ29" s="187">
        <v>0</v>
      </c>
      <c r="CA29" s="187">
        <v>0</v>
      </c>
      <c r="CB29" s="187">
        <v>0</v>
      </c>
      <c r="CC29" s="187">
        <v>0</v>
      </c>
      <c r="CD29" s="187">
        <v>0</v>
      </c>
      <c r="CE29" s="187">
        <v>0</v>
      </c>
      <c r="CF29" s="187">
        <v>0</v>
      </c>
      <c r="CG29" s="187">
        <v>0</v>
      </c>
      <c r="CH29" s="187">
        <v>0</v>
      </c>
      <c r="CI29" s="187">
        <v>0</v>
      </c>
    </row>
    <row r="30" spans="1:87" ht="15" customHeight="1">
      <c r="A30" s="153">
        <f>'Wksh 1 - Market Experience'!E16</f>
        <v>197459564.28762701</v>
      </c>
      <c r="B30" s="146" t="s">
        <v>165</v>
      </c>
      <c r="C30" s="147" t="s">
        <v>113</v>
      </c>
      <c r="D30" s="201">
        <f t="shared" ref="D30:AI30" si="3">D26-D27-D28-D29</f>
        <v>197459564.28762716</v>
      </c>
      <c r="E30" s="217">
        <f t="shared" si="3"/>
        <v>18951822.106817029</v>
      </c>
      <c r="F30" s="217">
        <f t="shared" si="3"/>
        <v>3599364.6595551101</v>
      </c>
      <c r="G30" s="217">
        <f t="shared" si="3"/>
        <v>52410723.986997858</v>
      </c>
      <c r="H30" s="217">
        <f t="shared" si="3"/>
        <v>303137.20282393205</v>
      </c>
      <c r="I30" s="217">
        <f t="shared" si="3"/>
        <v>7762446.3766267207</v>
      </c>
      <c r="J30" s="217">
        <f t="shared" si="3"/>
        <v>27064168.68011089</v>
      </c>
      <c r="K30" s="217">
        <f t="shared" si="3"/>
        <v>467282.0332216071</v>
      </c>
      <c r="L30" s="217">
        <f t="shared" si="3"/>
        <v>353952.54988451849</v>
      </c>
      <c r="M30" s="217">
        <f t="shared" si="3"/>
        <v>477446.93794444099</v>
      </c>
      <c r="N30" s="217">
        <f t="shared" si="3"/>
        <v>1271373.4877055578</v>
      </c>
      <c r="O30" s="217">
        <f t="shared" si="3"/>
        <v>926352.06712341891</v>
      </c>
      <c r="P30" s="217">
        <f t="shared" si="3"/>
        <v>1994556.2226879178</v>
      </c>
      <c r="Q30" s="217">
        <f t="shared" si="3"/>
        <v>0</v>
      </c>
      <c r="R30" s="217">
        <f t="shared" si="3"/>
        <v>0</v>
      </c>
      <c r="S30" s="217">
        <f t="shared" si="3"/>
        <v>0</v>
      </c>
      <c r="T30" s="217">
        <f t="shared" si="3"/>
        <v>0</v>
      </c>
      <c r="U30" s="217">
        <f t="shared" si="3"/>
        <v>0</v>
      </c>
      <c r="V30" s="217">
        <f t="shared" si="3"/>
        <v>0</v>
      </c>
      <c r="W30" s="217">
        <f t="shared" si="3"/>
        <v>0</v>
      </c>
      <c r="X30" s="217">
        <f t="shared" si="3"/>
        <v>0</v>
      </c>
      <c r="Y30" s="217">
        <f t="shared" si="3"/>
        <v>0</v>
      </c>
      <c r="Z30" s="217">
        <f t="shared" si="3"/>
        <v>0</v>
      </c>
      <c r="AA30" s="217">
        <f t="shared" si="3"/>
        <v>0</v>
      </c>
      <c r="AB30" s="217">
        <f t="shared" si="3"/>
        <v>0</v>
      </c>
      <c r="AC30" s="217">
        <f t="shared" si="3"/>
        <v>0</v>
      </c>
      <c r="AD30" s="217">
        <f t="shared" si="3"/>
        <v>0</v>
      </c>
      <c r="AE30" s="217">
        <f t="shared" si="3"/>
        <v>0</v>
      </c>
      <c r="AF30" s="217">
        <f t="shared" si="3"/>
        <v>0</v>
      </c>
      <c r="AG30" s="217">
        <f t="shared" si="3"/>
        <v>0</v>
      </c>
      <c r="AH30" s="217">
        <f t="shared" si="3"/>
        <v>0</v>
      </c>
      <c r="AI30" s="217">
        <f t="shared" si="3"/>
        <v>0</v>
      </c>
      <c r="AJ30" s="217">
        <f t="shared" ref="AJ30:BO30" si="4">AJ26-AJ27-AJ28-AJ29</f>
        <v>0</v>
      </c>
      <c r="AK30" s="217">
        <f t="shared" si="4"/>
        <v>23341470.158581596</v>
      </c>
      <c r="AL30" s="217">
        <f t="shared" si="4"/>
        <v>170732.70434252138</v>
      </c>
      <c r="AM30" s="217">
        <f t="shared" si="4"/>
        <v>2220139.6712743435</v>
      </c>
      <c r="AN30" s="217">
        <f t="shared" si="4"/>
        <v>4766782.2663017046</v>
      </c>
      <c r="AO30" s="217">
        <f t="shared" si="4"/>
        <v>429856.43131421995</v>
      </c>
      <c r="AP30" s="217">
        <f t="shared" si="4"/>
        <v>1133869.3601963639</v>
      </c>
      <c r="AQ30" s="217">
        <f t="shared" si="4"/>
        <v>1216733.4320464621</v>
      </c>
      <c r="AR30" s="217">
        <f t="shared" si="4"/>
        <v>1290909.2671054529</v>
      </c>
      <c r="AS30" s="217">
        <f t="shared" si="4"/>
        <v>4090723.2864891337</v>
      </c>
      <c r="AT30" s="217">
        <f t="shared" si="4"/>
        <v>3262875.4585370817</v>
      </c>
      <c r="AU30" s="217">
        <f t="shared" si="4"/>
        <v>236824.85418196526</v>
      </c>
      <c r="AV30" s="217">
        <f t="shared" si="4"/>
        <v>264152.46376274736</v>
      </c>
      <c r="AW30" s="217">
        <f t="shared" si="4"/>
        <v>314572.34031290305</v>
      </c>
      <c r="AX30" s="217">
        <f t="shared" si="4"/>
        <v>1477361.9602293249</v>
      </c>
      <c r="AY30" s="217">
        <f t="shared" si="4"/>
        <v>762838.13257180189</v>
      </c>
      <c r="AZ30" s="217">
        <f t="shared" si="4"/>
        <v>6511866.6510967901</v>
      </c>
      <c r="BA30" s="217">
        <f t="shared" si="4"/>
        <v>24588572.935150329</v>
      </c>
      <c r="BB30" s="217">
        <f t="shared" si="4"/>
        <v>2968970.4499243302</v>
      </c>
      <c r="BC30" s="217">
        <f t="shared" si="4"/>
        <v>164991.423412987</v>
      </c>
      <c r="BD30" s="217">
        <f t="shared" si="4"/>
        <v>0</v>
      </c>
      <c r="BE30" s="217">
        <f t="shared" si="4"/>
        <v>0</v>
      </c>
      <c r="BF30" s="217">
        <f t="shared" si="4"/>
        <v>0</v>
      </c>
      <c r="BG30" s="217">
        <f t="shared" si="4"/>
        <v>0</v>
      </c>
      <c r="BH30" s="217">
        <f t="shared" si="4"/>
        <v>0</v>
      </c>
      <c r="BI30" s="217">
        <f t="shared" si="4"/>
        <v>0</v>
      </c>
      <c r="BJ30" s="217">
        <f t="shared" si="4"/>
        <v>0</v>
      </c>
      <c r="BK30" s="217">
        <f t="shared" si="4"/>
        <v>0</v>
      </c>
      <c r="BL30" s="217">
        <f t="shared" si="4"/>
        <v>0</v>
      </c>
      <c r="BM30" s="217">
        <f t="shared" si="4"/>
        <v>0</v>
      </c>
      <c r="BN30" s="217">
        <f t="shared" si="4"/>
        <v>0</v>
      </c>
      <c r="BO30" s="217">
        <f t="shared" si="4"/>
        <v>0</v>
      </c>
      <c r="BP30" s="217">
        <f t="shared" ref="BP30:CI30" si="5">BP26-BP27-BP28-BP29</f>
        <v>0</v>
      </c>
      <c r="BQ30" s="217">
        <f t="shared" si="5"/>
        <v>0</v>
      </c>
      <c r="BR30" s="217">
        <f t="shared" si="5"/>
        <v>0</v>
      </c>
      <c r="BS30" s="217">
        <f t="shared" si="5"/>
        <v>0</v>
      </c>
      <c r="BT30" s="217">
        <f t="shared" si="5"/>
        <v>0</v>
      </c>
      <c r="BU30" s="217">
        <f t="shared" si="5"/>
        <v>0</v>
      </c>
      <c r="BV30" s="217">
        <f t="shared" si="5"/>
        <v>0</v>
      </c>
      <c r="BW30" s="217">
        <f t="shared" si="5"/>
        <v>0</v>
      </c>
      <c r="BX30" s="217">
        <f t="shared" si="5"/>
        <v>0</v>
      </c>
      <c r="BY30" s="217">
        <f t="shared" si="5"/>
        <v>0</v>
      </c>
      <c r="BZ30" s="217">
        <f t="shared" si="5"/>
        <v>0</v>
      </c>
      <c r="CA30" s="217">
        <f t="shared" si="5"/>
        <v>0</v>
      </c>
      <c r="CB30" s="217">
        <f t="shared" si="5"/>
        <v>0</v>
      </c>
      <c r="CC30" s="217">
        <f t="shared" si="5"/>
        <v>0</v>
      </c>
      <c r="CD30" s="217">
        <f t="shared" si="5"/>
        <v>173713.9760764832</v>
      </c>
      <c r="CE30" s="217">
        <f t="shared" si="5"/>
        <v>754693.32461602392</v>
      </c>
      <c r="CF30" s="217">
        <f t="shared" si="5"/>
        <v>146823.32343981339</v>
      </c>
      <c r="CG30" s="217">
        <f t="shared" si="5"/>
        <v>864134.90942337201</v>
      </c>
      <c r="CH30" s="217">
        <f t="shared" si="5"/>
        <v>174380.81156036889</v>
      </c>
      <c r="CI30" s="217">
        <f t="shared" si="5"/>
        <v>548948.3841800259</v>
      </c>
    </row>
    <row r="31" spans="1:87" ht="15" customHeight="1">
      <c r="A31" s="153">
        <f>'Wksh 1 - Market Experience'!E17</f>
        <v>1277544.88891754</v>
      </c>
      <c r="B31" s="146" t="s">
        <v>166</v>
      </c>
      <c r="C31" s="156" t="s">
        <v>114</v>
      </c>
      <c r="D31" s="201">
        <f>SUM(E31:CI31)</f>
        <v>1277544.8889175567</v>
      </c>
      <c r="E31" s="187">
        <v>-5055741.42586347</v>
      </c>
      <c r="F31" s="187">
        <v>-2518134.5330263302</v>
      </c>
      <c r="G31" s="187">
        <v>4798979.8660311503</v>
      </c>
      <c r="H31" s="187">
        <v>132201.35912928201</v>
      </c>
      <c r="I31" s="187">
        <v>-852262.60894550895</v>
      </c>
      <c r="J31" s="187">
        <v>2774147.7115668599</v>
      </c>
      <c r="K31" s="187">
        <v>-240821.24536930901</v>
      </c>
      <c r="L31" s="187">
        <v>-149373.33142479899</v>
      </c>
      <c r="M31" s="187">
        <v>-232153.71907691201</v>
      </c>
      <c r="N31" s="187">
        <v>-345769.67518999602</v>
      </c>
      <c r="O31" s="187">
        <v>-135932.538871217</v>
      </c>
      <c r="P31" s="187">
        <v>-158035.45213584899</v>
      </c>
      <c r="Q31" s="187">
        <v>0</v>
      </c>
      <c r="R31" s="187">
        <v>0</v>
      </c>
      <c r="S31" s="187">
        <v>0</v>
      </c>
      <c r="T31" s="187">
        <v>0</v>
      </c>
      <c r="U31" s="187">
        <v>0</v>
      </c>
      <c r="V31" s="187">
        <v>0</v>
      </c>
      <c r="W31" s="187">
        <v>0</v>
      </c>
      <c r="X31" s="187">
        <v>0</v>
      </c>
      <c r="Y31" s="187">
        <v>0</v>
      </c>
      <c r="Z31" s="187">
        <v>0</v>
      </c>
      <c r="AA31" s="187">
        <v>0</v>
      </c>
      <c r="AB31" s="187">
        <v>0</v>
      </c>
      <c r="AC31" s="187">
        <v>0</v>
      </c>
      <c r="AD31" s="187">
        <v>0</v>
      </c>
      <c r="AE31" s="187">
        <v>0</v>
      </c>
      <c r="AF31" s="187">
        <v>0</v>
      </c>
      <c r="AG31" s="187">
        <v>0</v>
      </c>
      <c r="AH31" s="187">
        <v>0</v>
      </c>
      <c r="AI31" s="187">
        <v>0</v>
      </c>
      <c r="AJ31" s="187">
        <v>0</v>
      </c>
      <c r="AK31" s="187">
        <v>9442139.4682250097</v>
      </c>
      <c r="AL31" s="187">
        <v>106869.581251767</v>
      </c>
      <c r="AM31" s="187">
        <v>356321.57297626202</v>
      </c>
      <c r="AN31" s="187">
        <v>1414845.30254509</v>
      </c>
      <c r="AO31" s="187">
        <v>-195341.96345776899</v>
      </c>
      <c r="AP31" s="187">
        <v>-521991.03483628097</v>
      </c>
      <c r="AQ31" s="187">
        <v>-120256.580463053</v>
      </c>
      <c r="AR31" s="187">
        <v>145218.65859327701</v>
      </c>
      <c r="AS31" s="187">
        <v>617744.99186122301</v>
      </c>
      <c r="AT31" s="187">
        <v>-513351.84410095599</v>
      </c>
      <c r="AU31" s="187">
        <v>26645.757972194999</v>
      </c>
      <c r="AV31" s="187">
        <v>192437.169475729</v>
      </c>
      <c r="AW31" s="187">
        <v>-6598.2455566956096</v>
      </c>
      <c r="AX31" s="187">
        <v>-180023.823395771</v>
      </c>
      <c r="AY31" s="187">
        <v>-216241.36417699099</v>
      </c>
      <c r="AZ31" s="187">
        <v>284504.780286511</v>
      </c>
      <c r="BA31" s="187">
        <v>-2324585.3450710899</v>
      </c>
      <c r="BB31" s="187">
        <v>-2522617.8351582</v>
      </c>
      <c r="BC31" s="187">
        <v>-105740.809787119</v>
      </c>
      <c r="BD31" s="187">
        <v>0</v>
      </c>
      <c r="BE31" s="187">
        <v>0</v>
      </c>
      <c r="BF31" s="187">
        <v>0</v>
      </c>
      <c r="BG31" s="187">
        <v>0</v>
      </c>
      <c r="BH31" s="187">
        <v>0</v>
      </c>
      <c r="BI31" s="187">
        <v>0</v>
      </c>
      <c r="BJ31" s="187">
        <v>0</v>
      </c>
      <c r="BK31" s="187">
        <v>0</v>
      </c>
      <c r="BL31" s="187">
        <v>0</v>
      </c>
      <c r="BM31" s="187">
        <v>0</v>
      </c>
      <c r="BN31" s="187">
        <v>0</v>
      </c>
      <c r="BO31" s="187">
        <v>0</v>
      </c>
      <c r="BP31" s="187">
        <v>0</v>
      </c>
      <c r="BQ31" s="187">
        <v>0</v>
      </c>
      <c r="BR31" s="187">
        <v>0</v>
      </c>
      <c r="BS31" s="187">
        <v>0</v>
      </c>
      <c r="BT31" s="187">
        <v>0</v>
      </c>
      <c r="BU31" s="187">
        <v>0</v>
      </c>
      <c r="BV31" s="187">
        <v>0</v>
      </c>
      <c r="BW31" s="187">
        <v>0</v>
      </c>
      <c r="BX31" s="187">
        <v>0</v>
      </c>
      <c r="BY31" s="187">
        <v>0</v>
      </c>
      <c r="BZ31" s="187">
        <v>0</v>
      </c>
      <c r="CA31" s="187">
        <v>0</v>
      </c>
      <c r="CB31" s="187">
        <v>0</v>
      </c>
      <c r="CC31" s="187">
        <v>0</v>
      </c>
      <c r="CD31" s="187">
        <v>90950.835196956206</v>
      </c>
      <c r="CE31" s="187">
        <v>-1233109.67581064</v>
      </c>
      <c r="CF31" s="187">
        <v>-160280.996549181</v>
      </c>
      <c r="CG31" s="187">
        <v>-967797.96019031201</v>
      </c>
      <c r="CH31" s="187">
        <v>-164330.51558525101</v>
      </c>
      <c r="CI31" s="187">
        <v>-184969.64215105399</v>
      </c>
    </row>
    <row r="32" spans="1:87" ht="15" customHeight="1">
      <c r="A32" s="153">
        <f>'Wksh 1 - Market Experience'!E18</f>
        <v>228584528.00999999</v>
      </c>
      <c r="B32" s="146" t="s">
        <v>167</v>
      </c>
      <c r="C32" s="156" t="s">
        <v>115</v>
      </c>
      <c r="D32" s="201">
        <f>SUM(E32:CI32)</f>
        <v>228584528.00999987</v>
      </c>
      <c r="E32" s="187">
        <v>25896130.760000002</v>
      </c>
      <c r="F32" s="187">
        <v>6395127.1799999904</v>
      </c>
      <c r="G32" s="187">
        <v>56430666.019999698</v>
      </c>
      <c r="H32" s="187">
        <v>559423.46</v>
      </c>
      <c r="I32" s="187">
        <v>9821147.3200000208</v>
      </c>
      <c r="J32" s="187">
        <v>30448571.410000101</v>
      </c>
      <c r="K32" s="187">
        <v>507509.09</v>
      </c>
      <c r="L32" s="187">
        <v>758455.83000000205</v>
      </c>
      <c r="M32" s="187">
        <v>603209.75</v>
      </c>
      <c r="N32" s="187">
        <v>1822938.69</v>
      </c>
      <c r="O32" s="187">
        <v>1099737.3400000001</v>
      </c>
      <c r="P32" s="187">
        <v>2092266.5</v>
      </c>
      <c r="Q32" s="187">
        <v>0</v>
      </c>
      <c r="R32" s="187">
        <v>0</v>
      </c>
      <c r="S32" s="187">
        <v>0</v>
      </c>
      <c r="T32" s="187">
        <v>0</v>
      </c>
      <c r="U32" s="187">
        <v>0</v>
      </c>
      <c r="V32" s="187">
        <v>0</v>
      </c>
      <c r="W32" s="187">
        <v>0</v>
      </c>
      <c r="X32" s="187">
        <v>0</v>
      </c>
      <c r="Y32" s="187">
        <v>0</v>
      </c>
      <c r="Z32" s="187">
        <v>0</v>
      </c>
      <c r="AA32" s="187">
        <v>0</v>
      </c>
      <c r="AB32" s="187">
        <v>0</v>
      </c>
      <c r="AC32" s="187">
        <v>0</v>
      </c>
      <c r="AD32" s="187">
        <v>0</v>
      </c>
      <c r="AE32" s="187">
        <v>0</v>
      </c>
      <c r="AF32" s="187">
        <v>0</v>
      </c>
      <c r="AG32" s="187">
        <v>0</v>
      </c>
      <c r="AH32" s="187">
        <v>0</v>
      </c>
      <c r="AI32" s="187">
        <v>0</v>
      </c>
      <c r="AJ32" s="187">
        <v>0</v>
      </c>
      <c r="AK32" s="187">
        <v>16527683.9400001</v>
      </c>
      <c r="AL32" s="187">
        <v>198381.71</v>
      </c>
      <c r="AM32" s="187">
        <v>1957939.59</v>
      </c>
      <c r="AN32" s="187">
        <v>3448341.26000001</v>
      </c>
      <c r="AO32" s="187">
        <v>839636.64000000397</v>
      </c>
      <c r="AP32" s="187">
        <v>1719953.17</v>
      </c>
      <c r="AQ32" s="187">
        <v>1511843.2</v>
      </c>
      <c r="AR32" s="187">
        <v>1422357.02</v>
      </c>
      <c r="AS32" s="187">
        <v>3697995.3300000201</v>
      </c>
      <c r="AT32" s="187">
        <v>3687810.67</v>
      </c>
      <c r="AU32" s="187">
        <v>185853.76</v>
      </c>
      <c r="AV32" s="187">
        <v>279117.38</v>
      </c>
      <c r="AW32" s="187">
        <v>244287.94</v>
      </c>
      <c r="AX32" s="187">
        <v>1706008.3</v>
      </c>
      <c r="AY32" s="187">
        <v>1101962.2</v>
      </c>
      <c r="AZ32" s="187">
        <v>8065808.6399999997</v>
      </c>
      <c r="BA32" s="187">
        <v>33398951.25</v>
      </c>
      <c r="BB32" s="187">
        <v>5816253.6199999703</v>
      </c>
      <c r="BC32" s="187">
        <v>321986.83000000101</v>
      </c>
      <c r="BD32" s="187">
        <v>0</v>
      </c>
      <c r="BE32" s="187">
        <v>0</v>
      </c>
      <c r="BF32" s="187">
        <v>0</v>
      </c>
      <c r="BG32" s="187">
        <v>0</v>
      </c>
      <c r="BH32" s="187">
        <v>0</v>
      </c>
      <c r="BI32" s="187">
        <v>0</v>
      </c>
      <c r="BJ32" s="187">
        <v>0</v>
      </c>
      <c r="BK32" s="187">
        <v>0</v>
      </c>
      <c r="BL32" s="187">
        <v>0</v>
      </c>
      <c r="BM32" s="187">
        <v>0</v>
      </c>
      <c r="BN32" s="187">
        <v>0</v>
      </c>
      <c r="BO32" s="187">
        <v>0</v>
      </c>
      <c r="BP32" s="187">
        <v>0</v>
      </c>
      <c r="BQ32" s="187">
        <v>0</v>
      </c>
      <c r="BR32" s="187">
        <v>0</v>
      </c>
      <c r="BS32" s="187">
        <v>0</v>
      </c>
      <c r="BT32" s="187">
        <v>0</v>
      </c>
      <c r="BU32" s="187">
        <v>0</v>
      </c>
      <c r="BV32" s="187">
        <v>0</v>
      </c>
      <c r="BW32" s="187">
        <v>0</v>
      </c>
      <c r="BX32" s="187">
        <v>0</v>
      </c>
      <c r="BY32" s="187">
        <v>0</v>
      </c>
      <c r="BZ32" s="187">
        <v>0</v>
      </c>
      <c r="CA32" s="187">
        <v>0</v>
      </c>
      <c r="CB32" s="187">
        <v>0</v>
      </c>
      <c r="CC32" s="187">
        <v>0</v>
      </c>
      <c r="CD32" s="187">
        <v>144014.97</v>
      </c>
      <c r="CE32" s="187">
        <v>2339515.9300000099</v>
      </c>
      <c r="CF32" s="187">
        <v>315663.17</v>
      </c>
      <c r="CG32" s="187">
        <v>1933093.4</v>
      </c>
      <c r="CH32" s="187">
        <v>374572.71</v>
      </c>
      <c r="CI32" s="187">
        <v>910312.03000000305</v>
      </c>
    </row>
    <row r="33" spans="1:87" ht="15" customHeight="1">
      <c r="A33" s="157">
        <f>'Wksh 1 - Market Experience'!E19</f>
        <v>451816</v>
      </c>
      <c r="B33" s="146" t="s">
        <v>168</v>
      </c>
      <c r="C33" s="156" t="s">
        <v>22</v>
      </c>
      <c r="D33" s="202">
        <f>SUM(E33:CI33)</f>
        <v>451816</v>
      </c>
      <c r="E33" s="218">
        <v>48414</v>
      </c>
      <c r="F33" s="218">
        <v>15081</v>
      </c>
      <c r="G33" s="218">
        <v>108426</v>
      </c>
      <c r="H33" s="218">
        <v>1194</v>
      </c>
      <c r="I33" s="218">
        <v>18941</v>
      </c>
      <c r="J33" s="218">
        <v>56174</v>
      </c>
      <c r="K33" s="218">
        <v>1056</v>
      </c>
      <c r="L33" s="218">
        <v>1836</v>
      </c>
      <c r="M33" s="218">
        <v>1327</v>
      </c>
      <c r="N33" s="218">
        <v>3846</v>
      </c>
      <c r="O33" s="218">
        <v>2391</v>
      </c>
      <c r="P33" s="218">
        <v>4876</v>
      </c>
      <c r="Q33" s="218">
        <v>0</v>
      </c>
      <c r="R33" s="218">
        <v>0</v>
      </c>
      <c r="S33" s="218">
        <v>0</v>
      </c>
      <c r="T33" s="218">
        <v>0</v>
      </c>
      <c r="U33" s="218">
        <v>0</v>
      </c>
      <c r="V33" s="218">
        <v>0</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28275</v>
      </c>
      <c r="AL33" s="218">
        <v>367</v>
      </c>
      <c r="AM33" s="218">
        <v>3554</v>
      </c>
      <c r="AN33" s="218">
        <v>6035</v>
      </c>
      <c r="AO33" s="218">
        <v>1817</v>
      </c>
      <c r="AP33" s="218">
        <v>3325</v>
      </c>
      <c r="AQ33" s="218">
        <v>2982</v>
      </c>
      <c r="AR33" s="218">
        <v>3241</v>
      </c>
      <c r="AS33" s="218">
        <v>7647</v>
      </c>
      <c r="AT33" s="218">
        <v>8298</v>
      </c>
      <c r="AU33" s="218">
        <v>397</v>
      </c>
      <c r="AV33" s="218">
        <v>559</v>
      </c>
      <c r="AW33" s="218">
        <v>523</v>
      </c>
      <c r="AX33" s="218">
        <v>3088</v>
      </c>
      <c r="AY33" s="218">
        <v>2114</v>
      </c>
      <c r="AZ33" s="218">
        <v>16175</v>
      </c>
      <c r="BA33" s="218">
        <v>70086</v>
      </c>
      <c r="BB33" s="218">
        <v>13442</v>
      </c>
      <c r="BC33" s="218">
        <v>1501</v>
      </c>
      <c r="BD33" s="218">
        <v>0</v>
      </c>
      <c r="BE33" s="218">
        <v>0</v>
      </c>
      <c r="BF33" s="218">
        <v>0</v>
      </c>
      <c r="BG33" s="218">
        <v>0</v>
      </c>
      <c r="BH33" s="218">
        <v>0</v>
      </c>
      <c r="BI33" s="218">
        <v>0</v>
      </c>
      <c r="BJ33" s="218">
        <v>0</v>
      </c>
      <c r="BK33" s="218">
        <v>0</v>
      </c>
      <c r="BL33" s="218">
        <v>0</v>
      </c>
      <c r="BM33" s="218">
        <v>0</v>
      </c>
      <c r="BN33" s="218">
        <v>0</v>
      </c>
      <c r="BO33" s="218">
        <v>0</v>
      </c>
      <c r="BP33" s="218">
        <v>0</v>
      </c>
      <c r="BQ33" s="218">
        <v>0</v>
      </c>
      <c r="BR33" s="218">
        <v>0</v>
      </c>
      <c r="BS33" s="218">
        <v>0</v>
      </c>
      <c r="BT33" s="218">
        <v>0</v>
      </c>
      <c r="BU33" s="218">
        <v>0</v>
      </c>
      <c r="BV33" s="218">
        <v>0</v>
      </c>
      <c r="BW33" s="218">
        <v>0</v>
      </c>
      <c r="BX33" s="218">
        <v>0</v>
      </c>
      <c r="BY33" s="218">
        <v>0</v>
      </c>
      <c r="BZ33" s="218">
        <v>0</v>
      </c>
      <c r="CA33" s="218">
        <v>0</v>
      </c>
      <c r="CB33" s="218">
        <v>0</v>
      </c>
      <c r="CC33" s="218">
        <v>0</v>
      </c>
      <c r="CD33" s="218">
        <v>310</v>
      </c>
      <c r="CE33" s="218">
        <v>5567</v>
      </c>
      <c r="CF33" s="218">
        <v>843</v>
      </c>
      <c r="CG33" s="218">
        <v>4749</v>
      </c>
      <c r="CH33" s="218">
        <v>946</v>
      </c>
      <c r="CI33" s="218">
        <v>2413</v>
      </c>
    </row>
    <row r="34" spans="1:87" ht="15" customHeight="1">
      <c r="A34" s="154"/>
      <c r="B34" s="146" t="s">
        <v>169</v>
      </c>
      <c r="C34" s="156" t="s">
        <v>116</v>
      </c>
      <c r="D34" s="202">
        <f>SUM(E34:CI34)</f>
        <v>47104</v>
      </c>
      <c r="E34" s="218">
        <v>3036</v>
      </c>
      <c r="F34" s="218">
        <v>1136</v>
      </c>
      <c r="G34" s="218">
        <v>3762</v>
      </c>
      <c r="H34" s="218">
        <v>80</v>
      </c>
      <c r="I34" s="218">
        <v>2262</v>
      </c>
      <c r="J34" s="218">
        <v>2415</v>
      </c>
      <c r="K34" s="218">
        <v>159</v>
      </c>
      <c r="L34" s="218">
        <v>183</v>
      </c>
      <c r="M34" s="218">
        <v>233</v>
      </c>
      <c r="N34" s="218">
        <v>660</v>
      </c>
      <c r="O34" s="218">
        <v>237</v>
      </c>
      <c r="P34" s="218">
        <v>618</v>
      </c>
      <c r="Q34" s="218">
        <v>864</v>
      </c>
      <c r="R34" s="218">
        <v>1846</v>
      </c>
      <c r="S34" s="218">
        <v>10560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2032</v>
      </c>
      <c r="AL34" s="218">
        <v>81</v>
      </c>
      <c r="AM34" s="218">
        <v>285</v>
      </c>
      <c r="AN34" s="218">
        <v>549</v>
      </c>
      <c r="AO34" s="218">
        <v>293</v>
      </c>
      <c r="AP34" s="218">
        <v>399</v>
      </c>
      <c r="AQ34" s="218">
        <v>0</v>
      </c>
      <c r="AR34" s="218">
        <v>223</v>
      </c>
      <c r="AS34" s="218">
        <v>0</v>
      </c>
      <c r="AT34" s="218">
        <v>674</v>
      </c>
      <c r="AU34" s="218">
        <v>0</v>
      </c>
      <c r="AV34" s="218">
        <v>49</v>
      </c>
      <c r="AW34" s="218">
        <v>110</v>
      </c>
      <c r="AX34" s="218">
        <v>279</v>
      </c>
      <c r="AY34" s="218">
        <v>337</v>
      </c>
      <c r="AZ34" s="218">
        <v>396</v>
      </c>
      <c r="BA34" s="218">
        <v>1781</v>
      </c>
      <c r="BB34" s="218">
        <v>1164</v>
      </c>
      <c r="BC34" s="218">
        <v>233</v>
      </c>
      <c r="BD34" s="218">
        <v>802</v>
      </c>
      <c r="BE34" s="218">
        <v>4388</v>
      </c>
      <c r="BF34" s="218">
        <v>3988</v>
      </c>
      <c r="BG34" s="218">
        <v>0</v>
      </c>
      <c r="BH34" s="218">
        <v>0</v>
      </c>
      <c r="BI34" s="218">
        <v>0</v>
      </c>
      <c r="BJ34" s="218">
        <v>0</v>
      </c>
      <c r="BK34" s="218">
        <v>0</v>
      </c>
      <c r="BL34" s="218">
        <v>0</v>
      </c>
      <c r="BM34" s="218">
        <v>0</v>
      </c>
      <c r="BN34" s="218">
        <v>0</v>
      </c>
      <c r="BO34" s="218">
        <v>0</v>
      </c>
      <c r="BP34" s="218">
        <v>0</v>
      </c>
      <c r="BQ34" s="218">
        <v>0</v>
      </c>
      <c r="BR34" s="218">
        <v>0</v>
      </c>
      <c r="BS34" s="218">
        <v>0</v>
      </c>
      <c r="BT34" s="218">
        <v>0</v>
      </c>
      <c r="BU34" s="218">
        <v>0</v>
      </c>
      <c r="BV34" s="218">
        <v>0</v>
      </c>
      <c r="BW34" s="218">
        <v>0</v>
      </c>
      <c r="BX34" s="218">
        <v>0</v>
      </c>
      <c r="BY34" s="218">
        <v>0</v>
      </c>
      <c r="BZ34" s="218">
        <v>0</v>
      </c>
      <c r="CA34" s="218">
        <v>0</v>
      </c>
      <c r="CB34" s="218">
        <v>0</v>
      </c>
      <c r="CC34" s="218">
        <v>0</v>
      </c>
      <c r="CD34" s="218">
        <v>40</v>
      </c>
      <c r="CE34" s="218">
        <v>234</v>
      </c>
      <c r="CF34" s="218">
        <v>58</v>
      </c>
      <c r="CG34" s="218">
        <v>288</v>
      </c>
      <c r="CH34" s="218">
        <v>144</v>
      </c>
      <c r="CI34" s="218">
        <v>226</v>
      </c>
    </row>
    <row r="35" spans="1:87" ht="15" customHeight="1">
      <c r="A35" s="149"/>
      <c r="B35" s="148" t="s">
        <v>170</v>
      </c>
      <c r="C35" s="138" t="s">
        <v>117</v>
      </c>
      <c r="D35" s="203">
        <f>SUMPRODUCT(E35:CI35,E34:CI34)/D34</f>
        <v>521.88963138355541</v>
      </c>
      <c r="E35" s="188">
        <v>568.16624138405803</v>
      </c>
      <c r="F35" s="188">
        <v>453.23002613908398</v>
      </c>
      <c r="G35" s="188">
        <v>578.90326933439701</v>
      </c>
      <c r="H35" s="188">
        <v>516.42499947500005</v>
      </c>
      <c r="I35" s="188">
        <v>540.17680320556997</v>
      </c>
      <c r="J35" s="188">
        <v>571.85190823478297</v>
      </c>
      <c r="K35" s="188">
        <v>511.73364732075498</v>
      </c>
      <c r="L35" s="188">
        <v>441.42683001639301</v>
      </c>
      <c r="M35" s="188">
        <v>511.460772008584</v>
      </c>
      <c r="N35" s="188">
        <v>510.90183271969698</v>
      </c>
      <c r="O35" s="188">
        <v>511.64181369620201</v>
      </c>
      <c r="P35" s="188">
        <v>483.64059810679601</v>
      </c>
      <c r="Q35" s="188">
        <v>654.31174714930603</v>
      </c>
      <c r="R35" s="188">
        <v>545.07601233044397</v>
      </c>
      <c r="S35" s="188">
        <v>519.79509695577599</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643.79080663828699</v>
      </c>
      <c r="AL35" s="188">
        <v>509.57506148148099</v>
      </c>
      <c r="AM35" s="188">
        <v>622.121052442105</v>
      </c>
      <c r="AN35" s="188">
        <v>622.66473525865194</v>
      </c>
      <c r="AO35" s="188">
        <v>497.42218413310599</v>
      </c>
      <c r="AP35" s="188">
        <v>538.27987423558898</v>
      </c>
      <c r="AQ35" s="188">
        <v>0</v>
      </c>
      <c r="AR35" s="188">
        <v>480.16094116591898</v>
      </c>
      <c r="AS35" s="188">
        <v>0</v>
      </c>
      <c r="AT35" s="188">
        <v>478.64366414540098</v>
      </c>
      <c r="AU35" s="188">
        <v>0</v>
      </c>
      <c r="AV35" s="188">
        <v>521.90836697959196</v>
      </c>
      <c r="AW35" s="188">
        <v>486.90063610909101</v>
      </c>
      <c r="AX35" s="188">
        <v>564.90709648387099</v>
      </c>
      <c r="AY35" s="188">
        <v>541.47264058160204</v>
      </c>
      <c r="AZ35" s="188">
        <v>575.62401469949498</v>
      </c>
      <c r="BA35" s="188">
        <v>524.25491815777696</v>
      </c>
      <c r="BB35" s="188">
        <v>457.83695828694198</v>
      </c>
      <c r="BC35" s="188">
        <v>229.034591811159</v>
      </c>
      <c r="BD35" s="188">
        <v>513.39032363216904</v>
      </c>
      <c r="BE35" s="188">
        <v>514.16266607862303</v>
      </c>
      <c r="BF35" s="188">
        <v>380.08319379463398</v>
      </c>
      <c r="BG35" s="188">
        <v>0</v>
      </c>
      <c r="BH35" s="188">
        <v>0</v>
      </c>
      <c r="BI35" s="188">
        <v>0</v>
      </c>
      <c r="BJ35" s="188">
        <v>0</v>
      </c>
      <c r="BK35" s="188">
        <v>0</v>
      </c>
      <c r="BL35" s="188">
        <v>0</v>
      </c>
      <c r="BM35" s="188">
        <v>0</v>
      </c>
      <c r="BN35" s="188">
        <v>0</v>
      </c>
      <c r="BO35" s="188">
        <v>0</v>
      </c>
      <c r="BP35" s="188">
        <v>0</v>
      </c>
      <c r="BQ35" s="188">
        <v>0</v>
      </c>
      <c r="BR35" s="188">
        <v>0</v>
      </c>
      <c r="BS35" s="188">
        <v>0</v>
      </c>
      <c r="BT35" s="188">
        <v>0</v>
      </c>
      <c r="BU35" s="188">
        <v>0</v>
      </c>
      <c r="BV35" s="188">
        <v>0</v>
      </c>
      <c r="BW35" s="188">
        <v>0</v>
      </c>
      <c r="BX35" s="188">
        <v>0</v>
      </c>
      <c r="BY35" s="188">
        <v>0</v>
      </c>
      <c r="BZ35" s="188">
        <v>0</v>
      </c>
      <c r="CA35" s="188">
        <v>0</v>
      </c>
      <c r="CB35" s="188">
        <v>0</v>
      </c>
      <c r="CC35" s="188">
        <v>0</v>
      </c>
      <c r="CD35" s="188">
        <v>496.30449974999999</v>
      </c>
      <c r="CE35" s="188">
        <v>436.37414485897398</v>
      </c>
      <c r="CF35" s="188">
        <v>423.37672386206901</v>
      </c>
      <c r="CG35" s="188">
        <v>428.57909658333301</v>
      </c>
      <c r="CH35" s="188">
        <v>393.26819411111097</v>
      </c>
      <c r="CI35" s="188">
        <v>379.600132314159</v>
      </c>
    </row>
    <row r="36" spans="1:87" ht="15" customHeight="1">
      <c r="A36" s="149"/>
      <c r="B36" s="204" t="s">
        <v>171</v>
      </c>
      <c r="C36" s="205" t="s">
        <v>118</v>
      </c>
      <c r="D36" s="158">
        <f t="shared" ref="D36:AI36" si="6">D30/(D31+D32)</f>
        <v>0.85903499345218481</v>
      </c>
      <c r="E36" s="88">
        <f t="shared" si="6"/>
        <v>0.9093794651798548</v>
      </c>
      <c r="F36" s="88">
        <f t="shared" si="6"/>
        <v>0.92839089142063147</v>
      </c>
      <c r="G36" s="88">
        <f t="shared" si="6"/>
        <v>0.85596973865489934</v>
      </c>
      <c r="H36" s="88">
        <f t="shared" si="6"/>
        <v>0.43829717274398183</v>
      </c>
      <c r="I36" s="88">
        <f t="shared" si="6"/>
        <v>0.86548624792324436</v>
      </c>
      <c r="J36" s="88">
        <f t="shared" si="6"/>
        <v>0.8146283445698409</v>
      </c>
      <c r="K36" s="88">
        <f t="shared" si="6"/>
        <v>1.7521684719777861</v>
      </c>
      <c r="L36" s="88">
        <f t="shared" si="6"/>
        <v>0.58112415101813364</v>
      </c>
      <c r="M36" s="88">
        <f t="shared" si="6"/>
        <v>1.2867246403641006</v>
      </c>
      <c r="N36" s="88">
        <f t="shared" si="6"/>
        <v>0.86068247773873341</v>
      </c>
      <c r="O36" s="88">
        <f t="shared" si="6"/>
        <v>0.96114074762700863</v>
      </c>
      <c r="P36" s="88">
        <f t="shared" si="6"/>
        <v>1.0311881948593371</v>
      </c>
      <c r="Q36" s="88" t="e">
        <f t="shared" si="6"/>
        <v>#DIV/0!</v>
      </c>
      <c r="R36" s="88" t="e">
        <f t="shared" si="6"/>
        <v>#DIV/0!</v>
      </c>
      <c r="S36" s="88" t="e">
        <f t="shared" si="6"/>
        <v>#DIV/0!</v>
      </c>
      <c r="T36" s="88" t="e">
        <f t="shared" si="6"/>
        <v>#DIV/0!</v>
      </c>
      <c r="U36" s="88" t="e">
        <f t="shared" si="6"/>
        <v>#DIV/0!</v>
      </c>
      <c r="V36" s="88" t="e">
        <f t="shared" si="6"/>
        <v>#DIV/0!</v>
      </c>
      <c r="W36" s="88" t="e">
        <f t="shared" si="6"/>
        <v>#DIV/0!</v>
      </c>
      <c r="X36" s="88" t="e">
        <f t="shared" si="6"/>
        <v>#DIV/0!</v>
      </c>
      <c r="Y36" s="88" t="e">
        <f t="shared" si="6"/>
        <v>#DIV/0!</v>
      </c>
      <c r="Z36" s="88" t="e">
        <f t="shared" si="6"/>
        <v>#DIV/0!</v>
      </c>
      <c r="AA36" s="88" t="e">
        <f t="shared" si="6"/>
        <v>#DIV/0!</v>
      </c>
      <c r="AB36" s="88" t="e">
        <f t="shared" si="6"/>
        <v>#DIV/0!</v>
      </c>
      <c r="AC36" s="88" t="e">
        <f t="shared" si="6"/>
        <v>#DIV/0!</v>
      </c>
      <c r="AD36" s="88" t="e">
        <f t="shared" si="6"/>
        <v>#DIV/0!</v>
      </c>
      <c r="AE36" s="88" t="e">
        <f t="shared" si="6"/>
        <v>#DIV/0!</v>
      </c>
      <c r="AF36" s="88" t="e">
        <f t="shared" si="6"/>
        <v>#DIV/0!</v>
      </c>
      <c r="AG36" s="88" t="e">
        <f t="shared" si="6"/>
        <v>#DIV/0!</v>
      </c>
      <c r="AH36" s="88" t="e">
        <f t="shared" si="6"/>
        <v>#DIV/0!</v>
      </c>
      <c r="AI36" s="88" t="e">
        <f t="shared" si="6"/>
        <v>#DIV/0!</v>
      </c>
      <c r="AJ36" s="88" t="e">
        <f t="shared" ref="AJ36:BO36" si="7">AJ30/(AJ31+AJ32)</f>
        <v>#DIV/0!</v>
      </c>
      <c r="AK36" s="88">
        <f t="shared" si="7"/>
        <v>0.89879202456143503</v>
      </c>
      <c r="AL36" s="88">
        <f t="shared" si="7"/>
        <v>0.55931853274849364</v>
      </c>
      <c r="AM36" s="88">
        <f t="shared" si="7"/>
        <v>0.95932978818135051</v>
      </c>
      <c r="AN36" s="88">
        <f t="shared" si="7"/>
        <v>0.98017672260696831</v>
      </c>
      <c r="AO36" s="88">
        <f t="shared" si="7"/>
        <v>0.66717365045005439</v>
      </c>
      <c r="AP36" s="88">
        <f t="shared" si="7"/>
        <v>0.94649849683387888</v>
      </c>
      <c r="AQ36" s="88">
        <f t="shared" si="7"/>
        <v>0.87434976376198015</v>
      </c>
      <c r="AR36" s="88">
        <f t="shared" si="7"/>
        <v>0.82350682313717638</v>
      </c>
      <c r="AS36" s="88">
        <f t="shared" si="7"/>
        <v>0.94786131263915652</v>
      </c>
      <c r="AT36" s="88">
        <f t="shared" si="7"/>
        <v>1.0278525057300112</v>
      </c>
      <c r="AU36" s="88">
        <f t="shared" si="7"/>
        <v>1.1144724300643034</v>
      </c>
      <c r="AV36" s="88">
        <f t="shared" si="7"/>
        <v>0.56017371491045986</v>
      </c>
      <c r="AW36" s="88">
        <f t="shared" si="7"/>
        <v>1.3234580533651925</v>
      </c>
      <c r="AX36" s="88">
        <f t="shared" si="7"/>
        <v>0.96813695216408502</v>
      </c>
      <c r="AY36" s="88">
        <f t="shared" si="7"/>
        <v>0.86126249007451094</v>
      </c>
      <c r="AZ36" s="88">
        <f t="shared" si="7"/>
        <v>0.77983499820218227</v>
      </c>
      <c r="BA36" s="88">
        <f t="shared" si="7"/>
        <v>0.79128156662563376</v>
      </c>
      <c r="BB36" s="88">
        <f t="shared" si="7"/>
        <v>0.901426461173503</v>
      </c>
      <c r="BC36" s="88">
        <f t="shared" si="7"/>
        <v>0.76298016144094694</v>
      </c>
      <c r="BD36" s="88" t="e">
        <f t="shared" si="7"/>
        <v>#DIV/0!</v>
      </c>
      <c r="BE36" s="88" t="e">
        <f t="shared" si="7"/>
        <v>#DIV/0!</v>
      </c>
      <c r="BF36" s="88" t="e">
        <f t="shared" si="7"/>
        <v>#DIV/0!</v>
      </c>
      <c r="BG36" s="88" t="e">
        <f t="shared" si="7"/>
        <v>#DIV/0!</v>
      </c>
      <c r="BH36" s="88" t="e">
        <f t="shared" si="7"/>
        <v>#DIV/0!</v>
      </c>
      <c r="BI36" s="88" t="e">
        <f t="shared" si="7"/>
        <v>#DIV/0!</v>
      </c>
      <c r="BJ36" s="88" t="e">
        <f t="shared" si="7"/>
        <v>#DIV/0!</v>
      </c>
      <c r="BK36" s="88" t="e">
        <f t="shared" si="7"/>
        <v>#DIV/0!</v>
      </c>
      <c r="BL36" s="88" t="e">
        <f t="shared" si="7"/>
        <v>#DIV/0!</v>
      </c>
      <c r="BM36" s="88" t="e">
        <f t="shared" si="7"/>
        <v>#DIV/0!</v>
      </c>
      <c r="BN36" s="88" t="e">
        <f t="shared" si="7"/>
        <v>#DIV/0!</v>
      </c>
      <c r="BO36" s="88" t="e">
        <f t="shared" si="7"/>
        <v>#DIV/0!</v>
      </c>
      <c r="BP36" s="88" t="e">
        <f t="shared" ref="BP36:CI36" si="8">BP30/(BP31+BP32)</f>
        <v>#DIV/0!</v>
      </c>
      <c r="BQ36" s="88" t="e">
        <f t="shared" si="8"/>
        <v>#DIV/0!</v>
      </c>
      <c r="BR36" s="88" t="e">
        <f t="shared" si="8"/>
        <v>#DIV/0!</v>
      </c>
      <c r="BS36" s="88" t="e">
        <f t="shared" si="8"/>
        <v>#DIV/0!</v>
      </c>
      <c r="BT36" s="88" t="e">
        <f t="shared" si="8"/>
        <v>#DIV/0!</v>
      </c>
      <c r="BU36" s="88" t="e">
        <f t="shared" si="8"/>
        <v>#DIV/0!</v>
      </c>
      <c r="BV36" s="88" t="e">
        <f t="shared" si="8"/>
        <v>#DIV/0!</v>
      </c>
      <c r="BW36" s="88" t="e">
        <f t="shared" si="8"/>
        <v>#DIV/0!</v>
      </c>
      <c r="BX36" s="88" t="e">
        <f t="shared" si="8"/>
        <v>#DIV/0!</v>
      </c>
      <c r="BY36" s="88" t="e">
        <f t="shared" si="8"/>
        <v>#DIV/0!</v>
      </c>
      <c r="BZ36" s="88" t="e">
        <f t="shared" si="8"/>
        <v>#DIV/0!</v>
      </c>
      <c r="CA36" s="88" t="e">
        <f t="shared" si="8"/>
        <v>#DIV/0!</v>
      </c>
      <c r="CB36" s="88" t="e">
        <f t="shared" si="8"/>
        <v>#DIV/0!</v>
      </c>
      <c r="CC36" s="88" t="e">
        <f t="shared" si="8"/>
        <v>#DIV/0!</v>
      </c>
      <c r="CD36" s="88">
        <f t="shared" si="8"/>
        <v>0.73931598655757735</v>
      </c>
      <c r="CE36" s="88">
        <f t="shared" si="8"/>
        <v>0.6821123088905211</v>
      </c>
      <c r="CF36" s="88">
        <f t="shared" si="8"/>
        <v>0.94491742636284715</v>
      </c>
      <c r="CG36" s="88">
        <f t="shared" si="8"/>
        <v>0.8952025191310754</v>
      </c>
      <c r="CH36" s="88">
        <f t="shared" si="8"/>
        <v>0.82942823178664293</v>
      </c>
      <c r="CI36" s="88">
        <f t="shared" si="8"/>
        <v>0.75681277335517194</v>
      </c>
    </row>
    <row r="37" spans="1:87" ht="15" customHeight="1">
      <c r="A37" s="72"/>
      <c r="C37" s="76" t="s">
        <v>120</v>
      </c>
      <c r="D37" s="25"/>
    </row>
    <row r="38" spans="1:87" ht="15" customHeight="1">
      <c r="A38" s="149"/>
      <c r="B38" s="146" t="s">
        <v>172</v>
      </c>
      <c r="C38" s="156" t="s">
        <v>86</v>
      </c>
      <c r="D38" s="86">
        <f t="shared" ref="D38:AI38" si="9">D26/D33</f>
        <v>718.77453176798804</v>
      </c>
      <c r="E38" s="86">
        <f t="shared" si="9"/>
        <v>684.75270385979263</v>
      </c>
      <c r="F38" s="86">
        <f t="shared" si="9"/>
        <v>394.22775388887476</v>
      </c>
      <c r="G38" s="86">
        <f t="shared" si="9"/>
        <v>806.92061586777436</v>
      </c>
      <c r="H38" s="86">
        <f t="shared" si="9"/>
        <v>627.64325912737525</v>
      </c>
      <c r="I38" s="86">
        <f t="shared" si="9"/>
        <v>694.49477799639408</v>
      </c>
      <c r="J38" s="86">
        <f t="shared" si="9"/>
        <v>779.54705625077793</v>
      </c>
      <c r="K38" s="86">
        <f t="shared" si="9"/>
        <v>671.45873332666861</v>
      </c>
      <c r="L38" s="86">
        <f t="shared" si="9"/>
        <v>346.80148720938837</v>
      </c>
      <c r="M38" s="86">
        <f t="shared" si="9"/>
        <v>619.33952517331727</v>
      </c>
      <c r="N38" s="86">
        <f t="shared" si="9"/>
        <v>546.29195606882206</v>
      </c>
      <c r="O38" s="86">
        <f t="shared" si="9"/>
        <v>565.36152441102467</v>
      </c>
      <c r="P38" s="86">
        <f t="shared" si="9"/>
        <v>599.65171080196478</v>
      </c>
      <c r="Q38" s="86" t="e">
        <f t="shared" si="9"/>
        <v>#DIV/0!</v>
      </c>
      <c r="R38" s="86" t="e">
        <f t="shared" si="9"/>
        <v>#DIV/0!</v>
      </c>
      <c r="S38" s="86" t="e">
        <f t="shared" si="9"/>
        <v>#DIV/0!</v>
      </c>
      <c r="T38" s="86" t="e">
        <f t="shared" si="9"/>
        <v>#DIV/0!</v>
      </c>
      <c r="U38" s="86" t="e">
        <f t="shared" si="9"/>
        <v>#DIV/0!</v>
      </c>
      <c r="V38" s="86" t="e">
        <f t="shared" si="9"/>
        <v>#DIV/0!</v>
      </c>
      <c r="W38" s="86" t="e">
        <f t="shared" si="9"/>
        <v>#DIV/0!</v>
      </c>
      <c r="X38" s="86" t="e">
        <f t="shared" si="9"/>
        <v>#DIV/0!</v>
      </c>
      <c r="Y38" s="86" t="e">
        <f t="shared" si="9"/>
        <v>#DIV/0!</v>
      </c>
      <c r="Z38" s="86" t="e">
        <f t="shared" si="9"/>
        <v>#DIV/0!</v>
      </c>
      <c r="AA38" s="86" t="e">
        <f t="shared" si="9"/>
        <v>#DIV/0!</v>
      </c>
      <c r="AB38" s="86" t="e">
        <f t="shared" si="9"/>
        <v>#DIV/0!</v>
      </c>
      <c r="AC38" s="86" t="e">
        <f t="shared" si="9"/>
        <v>#DIV/0!</v>
      </c>
      <c r="AD38" s="86" t="e">
        <f t="shared" si="9"/>
        <v>#DIV/0!</v>
      </c>
      <c r="AE38" s="86" t="e">
        <f t="shared" si="9"/>
        <v>#DIV/0!</v>
      </c>
      <c r="AF38" s="86" t="e">
        <f t="shared" si="9"/>
        <v>#DIV/0!</v>
      </c>
      <c r="AG38" s="86" t="e">
        <f t="shared" si="9"/>
        <v>#DIV/0!</v>
      </c>
      <c r="AH38" s="86" t="e">
        <f t="shared" si="9"/>
        <v>#DIV/0!</v>
      </c>
      <c r="AI38" s="86" t="e">
        <f t="shared" si="9"/>
        <v>#DIV/0!</v>
      </c>
      <c r="AJ38" s="86" t="e">
        <f t="shared" ref="AJ38:BO38" si="10">AJ26/AJ33</f>
        <v>#DIV/0!</v>
      </c>
      <c r="AK38" s="86">
        <f t="shared" si="10"/>
        <v>1268.4341858442406</v>
      </c>
      <c r="AL38" s="86">
        <f t="shared" si="10"/>
        <v>680.94723605138142</v>
      </c>
      <c r="AM38" s="86">
        <f t="shared" si="10"/>
        <v>951.39968611169115</v>
      </c>
      <c r="AN38" s="86">
        <f t="shared" si="10"/>
        <v>1142.9602146662883</v>
      </c>
      <c r="AO38" s="86">
        <f t="shared" si="10"/>
        <v>418.66192031928455</v>
      </c>
      <c r="AP38" s="86">
        <f t="shared" si="10"/>
        <v>628.67679355782252</v>
      </c>
      <c r="AQ38" s="86">
        <f t="shared" si="10"/>
        <v>613.44290206066069</v>
      </c>
      <c r="AR38" s="86">
        <f t="shared" si="10"/>
        <v>594.29236783710576</v>
      </c>
      <c r="AS38" s="86">
        <f t="shared" si="10"/>
        <v>888.7785033142369</v>
      </c>
      <c r="AT38" s="86">
        <f t="shared" si="10"/>
        <v>612.89200458285245</v>
      </c>
      <c r="AU38" s="86">
        <f t="shared" si="10"/>
        <v>881.1696083022872</v>
      </c>
      <c r="AV38" s="86">
        <f t="shared" si="10"/>
        <v>800.63898217502867</v>
      </c>
      <c r="AW38" s="86">
        <f t="shared" si="10"/>
        <v>788.3565266424971</v>
      </c>
      <c r="AX38" s="86">
        <f t="shared" si="10"/>
        <v>736.983611723899</v>
      </c>
      <c r="AY38" s="86">
        <f t="shared" si="10"/>
        <v>620.70030837498575</v>
      </c>
      <c r="AZ38" s="86">
        <f t="shared" si="10"/>
        <v>624.53517682199072</v>
      </c>
      <c r="BA38" s="86">
        <f t="shared" si="10"/>
        <v>572.75318261596613</v>
      </c>
      <c r="BB38" s="86">
        <f t="shared" si="10"/>
        <v>449.27850239360441</v>
      </c>
      <c r="BC38" s="86">
        <f t="shared" si="10"/>
        <v>268.23720831437043</v>
      </c>
      <c r="BD38" s="86" t="e">
        <f t="shared" si="10"/>
        <v>#DIV/0!</v>
      </c>
      <c r="BE38" s="86" t="e">
        <f t="shared" si="10"/>
        <v>#DIV/0!</v>
      </c>
      <c r="BF38" s="86" t="e">
        <f t="shared" si="10"/>
        <v>#DIV/0!</v>
      </c>
      <c r="BG38" s="86" t="e">
        <f t="shared" si="10"/>
        <v>#DIV/0!</v>
      </c>
      <c r="BH38" s="86" t="e">
        <f t="shared" si="10"/>
        <v>#DIV/0!</v>
      </c>
      <c r="BI38" s="86" t="e">
        <f t="shared" si="10"/>
        <v>#DIV/0!</v>
      </c>
      <c r="BJ38" s="86" t="e">
        <f t="shared" si="10"/>
        <v>#DIV/0!</v>
      </c>
      <c r="BK38" s="86" t="e">
        <f t="shared" si="10"/>
        <v>#DIV/0!</v>
      </c>
      <c r="BL38" s="86" t="e">
        <f t="shared" si="10"/>
        <v>#DIV/0!</v>
      </c>
      <c r="BM38" s="86" t="e">
        <f t="shared" si="10"/>
        <v>#DIV/0!</v>
      </c>
      <c r="BN38" s="86" t="e">
        <f t="shared" si="10"/>
        <v>#DIV/0!</v>
      </c>
      <c r="BO38" s="86" t="e">
        <f t="shared" si="10"/>
        <v>#DIV/0!</v>
      </c>
      <c r="BP38" s="86" t="e">
        <f t="shared" ref="BP38:CI38" si="11">BP26/BP33</f>
        <v>#DIV/0!</v>
      </c>
      <c r="BQ38" s="86" t="e">
        <f t="shared" si="11"/>
        <v>#DIV/0!</v>
      </c>
      <c r="BR38" s="86" t="e">
        <f t="shared" si="11"/>
        <v>#DIV/0!</v>
      </c>
      <c r="BS38" s="86" t="e">
        <f t="shared" si="11"/>
        <v>#DIV/0!</v>
      </c>
      <c r="BT38" s="86" t="e">
        <f t="shared" si="11"/>
        <v>#DIV/0!</v>
      </c>
      <c r="BU38" s="86" t="e">
        <f t="shared" si="11"/>
        <v>#DIV/0!</v>
      </c>
      <c r="BV38" s="86" t="e">
        <f t="shared" si="11"/>
        <v>#DIV/0!</v>
      </c>
      <c r="BW38" s="86" t="e">
        <f t="shared" si="11"/>
        <v>#DIV/0!</v>
      </c>
      <c r="BX38" s="86" t="e">
        <f t="shared" si="11"/>
        <v>#DIV/0!</v>
      </c>
      <c r="BY38" s="86" t="e">
        <f t="shared" si="11"/>
        <v>#DIV/0!</v>
      </c>
      <c r="BZ38" s="86" t="e">
        <f t="shared" si="11"/>
        <v>#DIV/0!</v>
      </c>
      <c r="CA38" s="86" t="e">
        <f t="shared" si="11"/>
        <v>#DIV/0!</v>
      </c>
      <c r="CB38" s="86" t="e">
        <f t="shared" si="11"/>
        <v>#DIV/0!</v>
      </c>
      <c r="CC38" s="86" t="e">
        <f t="shared" si="11"/>
        <v>#DIV/0!</v>
      </c>
      <c r="CD38" s="86">
        <f t="shared" si="11"/>
        <v>1075.0681455803904</v>
      </c>
      <c r="CE38" s="86">
        <f t="shared" si="11"/>
        <v>284.24291821822345</v>
      </c>
      <c r="CF38" s="86">
        <f t="shared" si="11"/>
        <v>363.48788168692886</v>
      </c>
      <c r="CG38" s="86">
        <f t="shared" si="11"/>
        <v>368.13326066973679</v>
      </c>
      <c r="CH38" s="86">
        <f t="shared" si="11"/>
        <v>335.75307187552011</v>
      </c>
      <c r="CI38" s="86">
        <f t="shared" si="11"/>
        <v>527.68210132942397</v>
      </c>
    </row>
    <row r="39" spans="1:87" ht="15" customHeight="1">
      <c r="A39" s="149"/>
      <c r="B39" s="146" t="s">
        <v>173</v>
      </c>
      <c r="C39" s="156" t="s">
        <v>87</v>
      </c>
      <c r="D39" s="86">
        <f t="shared" ref="D39:AI39" si="12">D27/D33</f>
        <v>191.80462535752122</v>
      </c>
      <c r="E39" s="86">
        <f t="shared" si="12"/>
        <v>159.20884891743421</v>
      </c>
      <c r="F39" s="86">
        <f t="shared" si="12"/>
        <v>49.047219547775349</v>
      </c>
      <c r="G39" s="86">
        <f t="shared" si="12"/>
        <v>237.48457552941085</v>
      </c>
      <c r="H39" s="86">
        <f t="shared" si="12"/>
        <v>232.6019861809045</v>
      </c>
      <c r="I39" s="86">
        <f t="shared" si="12"/>
        <v>155.91153801530595</v>
      </c>
      <c r="J39" s="86">
        <f t="shared" si="12"/>
        <v>196.66976670279132</v>
      </c>
      <c r="K39" s="86">
        <f t="shared" si="12"/>
        <v>96.638710700757571</v>
      </c>
      <c r="L39" s="86">
        <f t="shared" si="12"/>
        <v>24.047658444037911</v>
      </c>
      <c r="M39" s="86">
        <f t="shared" si="12"/>
        <v>140.66887641296157</v>
      </c>
      <c r="N39" s="86">
        <f t="shared" si="12"/>
        <v>103.39740242827716</v>
      </c>
      <c r="O39" s="86">
        <f t="shared" si="12"/>
        <v>93.351608084555423</v>
      </c>
      <c r="P39" s="86">
        <f t="shared" si="12"/>
        <v>128.69916853058368</v>
      </c>
      <c r="Q39" s="86" t="e">
        <f t="shared" si="12"/>
        <v>#DIV/0!</v>
      </c>
      <c r="R39" s="86" t="e">
        <f t="shared" si="12"/>
        <v>#DIV/0!</v>
      </c>
      <c r="S39" s="86" t="e">
        <f t="shared" si="12"/>
        <v>#DIV/0!</v>
      </c>
      <c r="T39" s="86" t="e">
        <f t="shared" si="12"/>
        <v>#DIV/0!</v>
      </c>
      <c r="U39" s="86" t="e">
        <f t="shared" si="12"/>
        <v>#DIV/0!</v>
      </c>
      <c r="V39" s="86" t="e">
        <f t="shared" si="12"/>
        <v>#DIV/0!</v>
      </c>
      <c r="W39" s="86" t="e">
        <f t="shared" si="12"/>
        <v>#DIV/0!</v>
      </c>
      <c r="X39" s="86" t="e">
        <f t="shared" si="12"/>
        <v>#DIV/0!</v>
      </c>
      <c r="Y39" s="86" t="e">
        <f t="shared" si="12"/>
        <v>#DIV/0!</v>
      </c>
      <c r="Z39" s="86" t="e">
        <f t="shared" si="12"/>
        <v>#DIV/0!</v>
      </c>
      <c r="AA39" s="86" t="e">
        <f t="shared" si="12"/>
        <v>#DIV/0!</v>
      </c>
      <c r="AB39" s="86" t="e">
        <f t="shared" si="12"/>
        <v>#DIV/0!</v>
      </c>
      <c r="AC39" s="86" t="e">
        <f t="shared" si="12"/>
        <v>#DIV/0!</v>
      </c>
      <c r="AD39" s="86" t="e">
        <f t="shared" si="12"/>
        <v>#DIV/0!</v>
      </c>
      <c r="AE39" s="86" t="e">
        <f t="shared" si="12"/>
        <v>#DIV/0!</v>
      </c>
      <c r="AF39" s="86" t="e">
        <f t="shared" si="12"/>
        <v>#DIV/0!</v>
      </c>
      <c r="AG39" s="86" t="e">
        <f t="shared" si="12"/>
        <v>#DIV/0!</v>
      </c>
      <c r="AH39" s="86" t="e">
        <f t="shared" si="12"/>
        <v>#DIV/0!</v>
      </c>
      <c r="AI39" s="86" t="e">
        <f t="shared" si="12"/>
        <v>#DIV/0!</v>
      </c>
      <c r="AJ39" s="86" t="e">
        <f t="shared" ref="AJ39:BO39" si="13">AJ27/AJ33</f>
        <v>#DIV/0!</v>
      </c>
      <c r="AK39" s="86">
        <f t="shared" si="13"/>
        <v>356.22067526405658</v>
      </c>
      <c r="AL39" s="86">
        <f t="shared" si="13"/>
        <v>137.29586920980927</v>
      </c>
      <c r="AM39" s="86">
        <f t="shared" si="13"/>
        <v>252.73915498038011</v>
      </c>
      <c r="AN39" s="86">
        <f t="shared" si="13"/>
        <v>290.208438925488</v>
      </c>
      <c r="AO39" s="86">
        <f t="shared" si="13"/>
        <v>65.110021218083659</v>
      </c>
      <c r="AP39" s="86">
        <f t="shared" si="13"/>
        <v>173.87175297336029</v>
      </c>
      <c r="AQ39" s="86">
        <f t="shared" si="13"/>
        <v>120.89582500173675</v>
      </c>
      <c r="AR39" s="86">
        <f t="shared" si="13"/>
        <v>114.44314422303979</v>
      </c>
      <c r="AS39" s="86">
        <f t="shared" si="13"/>
        <v>270.54241051806855</v>
      </c>
      <c r="AT39" s="86">
        <f t="shared" si="13"/>
        <v>155.53948862355989</v>
      </c>
      <c r="AU39" s="86">
        <f t="shared" si="13"/>
        <v>195.64625188916878</v>
      </c>
      <c r="AV39" s="86">
        <f t="shared" si="13"/>
        <v>187.86123792486583</v>
      </c>
      <c r="AW39" s="86">
        <f t="shared" si="13"/>
        <v>65.641670172084133</v>
      </c>
      <c r="AX39" s="86">
        <f t="shared" si="13"/>
        <v>126.34802204861562</v>
      </c>
      <c r="AY39" s="86">
        <f t="shared" si="13"/>
        <v>145.49904328287604</v>
      </c>
      <c r="AZ39" s="86">
        <f t="shared" si="13"/>
        <v>162.97123869803403</v>
      </c>
      <c r="BA39" s="86">
        <f t="shared" si="13"/>
        <v>174.20714090092744</v>
      </c>
      <c r="BB39" s="86">
        <f t="shared" si="13"/>
        <v>128.15990377526188</v>
      </c>
      <c r="BC39" s="86">
        <f t="shared" si="13"/>
        <v>50.614422385076622</v>
      </c>
      <c r="BD39" s="86" t="e">
        <f t="shared" si="13"/>
        <v>#DIV/0!</v>
      </c>
      <c r="BE39" s="86" t="e">
        <f t="shared" si="13"/>
        <v>#DIV/0!</v>
      </c>
      <c r="BF39" s="86" t="e">
        <f t="shared" si="13"/>
        <v>#DIV/0!</v>
      </c>
      <c r="BG39" s="86" t="e">
        <f t="shared" si="13"/>
        <v>#DIV/0!</v>
      </c>
      <c r="BH39" s="86" t="e">
        <f t="shared" si="13"/>
        <v>#DIV/0!</v>
      </c>
      <c r="BI39" s="86" t="e">
        <f t="shared" si="13"/>
        <v>#DIV/0!</v>
      </c>
      <c r="BJ39" s="86" t="e">
        <f t="shared" si="13"/>
        <v>#DIV/0!</v>
      </c>
      <c r="BK39" s="86" t="e">
        <f t="shared" si="13"/>
        <v>#DIV/0!</v>
      </c>
      <c r="BL39" s="86" t="e">
        <f t="shared" si="13"/>
        <v>#DIV/0!</v>
      </c>
      <c r="BM39" s="86" t="e">
        <f t="shared" si="13"/>
        <v>#DIV/0!</v>
      </c>
      <c r="BN39" s="86" t="e">
        <f t="shared" si="13"/>
        <v>#DIV/0!</v>
      </c>
      <c r="BO39" s="86" t="e">
        <f t="shared" si="13"/>
        <v>#DIV/0!</v>
      </c>
      <c r="BP39" s="86" t="e">
        <f t="shared" ref="BP39:CI39" si="14">BP27/BP33</f>
        <v>#DIV/0!</v>
      </c>
      <c r="BQ39" s="86" t="e">
        <f t="shared" si="14"/>
        <v>#DIV/0!</v>
      </c>
      <c r="BR39" s="86" t="e">
        <f t="shared" si="14"/>
        <v>#DIV/0!</v>
      </c>
      <c r="BS39" s="86" t="e">
        <f t="shared" si="14"/>
        <v>#DIV/0!</v>
      </c>
      <c r="BT39" s="86" t="e">
        <f t="shared" si="14"/>
        <v>#DIV/0!</v>
      </c>
      <c r="BU39" s="86" t="e">
        <f t="shared" si="14"/>
        <v>#DIV/0!</v>
      </c>
      <c r="BV39" s="86" t="e">
        <f t="shared" si="14"/>
        <v>#DIV/0!</v>
      </c>
      <c r="BW39" s="86" t="e">
        <f t="shared" si="14"/>
        <v>#DIV/0!</v>
      </c>
      <c r="BX39" s="86" t="e">
        <f t="shared" si="14"/>
        <v>#DIV/0!</v>
      </c>
      <c r="BY39" s="86" t="e">
        <f t="shared" si="14"/>
        <v>#DIV/0!</v>
      </c>
      <c r="BZ39" s="86" t="e">
        <f t="shared" si="14"/>
        <v>#DIV/0!</v>
      </c>
      <c r="CA39" s="86" t="e">
        <f t="shared" si="14"/>
        <v>#DIV/0!</v>
      </c>
      <c r="CB39" s="86" t="e">
        <f t="shared" si="14"/>
        <v>#DIV/0!</v>
      </c>
      <c r="CC39" s="86" t="e">
        <f t="shared" si="14"/>
        <v>#DIV/0!</v>
      </c>
      <c r="CD39" s="86">
        <f t="shared" si="14"/>
        <v>402.60957524037741</v>
      </c>
      <c r="CE39" s="86">
        <f t="shared" si="14"/>
        <v>65.113156906772048</v>
      </c>
      <c r="CF39" s="86">
        <f t="shared" si="14"/>
        <v>92.823952550415314</v>
      </c>
      <c r="CG39" s="86">
        <f t="shared" si="14"/>
        <v>91.10388461996483</v>
      </c>
      <c r="CH39" s="86">
        <f t="shared" si="14"/>
        <v>75.472811316609821</v>
      </c>
      <c r="CI39" s="86">
        <f t="shared" si="14"/>
        <v>172.11107770410277</v>
      </c>
    </row>
    <row r="40" spans="1:87" ht="15" customHeight="1">
      <c r="A40" s="149"/>
      <c r="B40" s="146" t="s">
        <v>174</v>
      </c>
      <c r="C40" s="156" t="s">
        <v>111</v>
      </c>
      <c r="D40" s="86">
        <f t="shared" ref="D40:AI40" si="15">D28/D33</f>
        <v>89.934555100138866</v>
      </c>
      <c r="E40" s="86">
        <f t="shared" si="15"/>
        <v>134.09051279304148</v>
      </c>
      <c r="F40" s="86">
        <f t="shared" si="15"/>
        <v>106.51170206504941</v>
      </c>
      <c r="G40" s="86">
        <f t="shared" si="15"/>
        <v>86.058215951243611</v>
      </c>
      <c r="H40" s="86">
        <f t="shared" si="15"/>
        <v>141.15751848756616</v>
      </c>
      <c r="I40" s="86">
        <f t="shared" si="15"/>
        <v>128.76082423605246</v>
      </c>
      <c r="J40" s="86">
        <f t="shared" si="15"/>
        <v>101.08555885209724</v>
      </c>
      <c r="K40" s="86">
        <f t="shared" si="15"/>
        <v>132.31809722666193</v>
      </c>
      <c r="L40" s="86">
        <f t="shared" si="15"/>
        <v>129.96921553848856</v>
      </c>
      <c r="M40" s="86">
        <f t="shared" si="15"/>
        <v>118.87642272837302</v>
      </c>
      <c r="N40" s="86">
        <f t="shared" si="15"/>
        <v>112.32422402391524</v>
      </c>
      <c r="O40" s="86">
        <f t="shared" si="15"/>
        <v>84.577014978322453</v>
      </c>
      <c r="P40" s="86">
        <f t="shared" si="15"/>
        <v>61.896713172136174</v>
      </c>
      <c r="Q40" s="86" t="e">
        <f t="shared" si="15"/>
        <v>#DIV/0!</v>
      </c>
      <c r="R40" s="86" t="e">
        <f t="shared" si="15"/>
        <v>#DIV/0!</v>
      </c>
      <c r="S40" s="86" t="e">
        <f t="shared" si="15"/>
        <v>#DIV/0!</v>
      </c>
      <c r="T40" s="86" t="e">
        <f t="shared" si="15"/>
        <v>#DIV/0!</v>
      </c>
      <c r="U40" s="86" t="e">
        <f t="shared" si="15"/>
        <v>#DIV/0!</v>
      </c>
      <c r="V40" s="86" t="e">
        <f t="shared" si="15"/>
        <v>#DIV/0!</v>
      </c>
      <c r="W40" s="86" t="e">
        <f t="shared" si="15"/>
        <v>#DIV/0!</v>
      </c>
      <c r="X40" s="86" t="e">
        <f t="shared" si="15"/>
        <v>#DIV/0!</v>
      </c>
      <c r="Y40" s="86" t="e">
        <f t="shared" si="15"/>
        <v>#DIV/0!</v>
      </c>
      <c r="Z40" s="86" t="e">
        <f t="shared" si="15"/>
        <v>#DIV/0!</v>
      </c>
      <c r="AA40" s="86" t="e">
        <f t="shared" si="15"/>
        <v>#DIV/0!</v>
      </c>
      <c r="AB40" s="86" t="e">
        <f t="shared" si="15"/>
        <v>#DIV/0!</v>
      </c>
      <c r="AC40" s="86" t="e">
        <f t="shared" si="15"/>
        <v>#DIV/0!</v>
      </c>
      <c r="AD40" s="86" t="e">
        <f t="shared" si="15"/>
        <v>#DIV/0!</v>
      </c>
      <c r="AE40" s="86" t="e">
        <f t="shared" si="15"/>
        <v>#DIV/0!</v>
      </c>
      <c r="AF40" s="86" t="e">
        <f t="shared" si="15"/>
        <v>#DIV/0!</v>
      </c>
      <c r="AG40" s="86" t="e">
        <f t="shared" si="15"/>
        <v>#DIV/0!</v>
      </c>
      <c r="AH40" s="86" t="e">
        <f t="shared" si="15"/>
        <v>#DIV/0!</v>
      </c>
      <c r="AI40" s="86" t="e">
        <f t="shared" si="15"/>
        <v>#DIV/0!</v>
      </c>
      <c r="AJ40" s="86" t="e">
        <f t="shared" ref="AJ40:BO40" si="16">AJ28/AJ33</f>
        <v>#DIV/0!</v>
      </c>
      <c r="AK40" s="86">
        <f t="shared" si="16"/>
        <v>86.697324600286819</v>
      </c>
      <c r="AL40" s="86">
        <f t="shared" si="16"/>
        <v>78.43963838783543</v>
      </c>
      <c r="AM40" s="86">
        <f t="shared" si="16"/>
        <v>73.972947767680353</v>
      </c>
      <c r="AN40" s="86">
        <f t="shared" si="16"/>
        <v>62.895559286499591</v>
      </c>
      <c r="AO40" s="86">
        <f t="shared" si="16"/>
        <v>116.97708825132746</v>
      </c>
      <c r="AP40" s="86">
        <f t="shared" si="16"/>
        <v>113.79169917202196</v>
      </c>
      <c r="AQ40" s="86">
        <f t="shared" si="16"/>
        <v>84.521110577883633</v>
      </c>
      <c r="AR40" s="86">
        <f t="shared" si="16"/>
        <v>81.543371375419625</v>
      </c>
      <c r="AS40" s="86">
        <f t="shared" si="16"/>
        <v>83.291240371801493</v>
      </c>
      <c r="AT40" s="86">
        <f t="shared" si="16"/>
        <v>64.140240888542777</v>
      </c>
      <c r="AU40" s="86">
        <f t="shared" si="16"/>
        <v>88.987199783482865</v>
      </c>
      <c r="AV40" s="86">
        <f t="shared" si="16"/>
        <v>140.23308635616027</v>
      </c>
      <c r="AW40" s="86">
        <f t="shared" si="16"/>
        <v>121.23810635013939</v>
      </c>
      <c r="AX40" s="86">
        <f t="shared" si="16"/>
        <v>132.21526576682319</v>
      </c>
      <c r="AY40" s="86">
        <f t="shared" si="16"/>
        <v>114.35068204016935</v>
      </c>
      <c r="AZ40" s="86">
        <f t="shared" si="16"/>
        <v>58.975582569286559</v>
      </c>
      <c r="BA40" s="86">
        <f t="shared" si="16"/>
        <v>47.711739070425907</v>
      </c>
      <c r="BB40" s="86">
        <f t="shared" si="16"/>
        <v>100.24592714651315</v>
      </c>
      <c r="BC40" s="86">
        <f t="shared" si="16"/>
        <v>107.70178432170752</v>
      </c>
      <c r="BD40" s="86" t="e">
        <f t="shared" si="16"/>
        <v>#DIV/0!</v>
      </c>
      <c r="BE40" s="86" t="e">
        <f t="shared" si="16"/>
        <v>#DIV/0!</v>
      </c>
      <c r="BF40" s="86" t="e">
        <f t="shared" si="16"/>
        <v>#DIV/0!</v>
      </c>
      <c r="BG40" s="86" t="e">
        <f t="shared" si="16"/>
        <v>#DIV/0!</v>
      </c>
      <c r="BH40" s="86" t="e">
        <f t="shared" si="16"/>
        <v>#DIV/0!</v>
      </c>
      <c r="BI40" s="86" t="e">
        <f t="shared" si="16"/>
        <v>#DIV/0!</v>
      </c>
      <c r="BJ40" s="86" t="e">
        <f t="shared" si="16"/>
        <v>#DIV/0!</v>
      </c>
      <c r="BK40" s="86" t="e">
        <f t="shared" si="16"/>
        <v>#DIV/0!</v>
      </c>
      <c r="BL40" s="86" t="e">
        <f t="shared" si="16"/>
        <v>#DIV/0!</v>
      </c>
      <c r="BM40" s="86" t="e">
        <f t="shared" si="16"/>
        <v>#DIV/0!</v>
      </c>
      <c r="BN40" s="86" t="e">
        <f t="shared" si="16"/>
        <v>#DIV/0!</v>
      </c>
      <c r="BO40" s="86" t="e">
        <f t="shared" si="16"/>
        <v>#DIV/0!</v>
      </c>
      <c r="BP40" s="86" t="e">
        <f t="shared" ref="BP40:CI40" si="17">BP28/BP33</f>
        <v>#DIV/0!</v>
      </c>
      <c r="BQ40" s="86" t="e">
        <f t="shared" si="17"/>
        <v>#DIV/0!</v>
      </c>
      <c r="BR40" s="86" t="e">
        <f t="shared" si="17"/>
        <v>#DIV/0!</v>
      </c>
      <c r="BS40" s="86" t="e">
        <f t="shared" si="17"/>
        <v>#DIV/0!</v>
      </c>
      <c r="BT40" s="86" t="e">
        <f t="shared" si="17"/>
        <v>#DIV/0!</v>
      </c>
      <c r="BU40" s="86" t="e">
        <f t="shared" si="17"/>
        <v>#DIV/0!</v>
      </c>
      <c r="BV40" s="86" t="e">
        <f t="shared" si="17"/>
        <v>#DIV/0!</v>
      </c>
      <c r="BW40" s="86" t="e">
        <f t="shared" si="17"/>
        <v>#DIV/0!</v>
      </c>
      <c r="BX40" s="86" t="e">
        <f t="shared" si="17"/>
        <v>#DIV/0!</v>
      </c>
      <c r="BY40" s="86" t="e">
        <f t="shared" si="17"/>
        <v>#DIV/0!</v>
      </c>
      <c r="BZ40" s="86" t="e">
        <f t="shared" si="17"/>
        <v>#DIV/0!</v>
      </c>
      <c r="CA40" s="86" t="e">
        <f t="shared" si="17"/>
        <v>#DIV/0!</v>
      </c>
      <c r="CB40" s="86" t="e">
        <f t="shared" si="17"/>
        <v>#DIV/0!</v>
      </c>
      <c r="CC40" s="86" t="e">
        <f t="shared" si="17"/>
        <v>#DIV/0!</v>
      </c>
      <c r="CD40" s="86">
        <f t="shared" si="17"/>
        <v>112.09090557716388</v>
      </c>
      <c r="CE40" s="86">
        <f t="shared" si="17"/>
        <v>83.564227879437041</v>
      </c>
      <c r="CF40" s="86">
        <f t="shared" si="17"/>
        <v>96.496285672915178</v>
      </c>
      <c r="CG40" s="86">
        <f t="shared" si="17"/>
        <v>95.067929550851758</v>
      </c>
      <c r="CH40" s="86">
        <f t="shared" si="17"/>
        <v>75.945364617716905</v>
      </c>
      <c r="CI40" s="86">
        <f t="shared" si="17"/>
        <v>128.074801420586</v>
      </c>
    </row>
    <row r="41" spans="1:87" ht="15" customHeight="1">
      <c r="A41" s="149"/>
      <c r="B41" s="146" t="s">
        <v>175</v>
      </c>
      <c r="C41" s="156" t="s">
        <v>112</v>
      </c>
      <c r="D41" s="86">
        <f t="shared" ref="D41:AI41" si="18">D29/D33</f>
        <v>0</v>
      </c>
      <c r="E41" s="86">
        <f t="shared" si="18"/>
        <v>0</v>
      </c>
      <c r="F41" s="86">
        <f t="shared" si="18"/>
        <v>0</v>
      </c>
      <c r="G41" s="86">
        <f t="shared" si="18"/>
        <v>0</v>
      </c>
      <c r="H41" s="86">
        <f t="shared" si="18"/>
        <v>0</v>
      </c>
      <c r="I41" s="86">
        <f t="shared" si="18"/>
        <v>0</v>
      </c>
      <c r="J41" s="86">
        <f t="shared" si="18"/>
        <v>0</v>
      </c>
      <c r="K41" s="86">
        <f t="shared" si="18"/>
        <v>0</v>
      </c>
      <c r="L41" s="86">
        <f t="shared" si="18"/>
        <v>0</v>
      </c>
      <c r="M41" s="86">
        <f t="shared" si="18"/>
        <v>0</v>
      </c>
      <c r="N41" s="86">
        <f t="shared" si="18"/>
        <v>0</v>
      </c>
      <c r="O41" s="86">
        <f t="shared" si="18"/>
        <v>0</v>
      </c>
      <c r="P41" s="86">
        <f t="shared" si="18"/>
        <v>0</v>
      </c>
      <c r="Q41" s="86" t="e">
        <f t="shared" si="18"/>
        <v>#DIV/0!</v>
      </c>
      <c r="R41" s="86" t="e">
        <f t="shared" si="18"/>
        <v>#DIV/0!</v>
      </c>
      <c r="S41" s="86" t="e">
        <f t="shared" si="18"/>
        <v>#DIV/0!</v>
      </c>
      <c r="T41" s="86" t="e">
        <f t="shared" si="18"/>
        <v>#DIV/0!</v>
      </c>
      <c r="U41" s="86" t="e">
        <f t="shared" si="18"/>
        <v>#DIV/0!</v>
      </c>
      <c r="V41" s="86" t="e">
        <f t="shared" si="18"/>
        <v>#DIV/0!</v>
      </c>
      <c r="W41" s="86" t="e">
        <f t="shared" si="18"/>
        <v>#DIV/0!</v>
      </c>
      <c r="X41" s="86" t="e">
        <f t="shared" si="18"/>
        <v>#DIV/0!</v>
      </c>
      <c r="Y41" s="86" t="e">
        <f t="shared" si="18"/>
        <v>#DIV/0!</v>
      </c>
      <c r="Z41" s="86" t="e">
        <f t="shared" si="18"/>
        <v>#DIV/0!</v>
      </c>
      <c r="AA41" s="86" t="e">
        <f t="shared" si="18"/>
        <v>#DIV/0!</v>
      </c>
      <c r="AB41" s="86" t="e">
        <f t="shared" si="18"/>
        <v>#DIV/0!</v>
      </c>
      <c r="AC41" s="86" t="e">
        <f t="shared" si="18"/>
        <v>#DIV/0!</v>
      </c>
      <c r="AD41" s="86" t="e">
        <f t="shared" si="18"/>
        <v>#DIV/0!</v>
      </c>
      <c r="AE41" s="86" t="e">
        <f t="shared" si="18"/>
        <v>#DIV/0!</v>
      </c>
      <c r="AF41" s="86" t="e">
        <f t="shared" si="18"/>
        <v>#DIV/0!</v>
      </c>
      <c r="AG41" s="86" t="e">
        <f t="shared" si="18"/>
        <v>#DIV/0!</v>
      </c>
      <c r="AH41" s="86" t="e">
        <f t="shared" si="18"/>
        <v>#DIV/0!</v>
      </c>
      <c r="AI41" s="86" t="e">
        <f t="shared" si="18"/>
        <v>#DIV/0!</v>
      </c>
      <c r="AJ41" s="86" t="e">
        <f t="shared" ref="AJ41:BO41" si="19">AJ29/AJ33</f>
        <v>#DIV/0!</v>
      </c>
      <c r="AK41" s="86">
        <f t="shared" si="19"/>
        <v>0</v>
      </c>
      <c r="AL41" s="86">
        <f t="shared" si="19"/>
        <v>0</v>
      </c>
      <c r="AM41" s="86">
        <f t="shared" si="19"/>
        <v>0</v>
      </c>
      <c r="AN41" s="86">
        <f t="shared" si="19"/>
        <v>0</v>
      </c>
      <c r="AO41" s="86">
        <f t="shared" si="19"/>
        <v>0</v>
      </c>
      <c r="AP41" s="86">
        <f t="shared" si="19"/>
        <v>0</v>
      </c>
      <c r="AQ41" s="86">
        <f t="shared" si="19"/>
        <v>0</v>
      </c>
      <c r="AR41" s="86">
        <f t="shared" si="19"/>
        <v>0</v>
      </c>
      <c r="AS41" s="86">
        <f t="shared" si="19"/>
        <v>0</v>
      </c>
      <c r="AT41" s="86">
        <f t="shared" si="19"/>
        <v>0</v>
      </c>
      <c r="AU41" s="86">
        <f t="shared" si="19"/>
        <v>0</v>
      </c>
      <c r="AV41" s="86">
        <f t="shared" si="19"/>
        <v>0</v>
      </c>
      <c r="AW41" s="86">
        <f t="shared" si="19"/>
        <v>0</v>
      </c>
      <c r="AX41" s="86">
        <f t="shared" si="19"/>
        <v>0</v>
      </c>
      <c r="AY41" s="86">
        <f t="shared" si="19"/>
        <v>0</v>
      </c>
      <c r="AZ41" s="86">
        <f t="shared" si="19"/>
        <v>0</v>
      </c>
      <c r="BA41" s="86">
        <f t="shared" si="19"/>
        <v>0</v>
      </c>
      <c r="BB41" s="86">
        <f t="shared" si="19"/>
        <v>0</v>
      </c>
      <c r="BC41" s="86">
        <f t="shared" si="19"/>
        <v>0</v>
      </c>
      <c r="BD41" s="86" t="e">
        <f t="shared" si="19"/>
        <v>#DIV/0!</v>
      </c>
      <c r="BE41" s="86" t="e">
        <f t="shared" si="19"/>
        <v>#DIV/0!</v>
      </c>
      <c r="BF41" s="86" t="e">
        <f t="shared" si="19"/>
        <v>#DIV/0!</v>
      </c>
      <c r="BG41" s="86" t="e">
        <f t="shared" si="19"/>
        <v>#DIV/0!</v>
      </c>
      <c r="BH41" s="86" t="e">
        <f t="shared" si="19"/>
        <v>#DIV/0!</v>
      </c>
      <c r="BI41" s="86" t="e">
        <f t="shared" si="19"/>
        <v>#DIV/0!</v>
      </c>
      <c r="BJ41" s="86" t="e">
        <f t="shared" si="19"/>
        <v>#DIV/0!</v>
      </c>
      <c r="BK41" s="86" t="e">
        <f t="shared" si="19"/>
        <v>#DIV/0!</v>
      </c>
      <c r="BL41" s="86" t="e">
        <f t="shared" si="19"/>
        <v>#DIV/0!</v>
      </c>
      <c r="BM41" s="86" t="e">
        <f t="shared" si="19"/>
        <v>#DIV/0!</v>
      </c>
      <c r="BN41" s="86" t="e">
        <f t="shared" si="19"/>
        <v>#DIV/0!</v>
      </c>
      <c r="BO41" s="86" t="e">
        <f t="shared" si="19"/>
        <v>#DIV/0!</v>
      </c>
      <c r="BP41" s="86" t="e">
        <f t="shared" ref="BP41:CI41" si="20">BP29/BP33</f>
        <v>#DIV/0!</v>
      </c>
      <c r="BQ41" s="86" t="e">
        <f t="shared" si="20"/>
        <v>#DIV/0!</v>
      </c>
      <c r="BR41" s="86" t="e">
        <f t="shared" si="20"/>
        <v>#DIV/0!</v>
      </c>
      <c r="BS41" s="86" t="e">
        <f t="shared" si="20"/>
        <v>#DIV/0!</v>
      </c>
      <c r="BT41" s="86" t="e">
        <f t="shared" si="20"/>
        <v>#DIV/0!</v>
      </c>
      <c r="BU41" s="86" t="e">
        <f t="shared" si="20"/>
        <v>#DIV/0!</v>
      </c>
      <c r="BV41" s="86" t="e">
        <f t="shared" si="20"/>
        <v>#DIV/0!</v>
      </c>
      <c r="BW41" s="86" t="e">
        <f t="shared" si="20"/>
        <v>#DIV/0!</v>
      </c>
      <c r="BX41" s="86" t="e">
        <f t="shared" si="20"/>
        <v>#DIV/0!</v>
      </c>
      <c r="BY41" s="86" t="e">
        <f t="shared" si="20"/>
        <v>#DIV/0!</v>
      </c>
      <c r="BZ41" s="86" t="e">
        <f t="shared" si="20"/>
        <v>#DIV/0!</v>
      </c>
      <c r="CA41" s="86" t="e">
        <f t="shared" si="20"/>
        <v>#DIV/0!</v>
      </c>
      <c r="CB41" s="86" t="e">
        <f t="shared" si="20"/>
        <v>#DIV/0!</v>
      </c>
      <c r="CC41" s="86" t="e">
        <f t="shared" si="20"/>
        <v>#DIV/0!</v>
      </c>
      <c r="CD41" s="86">
        <f t="shared" si="20"/>
        <v>0</v>
      </c>
      <c r="CE41" s="86">
        <f t="shared" si="20"/>
        <v>0</v>
      </c>
      <c r="CF41" s="86">
        <f t="shared" si="20"/>
        <v>0</v>
      </c>
      <c r="CG41" s="86">
        <f t="shared" si="20"/>
        <v>0</v>
      </c>
      <c r="CH41" s="86">
        <f t="shared" si="20"/>
        <v>0</v>
      </c>
      <c r="CI41" s="86">
        <f t="shared" si="20"/>
        <v>0</v>
      </c>
    </row>
    <row r="42" spans="1:87" ht="15" customHeight="1">
      <c r="A42" s="149"/>
      <c r="B42" s="146" t="s">
        <v>176</v>
      </c>
      <c r="C42" s="156" t="s">
        <v>113</v>
      </c>
      <c r="D42" s="86">
        <f t="shared" ref="D42:AI42" si="21">D30/D33</f>
        <v>437.035351310328</v>
      </c>
      <c r="E42" s="86">
        <f t="shared" si="21"/>
        <v>391.45334214931694</v>
      </c>
      <c r="F42" s="86">
        <f t="shared" si="21"/>
        <v>238.66883227605001</v>
      </c>
      <c r="G42" s="86">
        <f t="shared" si="21"/>
        <v>483.37782438711986</v>
      </c>
      <c r="H42" s="86">
        <f t="shared" si="21"/>
        <v>253.88375445890458</v>
      </c>
      <c r="I42" s="86">
        <f t="shared" si="21"/>
        <v>409.8224157450357</v>
      </c>
      <c r="J42" s="86">
        <f t="shared" si="21"/>
        <v>481.79173069588938</v>
      </c>
      <c r="K42" s="86">
        <f t="shared" si="21"/>
        <v>442.50192539924916</v>
      </c>
      <c r="L42" s="86">
        <f t="shared" si="21"/>
        <v>192.78461322686192</v>
      </c>
      <c r="M42" s="86">
        <f t="shared" si="21"/>
        <v>359.79422603198265</v>
      </c>
      <c r="N42" s="86">
        <f t="shared" si="21"/>
        <v>330.57032961662969</v>
      </c>
      <c r="O42" s="86">
        <f t="shared" si="21"/>
        <v>387.43290134814674</v>
      </c>
      <c r="P42" s="86">
        <f t="shared" si="21"/>
        <v>409.05582909924482</v>
      </c>
      <c r="Q42" s="86" t="e">
        <f t="shared" si="21"/>
        <v>#DIV/0!</v>
      </c>
      <c r="R42" s="86" t="e">
        <f t="shared" si="21"/>
        <v>#DIV/0!</v>
      </c>
      <c r="S42" s="86" t="e">
        <f t="shared" si="21"/>
        <v>#DIV/0!</v>
      </c>
      <c r="T42" s="86" t="e">
        <f t="shared" si="21"/>
        <v>#DIV/0!</v>
      </c>
      <c r="U42" s="86" t="e">
        <f t="shared" si="21"/>
        <v>#DIV/0!</v>
      </c>
      <c r="V42" s="86" t="e">
        <f t="shared" si="21"/>
        <v>#DIV/0!</v>
      </c>
      <c r="W42" s="86" t="e">
        <f t="shared" si="21"/>
        <v>#DIV/0!</v>
      </c>
      <c r="X42" s="86" t="e">
        <f t="shared" si="21"/>
        <v>#DIV/0!</v>
      </c>
      <c r="Y42" s="86" t="e">
        <f t="shared" si="21"/>
        <v>#DIV/0!</v>
      </c>
      <c r="Z42" s="86" t="e">
        <f t="shared" si="21"/>
        <v>#DIV/0!</v>
      </c>
      <c r="AA42" s="86" t="e">
        <f t="shared" si="21"/>
        <v>#DIV/0!</v>
      </c>
      <c r="AB42" s="86" t="e">
        <f t="shared" si="21"/>
        <v>#DIV/0!</v>
      </c>
      <c r="AC42" s="86" t="e">
        <f t="shared" si="21"/>
        <v>#DIV/0!</v>
      </c>
      <c r="AD42" s="86" t="e">
        <f t="shared" si="21"/>
        <v>#DIV/0!</v>
      </c>
      <c r="AE42" s="86" t="e">
        <f t="shared" si="21"/>
        <v>#DIV/0!</v>
      </c>
      <c r="AF42" s="86" t="e">
        <f t="shared" si="21"/>
        <v>#DIV/0!</v>
      </c>
      <c r="AG42" s="86" t="e">
        <f t="shared" si="21"/>
        <v>#DIV/0!</v>
      </c>
      <c r="AH42" s="86" t="e">
        <f t="shared" si="21"/>
        <v>#DIV/0!</v>
      </c>
      <c r="AI42" s="86" t="e">
        <f t="shared" si="21"/>
        <v>#DIV/0!</v>
      </c>
      <c r="AJ42" s="86" t="e">
        <f t="shared" ref="AJ42:BO42" si="22">AJ30/AJ33</f>
        <v>#DIV/0!</v>
      </c>
      <c r="AK42" s="86">
        <f t="shared" si="22"/>
        <v>825.51618597989727</v>
      </c>
      <c r="AL42" s="86">
        <f t="shared" si="22"/>
        <v>465.21172845373673</v>
      </c>
      <c r="AM42" s="86">
        <f t="shared" si="22"/>
        <v>624.68758336363067</v>
      </c>
      <c r="AN42" s="86">
        <f t="shared" si="22"/>
        <v>789.85621645430069</v>
      </c>
      <c r="AO42" s="86">
        <f t="shared" si="22"/>
        <v>236.57481084987339</v>
      </c>
      <c r="AP42" s="86">
        <f t="shared" si="22"/>
        <v>341.01334141244024</v>
      </c>
      <c r="AQ42" s="86">
        <f t="shared" si="22"/>
        <v>408.02596648104026</v>
      </c>
      <c r="AR42" s="86">
        <f t="shared" si="22"/>
        <v>398.30585223864637</v>
      </c>
      <c r="AS42" s="86">
        <f t="shared" si="22"/>
        <v>534.9448524243669</v>
      </c>
      <c r="AT42" s="86">
        <f t="shared" si="22"/>
        <v>393.2122750707498</v>
      </c>
      <c r="AU42" s="86">
        <f t="shared" si="22"/>
        <v>596.53615662963546</v>
      </c>
      <c r="AV42" s="86">
        <f t="shared" si="22"/>
        <v>472.54465789400246</v>
      </c>
      <c r="AW42" s="86">
        <f t="shared" si="22"/>
        <v>601.47675012027355</v>
      </c>
      <c r="AX42" s="86">
        <f t="shared" si="22"/>
        <v>478.42032390846015</v>
      </c>
      <c r="AY42" s="86">
        <f t="shared" si="22"/>
        <v>360.85058305194036</v>
      </c>
      <c r="AZ42" s="86">
        <f t="shared" si="22"/>
        <v>402.58835555467016</v>
      </c>
      <c r="BA42" s="86">
        <f t="shared" si="22"/>
        <v>350.83430264461276</v>
      </c>
      <c r="BB42" s="86">
        <f t="shared" si="22"/>
        <v>220.87267147182936</v>
      </c>
      <c r="BC42" s="86">
        <f t="shared" si="22"/>
        <v>109.92100160758628</v>
      </c>
      <c r="BD42" s="86" t="e">
        <f t="shared" si="22"/>
        <v>#DIV/0!</v>
      </c>
      <c r="BE42" s="86" t="e">
        <f t="shared" si="22"/>
        <v>#DIV/0!</v>
      </c>
      <c r="BF42" s="86" t="e">
        <f t="shared" si="22"/>
        <v>#DIV/0!</v>
      </c>
      <c r="BG42" s="86" t="e">
        <f t="shared" si="22"/>
        <v>#DIV/0!</v>
      </c>
      <c r="BH42" s="86" t="e">
        <f t="shared" si="22"/>
        <v>#DIV/0!</v>
      </c>
      <c r="BI42" s="86" t="e">
        <f t="shared" si="22"/>
        <v>#DIV/0!</v>
      </c>
      <c r="BJ42" s="86" t="e">
        <f t="shared" si="22"/>
        <v>#DIV/0!</v>
      </c>
      <c r="BK42" s="86" t="e">
        <f t="shared" si="22"/>
        <v>#DIV/0!</v>
      </c>
      <c r="BL42" s="86" t="e">
        <f t="shared" si="22"/>
        <v>#DIV/0!</v>
      </c>
      <c r="BM42" s="86" t="e">
        <f t="shared" si="22"/>
        <v>#DIV/0!</v>
      </c>
      <c r="BN42" s="86" t="e">
        <f t="shared" si="22"/>
        <v>#DIV/0!</v>
      </c>
      <c r="BO42" s="86" t="e">
        <f t="shared" si="22"/>
        <v>#DIV/0!</v>
      </c>
      <c r="BP42" s="86" t="e">
        <f t="shared" ref="BP42:CI42" si="23">BP30/BP33</f>
        <v>#DIV/0!</v>
      </c>
      <c r="BQ42" s="86" t="e">
        <f t="shared" si="23"/>
        <v>#DIV/0!</v>
      </c>
      <c r="BR42" s="86" t="e">
        <f t="shared" si="23"/>
        <v>#DIV/0!</v>
      </c>
      <c r="BS42" s="86" t="e">
        <f t="shared" si="23"/>
        <v>#DIV/0!</v>
      </c>
      <c r="BT42" s="86" t="e">
        <f t="shared" si="23"/>
        <v>#DIV/0!</v>
      </c>
      <c r="BU42" s="86" t="e">
        <f t="shared" si="23"/>
        <v>#DIV/0!</v>
      </c>
      <c r="BV42" s="86" t="e">
        <f t="shared" si="23"/>
        <v>#DIV/0!</v>
      </c>
      <c r="BW42" s="86" t="e">
        <f t="shared" si="23"/>
        <v>#DIV/0!</v>
      </c>
      <c r="BX42" s="86" t="e">
        <f t="shared" si="23"/>
        <v>#DIV/0!</v>
      </c>
      <c r="BY42" s="86" t="e">
        <f t="shared" si="23"/>
        <v>#DIV/0!</v>
      </c>
      <c r="BZ42" s="86" t="e">
        <f t="shared" si="23"/>
        <v>#DIV/0!</v>
      </c>
      <c r="CA42" s="86" t="e">
        <f t="shared" si="23"/>
        <v>#DIV/0!</v>
      </c>
      <c r="CB42" s="86" t="e">
        <f t="shared" si="23"/>
        <v>#DIV/0!</v>
      </c>
      <c r="CC42" s="86" t="e">
        <f t="shared" si="23"/>
        <v>#DIV/0!</v>
      </c>
      <c r="CD42" s="86">
        <f t="shared" si="23"/>
        <v>560.36766476284902</v>
      </c>
      <c r="CE42" s="86">
        <f t="shared" si="23"/>
        <v>135.56553343201435</v>
      </c>
      <c r="CF42" s="86">
        <f t="shared" si="23"/>
        <v>174.16764346359832</v>
      </c>
      <c r="CG42" s="86">
        <f t="shared" si="23"/>
        <v>181.9614464989202</v>
      </c>
      <c r="CH42" s="86">
        <f t="shared" si="23"/>
        <v>184.33489594119334</v>
      </c>
      <c r="CI42" s="86">
        <f t="shared" si="23"/>
        <v>227.49622220473515</v>
      </c>
    </row>
    <row r="43" spans="1:87" ht="15" customHeight="1">
      <c r="A43" s="149"/>
      <c r="B43" s="146" t="s">
        <v>177</v>
      </c>
      <c r="C43" s="156" t="s">
        <v>114</v>
      </c>
      <c r="D43" s="86">
        <f t="shared" ref="D43:AI43" si="24">D31/D33</f>
        <v>2.8275777947606033</v>
      </c>
      <c r="E43" s="86">
        <f t="shared" si="24"/>
        <v>-104.42726124392675</v>
      </c>
      <c r="F43" s="86">
        <f t="shared" si="24"/>
        <v>-166.97397606434123</v>
      </c>
      <c r="G43" s="86">
        <f t="shared" si="24"/>
        <v>44.260416007518032</v>
      </c>
      <c r="H43" s="86">
        <f t="shared" si="24"/>
        <v>110.72140630593132</v>
      </c>
      <c r="I43" s="86">
        <f t="shared" si="24"/>
        <v>-44.995650121192597</v>
      </c>
      <c r="J43" s="86">
        <f t="shared" si="24"/>
        <v>49.384906034230426</v>
      </c>
      <c r="K43" s="86">
        <f t="shared" si="24"/>
        <v>-228.05042175123958</v>
      </c>
      <c r="L43" s="86">
        <f t="shared" si="24"/>
        <v>-81.358023651851298</v>
      </c>
      <c r="M43" s="86">
        <f t="shared" si="24"/>
        <v>-174.94628415743182</v>
      </c>
      <c r="N43" s="86">
        <f t="shared" si="24"/>
        <v>-89.903711697866882</v>
      </c>
      <c r="O43" s="86">
        <f t="shared" si="24"/>
        <v>-56.851751932754915</v>
      </c>
      <c r="P43" s="86">
        <f t="shared" si="24"/>
        <v>-32.410880257557217</v>
      </c>
      <c r="Q43" s="86" t="e">
        <f t="shared" si="24"/>
        <v>#DIV/0!</v>
      </c>
      <c r="R43" s="86" t="e">
        <f t="shared" si="24"/>
        <v>#DIV/0!</v>
      </c>
      <c r="S43" s="86" t="e">
        <f t="shared" si="24"/>
        <v>#DIV/0!</v>
      </c>
      <c r="T43" s="86" t="e">
        <f t="shared" si="24"/>
        <v>#DIV/0!</v>
      </c>
      <c r="U43" s="86" t="e">
        <f t="shared" si="24"/>
        <v>#DIV/0!</v>
      </c>
      <c r="V43" s="86" t="e">
        <f t="shared" si="24"/>
        <v>#DIV/0!</v>
      </c>
      <c r="W43" s="86" t="e">
        <f t="shared" si="24"/>
        <v>#DIV/0!</v>
      </c>
      <c r="X43" s="86" t="e">
        <f t="shared" si="24"/>
        <v>#DIV/0!</v>
      </c>
      <c r="Y43" s="86" t="e">
        <f t="shared" si="24"/>
        <v>#DIV/0!</v>
      </c>
      <c r="Z43" s="86" t="e">
        <f t="shared" si="24"/>
        <v>#DIV/0!</v>
      </c>
      <c r="AA43" s="86" t="e">
        <f t="shared" si="24"/>
        <v>#DIV/0!</v>
      </c>
      <c r="AB43" s="86" t="e">
        <f t="shared" si="24"/>
        <v>#DIV/0!</v>
      </c>
      <c r="AC43" s="86" t="e">
        <f t="shared" si="24"/>
        <v>#DIV/0!</v>
      </c>
      <c r="AD43" s="86" t="e">
        <f t="shared" si="24"/>
        <v>#DIV/0!</v>
      </c>
      <c r="AE43" s="86" t="e">
        <f t="shared" si="24"/>
        <v>#DIV/0!</v>
      </c>
      <c r="AF43" s="86" t="e">
        <f t="shared" si="24"/>
        <v>#DIV/0!</v>
      </c>
      <c r="AG43" s="86" t="e">
        <f t="shared" si="24"/>
        <v>#DIV/0!</v>
      </c>
      <c r="AH43" s="86" t="e">
        <f t="shared" si="24"/>
        <v>#DIV/0!</v>
      </c>
      <c r="AI43" s="86" t="e">
        <f t="shared" si="24"/>
        <v>#DIV/0!</v>
      </c>
      <c r="AJ43" s="86" t="e">
        <f t="shared" ref="AJ43:BO43" si="25">AJ31/AJ33</f>
        <v>#DIV/0!</v>
      </c>
      <c r="AK43" s="86">
        <f t="shared" si="25"/>
        <v>333.9395037391692</v>
      </c>
      <c r="AL43" s="86">
        <f t="shared" si="25"/>
        <v>291.19776907838417</v>
      </c>
      <c r="AM43" s="86">
        <f t="shared" si="25"/>
        <v>100.25930584588127</v>
      </c>
      <c r="AN43" s="86">
        <f t="shared" si="25"/>
        <v>234.43998385171332</v>
      </c>
      <c r="AO43" s="86">
        <f t="shared" si="25"/>
        <v>-107.50796007582223</v>
      </c>
      <c r="AP43" s="86">
        <f t="shared" si="25"/>
        <v>-156.9897849131672</v>
      </c>
      <c r="AQ43" s="86">
        <f t="shared" si="25"/>
        <v>-40.327491771647551</v>
      </c>
      <c r="AR43" s="86">
        <f t="shared" si="25"/>
        <v>44.806744397802227</v>
      </c>
      <c r="AS43" s="86">
        <f t="shared" si="25"/>
        <v>80.782658802304567</v>
      </c>
      <c r="AT43" s="86">
        <f t="shared" si="25"/>
        <v>-61.864526886111832</v>
      </c>
      <c r="AU43" s="86">
        <f t="shared" si="25"/>
        <v>67.117778267493705</v>
      </c>
      <c r="AV43" s="86">
        <f t="shared" si="25"/>
        <v>344.25253931257424</v>
      </c>
      <c r="AW43" s="86">
        <f t="shared" si="25"/>
        <v>-12.616148291961013</v>
      </c>
      <c r="AX43" s="86">
        <f t="shared" si="25"/>
        <v>-58.297870270651231</v>
      </c>
      <c r="AY43" s="86">
        <f t="shared" si="25"/>
        <v>-102.29014388693992</v>
      </c>
      <c r="AZ43" s="86">
        <f t="shared" si="25"/>
        <v>17.589167251098054</v>
      </c>
      <c r="BA43" s="86">
        <f t="shared" si="25"/>
        <v>-33.167613290401647</v>
      </c>
      <c r="BB43" s="86">
        <f t="shared" si="25"/>
        <v>-187.66685278665378</v>
      </c>
      <c r="BC43" s="86">
        <f t="shared" si="25"/>
        <v>-70.446908585688874</v>
      </c>
      <c r="BD43" s="86" t="e">
        <f t="shared" si="25"/>
        <v>#DIV/0!</v>
      </c>
      <c r="BE43" s="86" t="e">
        <f t="shared" si="25"/>
        <v>#DIV/0!</v>
      </c>
      <c r="BF43" s="86" t="e">
        <f t="shared" si="25"/>
        <v>#DIV/0!</v>
      </c>
      <c r="BG43" s="86" t="e">
        <f t="shared" si="25"/>
        <v>#DIV/0!</v>
      </c>
      <c r="BH43" s="86" t="e">
        <f t="shared" si="25"/>
        <v>#DIV/0!</v>
      </c>
      <c r="BI43" s="86" t="e">
        <f t="shared" si="25"/>
        <v>#DIV/0!</v>
      </c>
      <c r="BJ43" s="86" t="e">
        <f t="shared" si="25"/>
        <v>#DIV/0!</v>
      </c>
      <c r="BK43" s="86" t="e">
        <f t="shared" si="25"/>
        <v>#DIV/0!</v>
      </c>
      <c r="BL43" s="86" t="e">
        <f t="shared" si="25"/>
        <v>#DIV/0!</v>
      </c>
      <c r="BM43" s="86" t="e">
        <f t="shared" si="25"/>
        <v>#DIV/0!</v>
      </c>
      <c r="BN43" s="86" t="e">
        <f t="shared" si="25"/>
        <v>#DIV/0!</v>
      </c>
      <c r="BO43" s="86" t="e">
        <f t="shared" si="25"/>
        <v>#DIV/0!</v>
      </c>
      <c r="BP43" s="86" t="e">
        <f t="shared" ref="BP43:CI43" si="26">BP31/BP33</f>
        <v>#DIV/0!</v>
      </c>
      <c r="BQ43" s="86" t="e">
        <f t="shared" si="26"/>
        <v>#DIV/0!</v>
      </c>
      <c r="BR43" s="86" t="e">
        <f t="shared" si="26"/>
        <v>#DIV/0!</v>
      </c>
      <c r="BS43" s="86" t="e">
        <f t="shared" si="26"/>
        <v>#DIV/0!</v>
      </c>
      <c r="BT43" s="86" t="e">
        <f t="shared" si="26"/>
        <v>#DIV/0!</v>
      </c>
      <c r="BU43" s="86" t="e">
        <f t="shared" si="26"/>
        <v>#DIV/0!</v>
      </c>
      <c r="BV43" s="86" t="e">
        <f t="shared" si="26"/>
        <v>#DIV/0!</v>
      </c>
      <c r="BW43" s="86" t="e">
        <f t="shared" si="26"/>
        <v>#DIV/0!</v>
      </c>
      <c r="BX43" s="86" t="e">
        <f t="shared" si="26"/>
        <v>#DIV/0!</v>
      </c>
      <c r="BY43" s="86" t="e">
        <f t="shared" si="26"/>
        <v>#DIV/0!</v>
      </c>
      <c r="BZ43" s="86" t="e">
        <f t="shared" si="26"/>
        <v>#DIV/0!</v>
      </c>
      <c r="CA43" s="86" t="e">
        <f t="shared" si="26"/>
        <v>#DIV/0!</v>
      </c>
      <c r="CB43" s="86" t="e">
        <f t="shared" si="26"/>
        <v>#DIV/0!</v>
      </c>
      <c r="CC43" s="86" t="e">
        <f t="shared" si="26"/>
        <v>#DIV/0!</v>
      </c>
      <c r="CD43" s="86">
        <f t="shared" si="26"/>
        <v>293.38979095792325</v>
      </c>
      <c r="CE43" s="86">
        <f t="shared" si="26"/>
        <v>-221.50344455014189</v>
      </c>
      <c r="CF43" s="86">
        <f t="shared" si="26"/>
        <v>-190.13166850436656</v>
      </c>
      <c r="CG43" s="86">
        <f t="shared" si="26"/>
        <v>-203.78984211208927</v>
      </c>
      <c r="CH43" s="86">
        <f t="shared" si="26"/>
        <v>-173.71090442415539</v>
      </c>
      <c r="CI43" s="86">
        <f t="shared" si="26"/>
        <v>-76.655467116060507</v>
      </c>
    </row>
    <row r="44" spans="1:87" ht="15" customHeight="1">
      <c r="A44" s="149"/>
      <c r="B44" s="148" t="s">
        <v>178</v>
      </c>
      <c r="C44" s="155" t="s">
        <v>115</v>
      </c>
      <c r="D44" s="86">
        <f t="shared" ref="D44:AI44" si="27">D32/D33</f>
        <v>505.9239336588343</v>
      </c>
      <c r="E44" s="86">
        <f t="shared" si="27"/>
        <v>534.88930392035365</v>
      </c>
      <c r="F44" s="86">
        <f t="shared" si="27"/>
        <v>424.05193156952396</v>
      </c>
      <c r="G44" s="86">
        <f t="shared" si="27"/>
        <v>520.45326785088173</v>
      </c>
      <c r="H44" s="86">
        <f t="shared" si="27"/>
        <v>468.52886097152424</v>
      </c>
      <c r="I44" s="86">
        <f t="shared" si="27"/>
        <v>518.51260862678953</v>
      </c>
      <c r="J44" s="86">
        <f t="shared" si="27"/>
        <v>542.04029284010574</v>
      </c>
      <c r="K44" s="86">
        <f t="shared" si="27"/>
        <v>480.59572916666667</v>
      </c>
      <c r="L44" s="86">
        <f t="shared" si="27"/>
        <v>413.10230392156973</v>
      </c>
      <c r="M44" s="86">
        <f t="shared" si="27"/>
        <v>454.56650339110774</v>
      </c>
      <c r="N44" s="86">
        <f t="shared" si="27"/>
        <v>473.98301872074882</v>
      </c>
      <c r="O44" s="86">
        <f t="shared" si="27"/>
        <v>459.94869928900044</v>
      </c>
      <c r="P44" s="86">
        <f t="shared" si="27"/>
        <v>429.09485233798193</v>
      </c>
      <c r="Q44" s="86" t="e">
        <f t="shared" si="27"/>
        <v>#DIV/0!</v>
      </c>
      <c r="R44" s="86" t="e">
        <f t="shared" si="27"/>
        <v>#DIV/0!</v>
      </c>
      <c r="S44" s="86" t="e">
        <f t="shared" si="27"/>
        <v>#DIV/0!</v>
      </c>
      <c r="T44" s="86" t="e">
        <f t="shared" si="27"/>
        <v>#DIV/0!</v>
      </c>
      <c r="U44" s="86" t="e">
        <f t="shared" si="27"/>
        <v>#DIV/0!</v>
      </c>
      <c r="V44" s="86" t="e">
        <f t="shared" si="27"/>
        <v>#DIV/0!</v>
      </c>
      <c r="W44" s="86" t="e">
        <f t="shared" si="27"/>
        <v>#DIV/0!</v>
      </c>
      <c r="X44" s="86" t="e">
        <f t="shared" si="27"/>
        <v>#DIV/0!</v>
      </c>
      <c r="Y44" s="86" t="e">
        <f t="shared" si="27"/>
        <v>#DIV/0!</v>
      </c>
      <c r="Z44" s="86" t="e">
        <f t="shared" si="27"/>
        <v>#DIV/0!</v>
      </c>
      <c r="AA44" s="86" t="e">
        <f t="shared" si="27"/>
        <v>#DIV/0!</v>
      </c>
      <c r="AB44" s="86" t="e">
        <f t="shared" si="27"/>
        <v>#DIV/0!</v>
      </c>
      <c r="AC44" s="86" t="e">
        <f t="shared" si="27"/>
        <v>#DIV/0!</v>
      </c>
      <c r="AD44" s="86" t="e">
        <f t="shared" si="27"/>
        <v>#DIV/0!</v>
      </c>
      <c r="AE44" s="86" t="e">
        <f t="shared" si="27"/>
        <v>#DIV/0!</v>
      </c>
      <c r="AF44" s="86" t="e">
        <f t="shared" si="27"/>
        <v>#DIV/0!</v>
      </c>
      <c r="AG44" s="86" t="e">
        <f t="shared" si="27"/>
        <v>#DIV/0!</v>
      </c>
      <c r="AH44" s="86" t="e">
        <f t="shared" si="27"/>
        <v>#DIV/0!</v>
      </c>
      <c r="AI44" s="86" t="e">
        <f t="shared" si="27"/>
        <v>#DIV/0!</v>
      </c>
      <c r="AJ44" s="86" t="e">
        <f t="shared" ref="AJ44:BO44" si="28">AJ32/AJ33</f>
        <v>#DIV/0!</v>
      </c>
      <c r="AK44" s="86">
        <f t="shared" si="28"/>
        <v>584.5334726790486</v>
      </c>
      <c r="AL44" s="86">
        <f t="shared" si="28"/>
        <v>540.54961852861038</v>
      </c>
      <c r="AM44" s="86">
        <f t="shared" si="28"/>
        <v>550.91153348339901</v>
      </c>
      <c r="AN44" s="86">
        <f t="shared" si="28"/>
        <v>571.39043247721793</v>
      </c>
      <c r="AO44" s="86">
        <f t="shared" si="28"/>
        <v>462.10051733627074</v>
      </c>
      <c r="AP44" s="86">
        <f t="shared" si="28"/>
        <v>517.27914887218049</v>
      </c>
      <c r="AQ44" s="86">
        <f t="shared" si="28"/>
        <v>506.98967136150236</v>
      </c>
      <c r="AR44" s="86">
        <f t="shared" si="28"/>
        <v>438.86362850971921</v>
      </c>
      <c r="AS44" s="86">
        <f t="shared" si="28"/>
        <v>483.58772459788418</v>
      </c>
      <c r="AT44" s="86">
        <f t="shared" si="28"/>
        <v>444.42162810315739</v>
      </c>
      <c r="AU44" s="86">
        <f t="shared" si="28"/>
        <v>468.14549118387913</v>
      </c>
      <c r="AV44" s="86">
        <f t="shared" si="28"/>
        <v>499.3155277280859</v>
      </c>
      <c r="AW44" s="86">
        <f t="shared" si="28"/>
        <v>467.08975143403444</v>
      </c>
      <c r="AX44" s="86">
        <f t="shared" si="28"/>
        <v>552.46382772020729</v>
      </c>
      <c r="AY44" s="86">
        <f t="shared" si="28"/>
        <v>521.26877956480598</v>
      </c>
      <c r="AZ44" s="86">
        <f t="shared" si="28"/>
        <v>498.65895765069547</v>
      </c>
      <c r="BA44" s="86">
        <f t="shared" si="28"/>
        <v>476.54240861227635</v>
      </c>
      <c r="BB44" s="86">
        <f t="shared" si="28"/>
        <v>432.69257699746839</v>
      </c>
      <c r="BC44" s="86">
        <f t="shared" si="28"/>
        <v>214.51487674883478</v>
      </c>
      <c r="BD44" s="86" t="e">
        <f t="shared" si="28"/>
        <v>#DIV/0!</v>
      </c>
      <c r="BE44" s="86" t="e">
        <f t="shared" si="28"/>
        <v>#DIV/0!</v>
      </c>
      <c r="BF44" s="86" t="e">
        <f t="shared" si="28"/>
        <v>#DIV/0!</v>
      </c>
      <c r="BG44" s="86" t="e">
        <f t="shared" si="28"/>
        <v>#DIV/0!</v>
      </c>
      <c r="BH44" s="86" t="e">
        <f t="shared" si="28"/>
        <v>#DIV/0!</v>
      </c>
      <c r="BI44" s="86" t="e">
        <f t="shared" si="28"/>
        <v>#DIV/0!</v>
      </c>
      <c r="BJ44" s="86" t="e">
        <f t="shared" si="28"/>
        <v>#DIV/0!</v>
      </c>
      <c r="BK44" s="86" t="e">
        <f t="shared" si="28"/>
        <v>#DIV/0!</v>
      </c>
      <c r="BL44" s="86" t="e">
        <f t="shared" si="28"/>
        <v>#DIV/0!</v>
      </c>
      <c r="BM44" s="86" t="e">
        <f t="shared" si="28"/>
        <v>#DIV/0!</v>
      </c>
      <c r="BN44" s="86" t="e">
        <f t="shared" si="28"/>
        <v>#DIV/0!</v>
      </c>
      <c r="BO44" s="86" t="e">
        <f t="shared" si="28"/>
        <v>#DIV/0!</v>
      </c>
      <c r="BP44" s="86" t="e">
        <f t="shared" ref="BP44:CI44" si="29">BP32/BP33</f>
        <v>#DIV/0!</v>
      </c>
      <c r="BQ44" s="86" t="e">
        <f t="shared" si="29"/>
        <v>#DIV/0!</v>
      </c>
      <c r="BR44" s="86" t="e">
        <f t="shared" si="29"/>
        <v>#DIV/0!</v>
      </c>
      <c r="BS44" s="86" t="e">
        <f t="shared" si="29"/>
        <v>#DIV/0!</v>
      </c>
      <c r="BT44" s="86" t="e">
        <f t="shared" si="29"/>
        <v>#DIV/0!</v>
      </c>
      <c r="BU44" s="86" t="e">
        <f t="shared" si="29"/>
        <v>#DIV/0!</v>
      </c>
      <c r="BV44" s="86" t="e">
        <f t="shared" si="29"/>
        <v>#DIV/0!</v>
      </c>
      <c r="BW44" s="86" t="e">
        <f t="shared" si="29"/>
        <v>#DIV/0!</v>
      </c>
      <c r="BX44" s="86" t="e">
        <f t="shared" si="29"/>
        <v>#DIV/0!</v>
      </c>
      <c r="BY44" s="86" t="e">
        <f t="shared" si="29"/>
        <v>#DIV/0!</v>
      </c>
      <c r="BZ44" s="86" t="e">
        <f t="shared" si="29"/>
        <v>#DIV/0!</v>
      </c>
      <c r="CA44" s="86" t="e">
        <f t="shared" si="29"/>
        <v>#DIV/0!</v>
      </c>
      <c r="CB44" s="86" t="e">
        <f t="shared" si="29"/>
        <v>#DIV/0!</v>
      </c>
      <c r="CC44" s="86" t="e">
        <f t="shared" si="29"/>
        <v>#DIV/0!</v>
      </c>
      <c r="CD44" s="86">
        <f t="shared" si="29"/>
        <v>464.56441935483872</v>
      </c>
      <c r="CE44" s="86">
        <f t="shared" si="29"/>
        <v>420.24715825399858</v>
      </c>
      <c r="CF44" s="86">
        <f t="shared" si="29"/>
        <v>374.45215895610909</v>
      </c>
      <c r="CG44" s="86">
        <f t="shared" si="29"/>
        <v>407.05272688987151</v>
      </c>
      <c r="CH44" s="86">
        <f t="shared" si="29"/>
        <v>395.95423890063427</v>
      </c>
      <c r="CI44" s="86">
        <f t="shared" si="29"/>
        <v>377.25322420223915</v>
      </c>
    </row>
    <row r="45" spans="1:87" ht="15" customHeight="1"/>
    <row r="46" spans="1:87" ht="15" customHeight="1">
      <c r="C46" s="76" t="s">
        <v>121</v>
      </c>
    </row>
    <row r="47" spans="1:87" ht="15" customHeight="1">
      <c r="B47" s="146" t="s">
        <v>179</v>
      </c>
      <c r="C47" s="163" t="s">
        <v>106</v>
      </c>
      <c r="D47" s="165"/>
      <c r="E47" s="191" t="str">
        <f t="shared" ref="E47:AJ47" si="30">IF(E13&lt;&gt;"",E13,"")</f>
        <v>83761GA0040002</v>
      </c>
      <c r="F47" s="191" t="str">
        <f t="shared" si="30"/>
        <v>83761GA0040007</v>
      </c>
      <c r="G47" s="191" t="str">
        <f t="shared" si="30"/>
        <v>83761GA0040017</v>
      </c>
      <c r="H47" s="191" t="str">
        <f t="shared" si="30"/>
        <v>83761GA0040324</v>
      </c>
      <c r="I47" s="191" t="str">
        <f t="shared" si="30"/>
        <v>83761GA0040330</v>
      </c>
      <c r="J47" s="191" t="str">
        <f t="shared" si="30"/>
        <v>83761GA0040331</v>
      </c>
      <c r="K47" s="191" t="str">
        <f t="shared" si="30"/>
        <v>83761GA0040344</v>
      </c>
      <c r="L47" s="191" t="str">
        <f t="shared" si="30"/>
        <v>83761GA0040345</v>
      </c>
      <c r="M47" s="191" t="str">
        <f t="shared" si="30"/>
        <v>83761GA0040355</v>
      </c>
      <c r="N47" s="191" t="str">
        <f t="shared" si="30"/>
        <v>83761GA0040358</v>
      </c>
      <c r="O47" s="191" t="str">
        <f t="shared" si="30"/>
        <v>83761GA0040369</v>
      </c>
      <c r="P47" s="191" t="str">
        <f t="shared" si="30"/>
        <v>83761GA0040373</v>
      </c>
      <c r="Q47" s="191" t="str">
        <f t="shared" si="30"/>
        <v>83761GA0040377</v>
      </c>
      <c r="R47" s="191" t="str">
        <f t="shared" si="30"/>
        <v>83761GA0040378</v>
      </c>
      <c r="S47" s="191" t="str">
        <f t="shared" si="30"/>
        <v>83761GA0040379</v>
      </c>
      <c r="T47" s="191" t="str">
        <f t="shared" si="30"/>
        <v>83761GA0040380</v>
      </c>
      <c r="U47" s="191" t="str">
        <f t="shared" si="30"/>
        <v>83761GA0040381</v>
      </c>
      <c r="V47" s="191" t="str">
        <f t="shared" si="30"/>
        <v>83761GA0040382</v>
      </c>
      <c r="W47" s="191" t="str">
        <f t="shared" si="30"/>
        <v>83761GA0040383</v>
      </c>
      <c r="X47" s="191" t="str">
        <f t="shared" si="30"/>
        <v>83761GA0040384</v>
      </c>
      <c r="Y47" s="191" t="str">
        <f t="shared" si="30"/>
        <v>83761GA0040385</v>
      </c>
      <c r="Z47" s="191" t="str">
        <f t="shared" si="30"/>
        <v>83761GA0040386</v>
      </c>
      <c r="AA47" s="191" t="str">
        <f t="shared" si="30"/>
        <v>83761GA0040387</v>
      </c>
      <c r="AB47" s="191" t="str">
        <f t="shared" si="30"/>
        <v>83761GA0040388</v>
      </c>
      <c r="AC47" s="191" t="str">
        <f t="shared" si="30"/>
        <v>83761GA0040391</v>
      </c>
      <c r="AD47" s="191" t="str">
        <f t="shared" si="30"/>
        <v>83761GA0040392</v>
      </c>
      <c r="AE47" s="191" t="str">
        <f t="shared" si="30"/>
        <v>83761GA0040393</v>
      </c>
      <c r="AF47" s="191" t="str">
        <f t="shared" si="30"/>
        <v>83761GA0040398</v>
      </c>
      <c r="AG47" s="191" t="str">
        <f t="shared" si="30"/>
        <v>83761GA0040394</v>
      </c>
      <c r="AH47" s="191" t="str">
        <f t="shared" si="30"/>
        <v>83761GA0040395</v>
      </c>
      <c r="AI47" s="191" t="str">
        <f t="shared" si="30"/>
        <v>83761GA0040396</v>
      </c>
      <c r="AJ47" s="191" t="str">
        <f t="shared" si="30"/>
        <v>83761GA0040397</v>
      </c>
      <c r="AK47" s="191" t="str">
        <f t="shared" ref="AK47:BP47" si="31">IF(AK13&lt;&gt;"",AK13,"")</f>
        <v>83761GA0040184</v>
      </c>
      <c r="AL47" s="191" t="str">
        <f t="shared" si="31"/>
        <v>83761GA0040336</v>
      </c>
      <c r="AM47" s="191" t="str">
        <f t="shared" si="31"/>
        <v>83761GA0040348</v>
      </c>
      <c r="AN47" s="191" t="str">
        <f t="shared" si="31"/>
        <v>83761GA0040349</v>
      </c>
      <c r="AO47" s="191" t="str">
        <f t="shared" si="31"/>
        <v>83761GA0040354</v>
      </c>
      <c r="AP47" s="191" t="str">
        <f t="shared" si="31"/>
        <v>83761GA0040357</v>
      </c>
      <c r="AQ47" s="191" t="str">
        <f t="shared" si="31"/>
        <v>83761GA0040367</v>
      </c>
      <c r="AR47" s="191" t="str">
        <f t="shared" si="31"/>
        <v>83761GA0040368</v>
      </c>
      <c r="AS47" s="191" t="str">
        <f t="shared" si="31"/>
        <v>83761GA0040371</v>
      </c>
      <c r="AT47" s="191" t="str">
        <f t="shared" si="31"/>
        <v>83761GA0040372</v>
      </c>
      <c r="AU47" s="191" t="str">
        <f t="shared" si="31"/>
        <v>83761GA0040374</v>
      </c>
      <c r="AV47" s="191" t="str">
        <f t="shared" si="31"/>
        <v>83761GA0040375</v>
      </c>
      <c r="AW47" s="191" t="str">
        <f t="shared" si="31"/>
        <v>83761GA0040376</v>
      </c>
      <c r="AX47" s="191" t="str">
        <f t="shared" si="31"/>
        <v>83761GA0110003</v>
      </c>
      <c r="AY47" s="191" t="str">
        <f t="shared" si="31"/>
        <v>83761GA0110004</v>
      </c>
      <c r="AZ47" s="191" t="str">
        <f t="shared" si="31"/>
        <v>83761GA0110008</v>
      </c>
      <c r="BA47" s="191" t="str">
        <f t="shared" si="31"/>
        <v>83761GA0110009</v>
      </c>
      <c r="BB47" s="191" t="str">
        <f t="shared" si="31"/>
        <v>83761GA0110019</v>
      </c>
      <c r="BC47" s="191" t="str">
        <f t="shared" si="31"/>
        <v>83761GA0110023</v>
      </c>
      <c r="BD47" s="191" t="str">
        <f t="shared" si="31"/>
        <v>83761GA0110024</v>
      </c>
      <c r="BE47" s="191" t="str">
        <f t="shared" si="31"/>
        <v>83761GA0110025</v>
      </c>
      <c r="BF47" s="191" t="str">
        <f t="shared" si="31"/>
        <v>83761GA0110027</v>
      </c>
      <c r="BG47" s="191" t="str">
        <f t="shared" si="31"/>
        <v>83761GA0110028</v>
      </c>
      <c r="BH47" s="191" t="str">
        <f t="shared" si="31"/>
        <v>83761GA0110029</v>
      </c>
      <c r="BI47" s="191" t="str">
        <f t="shared" si="31"/>
        <v>83761GA0110030</v>
      </c>
      <c r="BJ47" s="191" t="str">
        <f t="shared" si="31"/>
        <v>83761GA0110031</v>
      </c>
      <c r="BK47" s="191" t="str">
        <f t="shared" si="31"/>
        <v>83761GA0110032</v>
      </c>
      <c r="BL47" s="191" t="str">
        <f t="shared" si="31"/>
        <v>83761GA0110033</v>
      </c>
      <c r="BM47" s="191" t="str">
        <f t="shared" si="31"/>
        <v>83761GA0110034</v>
      </c>
      <c r="BN47" s="191" t="str">
        <f t="shared" si="31"/>
        <v>83761GA0110035</v>
      </c>
      <c r="BO47" s="191" t="str">
        <f t="shared" si="31"/>
        <v>83761GA0110036</v>
      </c>
      <c r="BP47" s="191" t="str">
        <f t="shared" si="31"/>
        <v>83761GA0110037</v>
      </c>
      <c r="BQ47" s="191" t="str">
        <f t="shared" ref="BQ47:CI47" si="32">IF(BQ13&lt;&gt;"",BQ13,"")</f>
        <v>83761GA0110038</v>
      </c>
      <c r="BR47" s="191" t="str">
        <f t="shared" si="32"/>
        <v>83761GA0110039</v>
      </c>
      <c r="BS47" s="191" t="str">
        <f t="shared" si="32"/>
        <v>83761GA0110040</v>
      </c>
      <c r="BT47" s="191" t="str">
        <f t="shared" si="32"/>
        <v>83761GA0110042</v>
      </c>
      <c r="BU47" s="191" t="str">
        <f t="shared" si="32"/>
        <v>83761GA0110043</v>
      </c>
      <c r="BV47" s="191" t="str">
        <f t="shared" si="32"/>
        <v>83761GA0110044</v>
      </c>
      <c r="BW47" s="191" t="str">
        <f t="shared" si="32"/>
        <v>83761GA0110045</v>
      </c>
      <c r="BX47" s="191" t="str">
        <f t="shared" si="32"/>
        <v>83761GA0110046</v>
      </c>
      <c r="BY47" s="191" t="str">
        <f t="shared" si="32"/>
        <v>83761GA0110047</v>
      </c>
      <c r="BZ47" s="191" t="str">
        <f t="shared" si="32"/>
        <v>83761GA0110048</v>
      </c>
      <c r="CA47" s="191" t="str">
        <f t="shared" si="32"/>
        <v>83761GA0110049</v>
      </c>
      <c r="CB47" s="191" t="str">
        <f t="shared" si="32"/>
        <v>83761GA0110050</v>
      </c>
      <c r="CC47" s="191" t="str">
        <f t="shared" si="32"/>
        <v>83761GA0110051</v>
      </c>
      <c r="CD47" s="191" t="str">
        <f t="shared" si="32"/>
        <v>83761GA0110010</v>
      </c>
      <c r="CE47" s="191" t="str">
        <f t="shared" si="32"/>
        <v>83761GA0110011</v>
      </c>
      <c r="CF47" s="191" t="str">
        <f t="shared" si="32"/>
        <v>83761GA0110013</v>
      </c>
      <c r="CG47" s="191" t="str">
        <f t="shared" si="32"/>
        <v>83761GA0110015</v>
      </c>
      <c r="CH47" s="191" t="str">
        <f t="shared" si="32"/>
        <v>83761GA0110017</v>
      </c>
      <c r="CI47" s="191" t="str">
        <f t="shared" si="32"/>
        <v>83761GA0110021</v>
      </c>
    </row>
    <row r="48" spans="1:87" ht="15" customHeight="1">
      <c r="B48" s="146" t="s">
        <v>180</v>
      </c>
      <c r="C48" s="163" t="s">
        <v>122</v>
      </c>
      <c r="D48" s="166"/>
      <c r="E48" s="251">
        <f>'Wksh 1 - Market Experience'!F46</f>
        <v>601.75353611833407</v>
      </c>
      <c r="F48" s="252"/>
      <c r="G48" s="252"/>
      <c r="H48" s="252"/>
      <c r="I48" s="252"/>
      <c r="J48" s="252"/>
      <c r="K48" s="252"/>
      <c r="L48" s="252"/>
      <c r="M48" s="252"/>
      <c r="N48" s="252"/>
      <c r="O48" s="252"/>
      <c r="P48" s="252"/>
      <c r="Q48" s="252"/>
      <c r="R48" s="252"/>
      <c r="S48" s="252"/>
      <c r="T48" s="252"/>
      <c r="U48" s="252"/>
      <c r="V48" s="252"/>
      <c r="W48" s="252"/>
      <c r="X48" s="252"/>
      <c r="Y48" s="252"/>
      <c r="Z48" s="252"/>
      <c r="AA48" s="252"/>
      <c r="AB48" s="252"/>
      <c r="AC48" s="252"/>
      <c r="AD48" s="252"/>
      <c r="AE48" s="252"/>
      <c r="AF48" s="252"/>
      <c r="AG48" s="252"/>
      <c r="AH48" s="252"/>
      <c r="AI48" s="252"/>
      <c r="AJ48" s="252"/>
      <c r="AK48" s="252"/>
      <c r="AL48" s="252"/>
      <c r="AM48" s="252"/>
      <c r="AN48" s="252"/>
      <c r="AO48" s="252"/>
      <c r="AP48" s="252"/>
      <c r="AQ48" s="252"/>
      <c r="AR48" s="252"/>
      <c r="AS48" s="252"/>
      <c r="AT48" s="252"/>
      <c r="AU48" s="252"/>
      <c r="AV48" s="252"/>
      <c r="AW48" s="252"/>
      <c r="AX48" s="252"/>
      <c r="AY48" s="252"/>
      <c r="AZ48" s="252"/>
      <c r="BA48" s="252"/>
      <c r="BB48" s="252"/>
      <c r="BC48" s="252"/>
      <c r="BD48" s="252"/>
      <c r="BE48" s="252"/>
      <c r="BF48" s="252"/>
      <c r="BG48" s="252"/>
      <c r="BH48" s="252"/>
      <c r="BI48" s="252"/>
      <c r="BJ48" s="252"/>
      <c r="BK48" s="252"/>
      <c r="BL48" s="252"/>
      <c r="BM48" s="252"/>
      <c r="BN48" s="252"/>
      <c r="BO48" s="252"/>
      <c r="BP48" s="252"/>
      <c r="BQ48" s="252"/>
      <c r="BR48" s="252"/>
      <c r="BS48" s="252"/>
      <c r="BT48" s="252"/>
      <c r="BU48" s="252"/>
      <c r="BV48" s="252"/>
      <c r="BW48" s="252"/>
      <c r="BX48" s="252"/>
      <c r="BY48" s="252"/>
      <c r="BZ48" s="252"/>
      <c r="CA48" s="252"/>
      <c r="CB48" s="252"/>
      <c r="CC48" s="252"/>
      <c r="CD48" s="252"/>
      <c r="CE48" s="252"/>
      <c r="CF48" s="252"/>
      <c r="CG48" s="252"/>
      <c r="CH48" s="252"/>
      <c r="CI48" s="253"/>
    </row>
    <row r="49" spans="2:87" ht="15" customHeight="1">
      <c r="B49" s="146" t="s">
        <v>181</v>
      </c>
      <c r="C49" s="163" t="s">
        <v>123</v>
      </c>
      <c r="D49" s="166"/>
      <c r="E49" s="193">
        <v>0.86319269606736904</v>
      </c>
      <c r="F49" s="193">
        <v>0.73971133217580698</v>
      </c>
      <c r="G49" s="193">
        <v>0.88998222338696498</v>
      </c>
      <c r="H49" s="193">
        <v>0.89651244450823497</v>
      </c>
      <c r="I49" s="193">
        <v>0.92528859088898396</v>
      </c>
      <c r="J49" s="193">
        <v>0.91515690117466497</v>
      </c>
      <c r="K49" s="193">
        <v>0.964378713946201</v>
      </c>
      <c r="L49" s="193">
        <v>0.76149251730936296</v>
      </c>
      <c r="M49" s="193">
        <v>0.86320113606281101</v>
      </c>
      <c r="N49" s="193">
        <v>0.92529703088442705</v>
      </c>
      <c r="O49" s="193">
        <v>0.88998885494435598</v>
      </c>
      <c r="P49" s="193">
        <v>0.91516353273205597</v>
      </c>
      <c r="Q49" s="193">
        <v>1.1912610626865201</v>
      </c>
      <c r="R49" s="193">
        <v>0.87985257028780195</v>
      </c>
      <c r="S49" s="193">
        <v>0.84460724615011395</v>
      </c>
      <c r="T49" s="193">
        <v>1.1464105578147299</v>
      </c>
      <c r="U49" s="193">
        <v>0.68340813963702196</v>
      </c>
      <c r="V49" s="193">
        <v>0.68066011914705404</v>
      </c>
      <c r="W49" s="193">
        <v>0.60881499248134896</v>
      </c>
      <c r="X49" s="193">
        <v>0.73971977217124896</v>
      </c>
      <c r="Y49" s="193">
        <v>0.68341657963246505</v>
      </c>
      <c r="Z49" s="193">
        <v>0.68066855914249602</v>
      </c>
      <c r="AA49" s="193">
        <v>0.89652088450367795</v>
      </c>
      <c r="AB49" s="193">
        <v>0.96438715394164298</v>
      </c>
      <c r="AC49" s="193">
        <v>0.76150095730480505</v>
      </c>
      <c r="AD49" s="193">
        <v>0.60882931492459502</v>
      </c>
      <c r="AE49" s="193">
        <v>0.58791442761062096</v>
      </c>
      <c r="AF49" s="193">
        <v>1.14641899781018</v>
      </c>
      <c r="AG49" s="193">
        <v>1.19126950268196</v>
      </c>
      <c r="AH49" s="193">
        <v>0.87986101028324504</v>
      </c>
      <c r="AI49" s="193">
        <v>0.84461387770750496</v>
      </c>
      <c r="AJ49" s="193">
        <v>0.58792286760606405</v>
      </c>
      <c r="AK49" s="193">
        <v>0</v>
      </c>
      <c r="AL49" s="193">
        <v>0</v>
      </c>
      <c r="AM49" s="193">
        <v>0</v>
      </c>
      <c r="AN49" s="193">
        <v>0</v>
      </c>
      <c r="AO49" s="193">
        <v>0</v>
      </c>
      <c r="AP49" s="193">
        <v>0</v>
      </c>
      <c r="AQ49" s="193">
        <v>0</v>
      </c>
      <c r="AR49" s="193">
        <v>0</v>
      </c>
      <c r="AS49" s="193">
        <v>0</v>
      </c>
      <c r="AT49" s="193">
        <v>0</v>
      </c>
      <c r="AU49" s="193">
        <v>0</v>
      </c>
      <c r="AV49" s="193">
        <v>0</v>
      </c>
      <c r="AW49" s="193">
        <v>0</v>
      </c>
      <c r="AX49" s="193">
        <v>0.85864909400724998</v>
      </c>
      <c r="AY49" s="193">
        <v>0.92301678985892499</v>
      </c>
      <c r="AZ49" s="193">
        <v>0.87886998406365502</v>
      </c>
      <c r="BA49" s="193">
        <v>0.90339002743354202</v>
      </c>
      <c r="BB49" s="193">
        <v>0.67310306279964105</v>
      </c>
      <c r="BC49" s="193">
        <v>0.59919384471097104</v>
      </c>
      <c r="BD49" s="193">
        <v>0.87606623523770299</v>
      </c>
      <c r="BE49" s="193">
        <v>0.83256898688319403</v>
      </c>
      <c r="BF49" s="193">
        <v>0.57829635589573203</v>
      </c>
      <c r="BG49" s="193">
        <v>1.1420777414172001</v>
      </c>
      <c r="BH49" s="193">
        <v>0.73099885812238397</v>
      </c>
      <c r="BI49" s="193">
        <v>0.67653808841210195</v>
      </c>
      <c r="BJ49" s="193">
        <v>0.89348337646815701</v>
      </c>
      <c r="BK49" s="193">
        <v>0.95482200427975095</v>
      </c>
      <c r="BL49" s="193">
        <v>0.75568420127374802</v>
      </c>
      <c r="BM49" s="193">
        <v>1.14208618141264</v>
      </c>
      <c r="BN49" s="193">
        <v>0.85865753400269296</v>
      </c>
      <c r="BO49" s="193">
        <v>0.92302522985436797</v>
      </c>
      <c r="BP49" s="193">
        <v>0.73100729811782705</v>
      </c>
      <c r="BQ49" s="193">
        <v>0.87887661562104602</v>
      </c>
      <c r="BR49" s="193">
        <v>0.90339665899093302</v>
      </c>
      <c r="BS49" s="193">
        <v>0.67654652840754403</v>
      </c>
      <c r="BT49" s="193">
        <v>0.67311150279508403</v>
      </c>
      <c r="BU49" s="193">
        <v>0.89349181646359999</v>
      </c>
      <c r="BV49" s="193">
        <v>0.95483044427519403</v>
      </c>
      <c r="BW49" s="193">
        <v>0.75569264126919</v>
      </c>
      <c r="BX49" s="193">
        <v>0.59920816715421699</v>
      </c>
      <c r="BY49" s="193">
        <v>1.1811121233769799</v>
      </c>
      <c r="BZ49" s="193">
        <v>1.18112056337242</v>
      </c>
      <c r="CA49" s="193">
        <v>0.87607467523314597</v>
      </c>
      <c r="CB49" s="193">
        <v>0.83257561844058503</v>
      </c>
      <c r="CC49" s="193">
        <v>0.57830479589117401</v>
      </c>
      <c r="CD49" s="193">
        <v>0</v>
      </c>
      <c r="CE49" s="193">
        <v>0</v>
      </c>
      <c r="CF49" s="193">
        <v>0</v>
      </c>
      <c r="CG49" s="193">
        <v>0</v>
      </c>
      <c r="CH49" s="193">
        <v>0</v>
      </c>
      <c r="CI49" s="193">
        <v>0</v>
      </c>
    </row>
    <row r="50" spans="2:87" ht="15" customHeight="1">
      <c r="B50" s="146" t="s">
        <v>182</v>
      </c>
      <c r="C50" s="163" t="s">
        <v>124</v>
      </c>
      <c r="D50" s="166"/>
      <c r="E50" s="193">
        <v>1</v>
      </c>
      <c r="F50" s="193">
        <v>1</v>
      </c>
      <c r="G50" s="193">
        <v>1</v>
      </c>
      <c r="H50" s="193">
        <v>1</v>
      </c>
      <c r="I50" s="193">
        <v>1</v>
      </c>
      <c r="J50" s="193">
        <v>1</v>
      </c>
      <c r="K50" s="193">
        <v>1</v>
      </c>
      <c r="L50" s="193">
        <v>1</v>
      </c>
      <c r="M50" s="193">
        <v>1</v>
      </c>
      <c r="N50" s="193">
        <v>1</v>
      </c>
      <c r="O50" s="193">
        <v>1</v>
      </c>
      <c r="P50" s="193">
        <v>1</v>
      </c>
      <c r="Q50" s="193">
        <v>1</v>
      </c>
      <c r="R50" s="193">
        <v>1</v>
      </c>
      <c r="S50" s="193">
        <v>1</v>
      </c>
      <c r="T50" s="193">
        <v>1</v>
      </c>
      <c r="U50" s="193">
        <v>1</v>
      </c>
      <c r="V50" s="193">
        <v>1</v>
      </c>
      <c r="W50" s="193">
        <v>1</v>
      </c>
      <c r="X50" s="193">
        <v>1</v>
      </c>
      <c r="Y50" s="193">
        <v>1</v>
      </c>
      <c r="Z50" s="193">
        <v>1</v>
      </c>
      <c r="AA50" s="193">
        <v>1</v>
      </c>
      <c r="AB50" s="193">
        <v>1</v>
      </c>
      <c r="AC50" s="193">
        <v>1</v>
      </c>
      <c r="AD50" s="193">
        <v>1</v>
      </c>
      <c r="AE50" s="193">
        <v>1</v>
      </c>
      <c r="AF50" s="193">
        <v>1</v>
      </c>
      <c r="AG50" s="193">
        <v>1</v>
      </c>
      <c r="AH50" s="193">
        <v>1</v>
      </c>
      <c r="AI50" s="193">
        <v>1</v>
      </c>
      <c r="AJ50" s="193">
        <v>1</v>
      </c>
      <c r="AK50" s="193">
        <v>0</v>
      </c>
      <c r="AL50" s="193">
        <v>0</v>
      </c>
      <c r="AM50" s="193">
        <v>0</v>
      </c>
      <c r="AN50" s="193">
        <v>0</v>
      </c>
      <c r="AO50" s="193">
        <v>0</v>
      </c>
      <c r="AP50" s="193">
        <v>0</v>
      </c>
      <c r="AQ50" s="193">
        <v>0</v>
      </c>
      <c r="AR50" s="193">
        <v>0</v>
      </c>
      <c r="AS50" s="193">
        <v>0</v>
      </c>
      <c r="AT50" s="193">
        <v>0</v>
      </c>
      <c r="AU50" s="193">
        <v>0</v>
      </c>
      <c r="AV50" s="193">
        <v>0</v>
      </c>
      <c r="AW50" s="193">
        <v>0</v>
      </c>
      <c r="AX50" s="193">
        <v>1</v>
      </c>
      <c r="AY50" s="193">
        <v>1</v>
      </c>
      <c r="AZ50" s="193">
        <v>1</v>
      </c>
      <c r="BA50" s="193">
        <v>1</v>
      </c>
      <c r="BB50" s="193">
        <v>1</v>
      </c>
      <c r="BC50" s="193">
        <v>1</v>
      </c>
      <c r="BD50" s="193">
        <v>1</v>
      </c>
      <c r="BE50" s="193">
        <v>1</v>
      </c>
      <c r="BF50" s="193">
        <v>1</v>
      </c>
      <c r="BG50" s="193">
        <v>1</v>
      </c>
      <c r="BH50" s="193">
        <v>1</v>
      </c>
      <c r="BI50" s="193">
        <v>1</v>
      </c>
      <c r="BJ50" s="193">
        <v>1</v>
      </c>
      <c r="BK50" s="193">
        <v>1</v>
      </c>
      <c r="BL50" s="193">
        <v>1</v>
      </c>
      <c r="BM50" s="193">
        <v>1</v>
      </c>
      <c r="BN50" s="193">
        <v>1</v>
      </c>
      <c r="BO50" s="193">
        <v>1</v>
      </c>
      <c r="BP50" s="193">
        <v>1</v>
      </c>
      <c r="BQ50" s="193">
        <v>1</v>
      </c>
      <c r="BR50" s="193">
        <v>1</v>
      </c>
      <c r="BS50" s="193">
        <v>1</v>
      </c>
      <c r="BT50" s="193">
        <v>1</v>
      </c>
      <c r="BU50" s="193">
        <v>1</v>
      </c>
      <c r="BV50" s="193">
        <v>1</v>
      </c>
      <c r="BW50" s="193">
        <v>1</v>
      </c>
      <c r="BX50" s="193">
        <v>1</v>
      </c>
      <c r="BY50" s="193">
        <v>1</v>
      </c>
      <c r="BZ50" s="193">
        <v>1</v>
      </c>
      <c r="CA50" s="193">
        <v>1</v>
      </c>
      <c r="CB50" s="193">
        <v>1</v>
      </c>
      <c r="CC50" s="193">
        <v>1</v>
      </c>
      <c r="CD50" s="193">
        <v>0</v>
      </c>
      <c r="CE50" s="193">
        <v>0</v>
      </c>
      <c r="CF50" s="193">
        <v>0</v>
      </c>
      <c r="CG50" s="193">
        <v>0</v>
      </c>
      <c r="CH50" s="193">
        <v>0</v>
      </c>
      <c r="CI50" s="193">
        <v>0</v>
      </c>
    </row>
    <row r="51" spans="2:87" ht="15" customHeight="1">
      <c r="B51" s="148" t="s">
        <v>183</v>
      </c>
      <c r="C51" s="164" t="s">
        <v>125</v>
      </c>
      <c r="D51" s="167"/>
      <c r="E51" s="193">
        <v>1</v>
      </c>
      <c r="F51" s="193">
        <v>1</v>
      </c>
      <c r="G51" s="193">
        <v>1</v>
      </c>
      <c r="H51" s="193">
        <v>1</v>
      </c>
      <c r="I51" s="193">
        <v>1</v>
      </c>
      <c r="J51" s="193">
        <v>1</v>
      </c>
      <c r="K51" s="193">
        <v>1</v>
      </c>
      <c r="L51" s="193">
        <v>1</v>
      </c>
      <c r="M51" s="193">
        <v>1.0100413692096699</v>
      </c>
      <c r="N51" s="193">
        <v>1.0100413692096699</v>
      </c>
      <c r="O51" s="193">
        <v>1.0078728657793199</v>
      </c>
      <c r="P51" s="193">
        <v>1.0078728657793199</v>
      </c>
      <c r="Q51" s="193">
        <v>1</v>
      </c>
      <c r="R51" s="193">
        <v>1</v>
      </c>
      <c r="S51" s="193">
        <v>1</v>
      </c>
      <c r="T51" s="193">
        <v>1</v>
      </c>
      <c r="U51" s="193">
        <v>1</v>
      </c>
      <c r="V51" s="193">
        <v>1</v>
      </c>
      <c r="W51" s="193">
        <v>1</v>
      </c>
      <c r="X51" s="193">
        <v>1.0100413692096699</v>
      </c>
      <c r="Y51" s="193">
        <v>1.0100413692096699</v>
      </c>
      <c r="Z51" s="193">
        <v>1.0100413692096699</v>
      </c>
      <c r="AA51" s="193">
        <v>1.0100413692096699</v>
      </c>
      <c r="AB51" s="193">
        <v>1.0100413692096699</v>
      </c>
      <c r="AC51" s="193">
        <v>1.0100413692096699</v>
      </c>
      <c r="AD51" s="193">
        <v>1.0100413692096699</v>
      </c>
      <c r="AE51" s="193">
        <v>1</v>
      </c>
      <c r="AF51" s="193">
        <v>1.0100413692096699</v>
      </c>
      <c r="AG51" s="193">
        <v>1.0100413692096699</v>
      </c>
      <c r="AH51" s="193">
        <v>1.0100413692096699</v>
      </c>
      <c r="AI51" s="193">
        <v>1.0078728657793199</v>
      </c>
      <c r="AJ51" s="193">
        <v>1.0100413692096699</v>
      </c>
      <c r="AK51" s="193">
        <v>0</v>
      </c>
      <c r="AL51" s="193">
        <v>0</v>
      </c>
      <c r="AM51" s="193">
        <v>0</v>
      </c>
      <c r="AN51" s="193">
        <v>0</v>
      </c>
      <c r="AO51" s="193">
        <v>0</v>
      </c>
      <c r="AP51" s="193">
        <v>0</v>
      </c>
      <c r="AQ51" s="193">
        <v>0</v>
      </c>
      <c r="AR51" s="193">
        <v>0</v>
      </c>
      <c r="AS51" s="193">
        <v>0</v>
      </c>
      <c r="AT51" s="193">
        <v>0</v>
      </c>
      <c r="AU51" s="193">
        <v>0</v>
      </c>
      <c r="AV51" s="193">
        <v>0</v>
      </c>
      <c r="AW51" s="193">
        <v>0</v>
      </c>
      <c r="AX51" s="193">
        <v>1</v>
      </c>
      <c r="AY51" s="193">
        <v>1</v>
      </c>
      <c r="AZ51" s="193">
        <v>1</v>
      </c>
      <c r="BA51" s="193">
        <v>1</v>
      </c>
      <c r="BB51" s="193">
        <v>1</v>
      </c>
      <c r="BC51" s="193">
        <v>1</v>
      </c>
      <c r="BD51" s="193">
        <v>1</v>
      </c>
      <c r="BE51" s="193">
        <v>1</v>
      </c>
      <c r="BF51" s="193">
        <v>1</v>
      </c>
      <c r="BG51" s="193">
        <v>1</v>
      </c>
      <c r="BH51" s="193">
        <v>1</v>
      </c>
      <c r="BI51" s="193">
        <v>1</v>
      </c>
      <c r="BJ51" s="193">
        <v>1</v>
      </c>
      <c r="BK51" s="193">
        <v>1</v>
      </c>
      <c r="BL51" s="193">
        <v>1</v>
      </c>
      <c r="BM51" s="193">
        <v>1.0100413692096699</v>
      </c>
      <c r="BN51" s="193">
        <v>1.0100413692096699</v>
      </c>
      <c r="BO51" s="193">
        <v>1.0100413692096699</v>
      </c>
      <c r="BP51" s="193">
        <v>1.0100413692096699</v>
      </c>
      <c r="BQ51" s="193">
        <v>1.0078728657793199</v>
      </c>
      <c r="BR51" s="193">
        <v>1.0078728657793199</v>
      </c>
      <c r="BS51" s="193">
        <v>1.0100413692096699</v>
      </c>
      <c r="BT51" s="193">
        <v>1.0100413692096699</v>
      </c>
      <c r="BU51" s="193">
        <v>1.0100413692096699</v>
      </c>
      <c r="BV51" s="193">
        <v>1.0100413692096699</v>
      </c>
      <c r="BW51" s="193">
        <v>1.0100413692096699</v>
      </c>
      <c r="BX51" s="193">
        <v>1.0100413692096699</v>
      </c>
      <c r="BY51" s="193">
        <v>1</v>
      </c>
      <c r="BZ51" s="193">
        <v>1.0100413692096699</v>
      </c>
      <c r="CA51" s="193">
        <v>1.0100413692096699</v>
      </c>
      <c r="CB51" s="193">
        <v>1.0078728657793199</v>
      </c>
      <c r="CC51" s="193">
        <v>1.0100413692096699</v>
      </c>
      <c r="CD51" s="193">
        <v>0</v>
      </c>
      <c r="CE51" s="193">
        <v>0</v>
      </c>
      <c r="CF51" s="193">
        <v>0</v>
      </c>
      <c r="CG51" s="193">
        <v>0</v>
      </c>
      <c r="CH51" s="193">
        <v>0</v>
      </c>
      <c r="CI51" s="193">
        <v>0</v>
      </c>
    </row>
    <row r="52" spans="2:87" ht="15" customHeight="1">
      <c r="C52" s="77" t="s">
        <v>131</v>
      </c>
    </row>
    <row r="53" spans="2:87" ht="15" customHeight="1">
      <c r="B53" s="146" t="s">
        <v>184</v>
      </c>
      <c r="C53" s="172" t="s">
        <v>132</v>
      </c>
      <c r="D53" s="165"/>
      <c r="E53" s="196">
        <v>0.16012891972645699</v>
      </c>
      <c r="F53" s="196">
        <v>0.16062644990807101</v>
      </c>
      <c r="G53" s="196">
        <v>0.16003912827479899</v>
      </c>
      <c r="H53" s="196">
        <v>0.1600180507665</v>
      </c>
      <c r="I53" s="196">
        <v>0.159928700087244</v>
      </c>
      <c r="J53" s="196">
        <v>0.159959520952101</v>
      </c>
      <c r="K53" s="196">
        <v>0.159815832660267</v>
      </c>
      <c r="L53" s="196">
        <v>0.16052702615106201</v>
      </c>
      <c r="M53" s="196">
        <v>0.160099237958052</v>
      </c>
      <c r="N53" s="196">
        <v>0.159900996019188</v>
      </c>
      <c r="O53" s="196">
        <v>0.16001650337734999</v>
      </c>
      <c r="P53" s="196">
        <v>0.15993751393275801</v>
      </c>
      <c r="Q53" s="196">
        <v>0.15930654266906699</v>
      </c>
      <c r="R53" s="196">
        <v>0.160072440069285</v>
      </c>
      <c r="S53" s="196">
        <v>0.16019454504282099</v>
      </c>
      <c r="T53" s="196">
        <v>0.15939128630476501</v>
      </c>
      <c r="U53" s="196">
        <v>0.160912659016927</v>
      </c>
      <c r="V53" s="196">
        <v>0.16092783342881101</v>
      </c>
      <c r="W53" s="196">
        <v>0.163501382191438</v>
      </c>
      <c r="X53" s="196">
        <v>0.160591857538742</v>
      </c>
      <c r="Y53" s="196">
        <v>0.16087524425121799</v>
      </c>
      <c r="Z53" s="196">
        <v>0.160890269074</v>
      </c>
      <c r="AA53" s="196">
        <v>0.15998946401404199</v>
      </c>
      <c r="AB53" s="196">
        <v>0.15978924384749399</v>
      </c>
      <c r="AC53" s="196">
        <v>0.160493414653121</v>
      </c>
      <c r="AD53" s="196">
        <v>0.16343055359126199</v>
      </c>
      <c r="AE53" s="196">
        <v>0.16152262647837301</v>
      </c>
      <c r="AF53" s="196">
        <v>0.15936889499778301</v>
      </c>
      <c r="AG53" s="196">
        <v>0.159284989701765</v>
      </c>
      <c r="AH53" s="196">
        <v>0.16004331609783001</v>
      </c>
      <c r="AI53" s="196">
        <v>0.16017071418398901</v>
      </c>
      <c r="AJ53" s="196">
        <v>0.16147920266646501</v>
      </c>
      <c r="AK53" s="196">
        <v>0</v>
      </c>
      <c r="AL53" s="196">
        <v>0</v>
      </c>
      <c r="AM53" s="196">
        <v>0</v>
      </c>
      <c r="AN53" s="196">
        <v>0</v>
      </c>
      <c r="AO53" s="196">
        <v>0</v>
      </c>
      <c r="AP53" s="196">
        <v>0</v>
      </c>
      <c r="AQ53" s="196">
        <v>0</v>
      </c>
      <c r="AR53" s="196">
        <v>0</v>
      </c>
      <c r="AS53" s="196">
        <v>0</v>
      </c>
      <c r="AT53" s="196">
        <v>0</v>
      </c>
      <c r="AU53" s="196">
        <v>0</v>
      </c>
      <c r="AV53" s="196">
        <v>0</v>
      </c>
      <c r="AW53" s="196">
        <v>0</v>
      </c>
      <c r="AX53" s="196">
        <v>0.160144701986043</v>
      </c>
      <c r="AY53" s="196">
        <v>0.15993555235495399</v>
      </c>
      <c r="AZ53" s="196">
        <v>0.160075712027338</v>
      </c>
      <c r="BA53" s="196">
        <v>0.15999618018282699</v>
      </c>
      <c r="BB53" s="196">
        <v>0.160970198385299</v>
      </c>
      <c r="BC53" s="196">
        <v>0.16361548092897699</v>
      </c>
      <c r="BD53" s="196">
        <v>0.16008508853556599</v>
      </c>
      <c r="BE53" s="196">
        <v>0.160238608673622</v>
      </c>
      <c r="BF53" s="196">
        <v>0.16159515651713899</v>
      </c>
      <c r="BG53" s="196">
        <v>0.15939982442926201</v>
      </c>
      <c r="BH53" s="196">
        <v>0.160667869908904</v>
      </c>
      <c r="BI53" s="196">
        <v>0.16095082490695301</v>
      </c>
      <c r="BJ53" s="196">
        <v>0.160027789498731</v>
      </c>
      <c r="BK53" s="196">
        <v>0.15984257621502801</v>
      </c>
      <c r="BL53" s="196">
        <v>0.16055298152297401</v>
      </c>
      <c r="BM53" s="196">
        <v>0.15937734866633499</v>
      </c>
      <c r="BN53" s="196">
        <v>0.16011486436354699</v>
      </c>
      <c r="BO53" s="196">
        <v>0.15990778058794899</v>
      </c>
      <c r="BP53" s="196">
        <v>0.16063286897229201</v>
      </c>
      <c r="BQ53" s="196">
        <v>0.160052803219324</v>
      </c>
      <c r="BR53" s="196">
        <v>0.15997388861648401</v>
      </c>
      <c r="BS53" s="196">
        <v>0.16091303391221201</v>
      </c>
      <c r="BT53" s="196">
        <v>0.160932216424342</v>
      </c>
      <c r="BU53" s="196">
        <v>0.15999910654917801</v>
      </c>
      <c r="BV53" s="196">
        <v>0.15981572312087999</v>
      </c>
      <c r="BW53" s="196">
        <v>0.16051911393962401</v>
      </c>
      <c r="BX53" s="196">
        <v>0.16354353621673301</v>
      </c>
      <c r="BY53" s="196">
        <v>0.15932515716041701</v>
      </c>
      <c r="BZ53" s="196">
        <v>0.15930342003276499</v>
      </c>
      <c r="CA53" s="196">
        <v>0.16005583964087799</v>
      </c>
      <c r="CB53" s="196">
        <v>0.160214435977999</v>
      </c>
      <c r="CC53" s="196">
        <v>0.161551018727465</v>
      </c>
      <c r="CD53" s="196">
        <v>0</v>
      </c>
      <c r="CE53" s="196">
        <v>0</v>
      </c>
      <c r="CF53" s="196">
        <v>0</v>
      </c>
      <c r="CG53" s="196">
        <v>0</v>
      </c>
      <c r="CH53" s="196">
        <v>0</v>
      </c>
      <c r="CI53" s="196">
        <v>0</v>
      </c>
    </row>
    <row r="54" spans="2:87" ht="15" customHeight="1">
      <c r="B54" s="146" t="s">
        <v>185</v>
      </c>
      <c r="C54" s="172" t="s">
        <v>133</v>
      </c>
      <c r="D54" s="166"/>
      <c r="E54" s="196">
        <v>1.8732699556665199E-2</v>
      </c>
      <c r="F54" s="196">
        <v>1.8800574911065699E-2</v>
      </c>
      <c r="G54" s="196">
        <v>1.87204497940806E-2</v>
      </c>
      <c r="H54" s="196">
        <v>1.8717574303510301E-2</v>
      </c>
      <c r="I54" s="196">
        <v>1.8705384673122799E-2</v>
      </c>
      <c r="J54" s="196">
        <v>1.8709589397182699E-2</v>
      </c>
      <c r="K54" s="196">
        <v>1.8689986779910701E-2</v>
      </c>
      <c r="L54" s="196">
        <v>1.8787011065107901E-2</v>
      </c>
      <c r="M54" s="196">
        <v>1.8728650233379499E-2</v>
      </c>
      <c r="N54" s="196">
        <v>1.8701605156809901E-2</v>
      </c>
      <c r="O54" s="196">
        <v>1.8717363201569501E-2</v>
      </c>
      <c r="P54" s="196">
        <v>1.8706587098443202E-2</v>
      </c>
      <c r="Q54" s="196">
        <v>1.8620507098229402E-2</v>
      </c>
      <c r="R54" s="196">
        <v>1.8724994342210501E-2</v>
      </c>
      <c r="S54" s="196">
        <v>1.8741652463986999E-2</v>
      </c>
      <c r="T54" s="196">
        <v>1.8632068214557099E-2</v>
      </c>
      <c r="U54" s="196">
        <v>1.8839620873329299E-2</v>
      </c>
      <c r="V54" s="196">
        <v>1.8841691036351499E-2</v>
      </c>
      <c r="W54" s="196">
        <v>1.9267484725775701E-2</v>
      </c>
      <c r="X54" s="196">
        <v>1.87958556610292E-2</v>
      </c>
      <c r="Y54" s="196">
        <v>1.8834516579004701E-2</v>
      </c>
      <c r="Z54" s="196">
        <v>1.8836566334394102E-2</v>
      </c>
      <c r="AA54" s="196">
        <v>1.8713674367333601E-2</v>
      </c>
      <c r="AB54" s="196">
        <v>1.8686359411849901E-2</v>
      </c>
      <c r="AC54" s="196">
        <v>1.8782425630054899E-2</v>
      </c>
      <c r="AD54" s="196">
        <v>1.9257821962557899E-2</v>
      </c>
      <c r="AE54" s="196">
        <v>1.8922835438291201E-2</v>
      </c>
      <c r="AF54" s="196">
        <v>1.8629013489531301E-2</v>
      </c>
      <c r="AG54" s="196">
        <v>1.8617566743356299E-2</v>
      </c>
      <c r="AH54" s="196">
        <v>1.87210211161488E-2</v>
      </c>
      <c r="AI54" s="196">
        <v>1.8738401348680499E-2</v>
      </c>
      <c r="AJ54" s="196">
        <v>1.89169113622621E-2</v>
      </c>
      <c r="AK54" s="196">
        <v>0</v>
      </c>
      <c r="AL54" s="196">
        <v>0</v>
      </c>
      <c r="AM54" s="196">
        <v>0</v>
      </c>
      <c r="AN54" s="196">
        <v>0</v>
      </c>
      <c r="AO54" s="196">
        <v>0</v>
      </c>
      <c r="AP54" s="196">
        <v>0</v>
      </c>
      <c r="AQ54" s="196">
        <v>0</v>
      </c>
      <c r="AR54" s="196">
        <v>0</v>
      </c>
      <c r="AS54" s="196">
        <v>0</v>
      </c>
      <c r="AT54" s="196">
        <v>0</v>
      </c>
      <c r="AU54" s="196">
        <v>0</v>
      </c>
      <c r="AV54" s="196">
        <v>0</v>
      </c>
      <c r="AW54" s="196">
        <v>0</v>
      </c>
      <c r="AX54" s="196">
        <v>1.8734852645065001E-2</v>
      </c>
      <c r="AY54" s="196">
        <v>1.8706319490982101E-2</v>
      </c>
      <c r="AZ54" s="196">
        <v>1.87254407177685E-2</v>
      </c>
      <c r="BA54" s="196">
        <v>1.8714590617951801E-2</v>
      </c>
      <c r="BB54" s="196">
        <v>1.8847470658456999E-2</v>
      </c>
      <c r="BC54" s="196">
        <v>1.9283050600034799E-2</v>
      </c>
      <c r="BD54" s="196">
        <v>1.8726719904122498E-2</v>
      </c>
      <c r="BE54" s="196">
        <v>1.8747663827050801E-2</v>
      </c>
      <c r="BF54" s="196">
        <v>1.8932730319582598E-2</v>
      </c>
      <c r="BG54" s="196">
        <v>1.8633233024748699E-2</v>
      </c>
      <c r="BH54" s="196">
        <v>1.8806225617976902E-2</v>
      </c>
      <c r="BI54" s="196">
        <v>1.8844827639485799E-2</v>
      </c>
      <c r="BJ54" s="196">
        <v>1.87189029061277E-2</v>
      </c>
      <c r="BK54" s="196">
        <v>1.86936352585848E-2</v>
      </c>
      <c r="BL54" s="196">
        <v>1.87905520162545E-2</v>
      </c>
      <c r="BM54" s="196">
        <v>1.86301667778545E-2</v>
      </c>
      <c r="BN54" s="196">
        <v>1.8730782059447899E-2</v>
      </c>
      <c r="BO54" s="196">
        <v>1.8702530738867199E-2</v>
      </c>
      <c r="BP54" s="196">
        <v>1.8801450629313501E-2</v>
      </c>
      <c r="BQ54" s="196">
        <v>1.8722315392873001E-2</v>
      </c>
      <c r="BR54" s="196">
        <v>1.8711549500002301E-2</v>
      </c>
      <c r="BS54" s="196">
        <v>1.88396720182674E-2</v>
      </c>
      <c r="BT54" s="196">
        <v>1.8842288984749499E-2</v>
      </c>
      <c r="BU54" s="196">
        <v>1.8714989846301301E-2</v>
      </c>
      <c r="BV54" s="196">
        <v>1.86899718360439E-2</v>
      </c>
      <c r="BW54" s="196">
        <v>1.8785931644852899E-2</v>
      </c>
      <c r="BX54" s="196">
        <v>1.92732355716781E-2</v>
      </c>
      <c r="BY54" s="196">
        <v>1.8623046572705599E-2</v>
      </c>
      <c r="BZ54" s="196">
        <v>1.8620081093831099E-2</v>
      </c>
      <c r="CA54" s="196">
        <v>1.8722729635459099E-2</v>
      </c>
      <c r="CB54" s="196">
        <v>1.8744366076797699E-2</v>
      </c>
      <c r="CC54" s="196">
        <v>1.89267088394246E-2</v>
      </c>
      <c r="CD54" s="196">
        <v>0</v>
      </c>
      <c r="CE54" s="196">
        <v>0</v>
      </c>
      <c r="CF54" s="196">
        <v>0</v>
      </c>
      <c r="CG54" s="196">
        <v>0</v>
      </c>
      <c r="CH54" s="196">
        <v>0</v>
      </c>
      <c r="CI54" s="196">
        <v>0</v>
      </c>
    </row>
    <row r="55" spans="2:87" ht="15" customHeight="1">
      <c r="B55" s="146" t="s">
        <v>186</v>
      </c>
      <c r="C55" s="172" t="s">
        <v>12</v>
      </c>
      <c r="D55" s="166"/>
      <c r="E55" s="196">
        <v>3.9765686776094003E-2</v>
      </c>
      <c r="F55" s="196">
        <v>3.9765542002088497E-2</v>
      </c>
      <c r="G55" s="196">
        <v>3.9765712904092997E-2</v>
      </c>
      <c r="H55" s="196">
        <v>3.97657190373394E-2</v>
      </c>
      <c r="I55" s="196">
        <v>3.9765745037079997E-2</v>
      </c>
      <c r="J55" s="196">
        <v>3.9765736068659303E-2</v>
      </c>
      <c r="K55" s="196">
        <v>3.97657778798505E-2</v>
      </c>
      <c r="L55" s="196">
        <v>3.9765570932947698E-2</v>
      </c>
      <c r="M55" s="196">
        <v>3.9765695413054601E-2</v>
      </c>
      <c r="N55" s="196">
        <v>3.9765753098558801E-2</v>
      </c>
      <c r="O55" s="196">
        <v>3.9765719487607397E-2</v>
      </c>
      <c r="P55" s="196">
        <v>3.9765742472380003E-2</v>
      </c>
      <c r="Q55" s="196">
        <v>3.9765926075787897E-2</v>
      </c>
      <c r="R55" s="196">
        <v>3.9765703210847901E-2</v>
      </c>
      <c r="S55" s="196">
        <v>3.9765667680085499E-2</v>
      </c>
      <c r="T55" s="196">
        <v>3.9765901416629799E-2</v>
      </c>
      <c r="U55" s="196">
        <v>3.9765458719424898E-2</v>
      </c>
      <c r="V55" s="196">
        <v>3.9765454303893701E-2</v>
      </c>
      <c r="W55" s="196">
        <v>3.9501643772287501E-2</v>
      </c>
      <c r="X55" s="196">
        <v>3.9765552067962201E-2</v>
      </c>
      <c r="Y55" s="196">
        <v>3.9765469606573997E-2</v>
      </c>
      <c r="Z55" s="196">
        <v>3.97654652345708E-2</v>
      </c>
      <c r="AA55" s="196">
        <v>3.9765727355666303E-2</v>
      </c>
      <c r="AB55" s="196">
        <v>3.9765785616806E-2</v>
      </c>
      <c r="AC55" s="196">
        <v>3.9765580713402297E-2</v>
      </c>
      <c r="AD55" s="196">
        <v>3.9501664382374499E-2</v>
      </c>
      <c r="AE55" s="196">
        <v>3.9765281227816099E-2</v>
      </c>
      <c r="AF55" s="196">
        <v>3.9765907932172703E-2</v>
      </c>
      <c r="AG55" s="196">
        <v>3.9765932347386297E-2</v>
      </c>
      <c r="AH55" s="196">
        <v>3.9765711685497203E-2</v>
      </c>
      <c r="AI55" s="196">
        <v>3.9765674614516897E-2</v>
      </c>
      <c r="AJ55" s="196">
        <v>3.976529386351E-2</v>
      </c>
      <c r="AK55" s="196">
        <v>0</v>
      </c>
      <c r="AL55" s="196">
        <v>0</v>
      </c>
      <c r="AM55" s="196">
        <v>0</v>
      </c>
      <c r="AN55" s="196">
        <v>0</v>
      </c>
      <c r="AO55" s="196">
        <v>0</v>
      </c>
      <c r="AP55" s="196">
        <v>0</v>
      </c>
      <c r="AQ55" s="196">
        <v>0</v>
      </c>
      <c r="AR55" s="196">
        <v>0</v>
      </c>
      <c r="AS55" s="196">
        <v>0</v>
      </c>
      <c r="AT55" s="196">
        <v>0</v>
      </c>
      <c r="AU55" s="196">
        <v>0</v>
      </c>
      <c r="AV55" s="196">
        <v>0</v>
      </c>
      <c r="AW55" s="196">
        <v>0</v>
      </c>
      <c r="AX55" s="196">
        <v>3.9765682183687701E-2</v>
      </c>
      <c r="AY55" s="196">
        <v>3.97657430431703E-2</v>
      </c>
      <c r="AZ55" s="196">
        <v>3.9765702258755399E-2</v>
      </c>
      <c r="BA55" s="196">
        <v>3.9765725401359503E-2</v>
      </c>
      <c r="BB55" s="196">
        <v>3.9765441976311197E-2</v>
      </c>
      <c r="BC55" s="196">
        <v>3.9501610571224297E-2</v>
      </c>
      <c r="BD55" s="196">
        <v>3.9765699530329802E-2</v>
      </c>
      <c r="BE55" s="196">
        <v>3.9765654858214303E-2</v>
      </c>
      <c r="BF55" s="196">
        <v>3.9765260122635399E-2</v>
      </c>
      <c r="BG55" s="196">
        <v>3.9765898932161099E-2</v>
      </c>
      <c r="BH55" s="196">
        <v>3.9765529949474403E-2</v>
      </c>
      <c r="BI55" s="196">
        <v>3.9765447613708801E-2</v>
      </c>
      <c r="BJ55" s="196">
        <v>3.9765716203510701E-2</v>
      </c>
      <c r="BK55" s="196">
        <v>3.9765770097867401E-2</v>
      </c>
      <c r="BL55" s="196">
        <v>3.9765563380314201E-2</v>
      </c>
      <c r="BM55" s="196">
        <v>3.9765905472278699E-2</v>
      </c>
      <c r="BN55" s="196">
        <v>3.9765690865999397E-2</v>
      </c>
      <c r="BO55" s="196">
        <v>3.97657511243482E-2</v>
      </c>
      <c r="BP55" s="196">
        <v>3.9765540134234903E-2</v>
      </c>
      <c r="BQ55" s="196">
        <v>3.9765708924884298E-2</v>
      </c>
      <c r="BR55" s="196">
        <v>3.9765731887878401E-2</v>
      </c>
      <c r="BS55" s="196">
        <v>3.9765458610335702E-2</v>
      </c>
      <c r="BT55" s="196">
        <v>3.9765453028505801E-2</v>
      </c>
      <c r="BU55" s="196">
        <v>3.9765724549829198E-2</v>
      </c>
      <c r="BV55" s="196">
        <v>3.9765777911725003E-2</v>
      </c>
      <c r="BW55" s="196">
        <v>3.9765573235285498E-2</v>
      </c>
      <c r="BX55" s="196">
        <v>3.95016315060829E-2</v>
      </c>
      <c r="BY55" s="196">
        <v>3.9765920659243503E-2</v>
      </c>
      <c r="BZ55" s="196">
        <v>3.9765926984429698E-2</v>
      </c>
      <c r="CA55" s="196">
        <v>3.9765708041329798E-2</v>
      </c>
      <c r="CB55" s="196">
        <v>3.9765661892115403E-2</v>
      </c>
      <c r="CC55" s="196">
        <v>3.9765272966086299E-2</v>
      </c>
      <c r="CD55" s="196">
        <v>0</v>
      </c>
      <c r="CE55" s="196">
        <v>0</v>
      </c>
      <c r="CF55" s="196">
        <v>0</v>
      </c>
      <c r="CG55" s="196">
        <v>0</v>
      </c>
      <c r="CH55" s="196">
        <v>0</v>
      </c>
      <c r="CI55" s="196">
        <v>0</v>
      </c>
    </row>
    <row r="56" spans="2:87" ht="15" customHeight="1">
      <c r="B56" s="146" t="s">
        <v>187</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1</v>
      </c>
      <c r="V56" s="193">
        <v>1</v>
      </c>
      <c r="W56" s="193">
        <v>0.83576960502606701</v>
      </c>
      <c r="X56" s="193">
        <v>1</v>
      </c>
      <c r="Y56" s="193">
        <v>1</v>
      </c>
      <c r="Z56" s="193">
        <v>1</v>
      </c>
      <c r="AA56" s="193">
        <v>1</v>
      </c>
      <c r="AB56" s="193">
        <v>1</v>
      </c>
      <c r="AC56" s="193">
        <v>1</v>
      </c>
      <c r="AD56" s="193">
        <v>0.83576960502606701</v>
      </c>
      <c r="AE56" s="193">
        <v>1</v>
      </c>
      <c r="AF56" s="193">
        <v>1</v>
      </c>
      <c r="AG56" s="193">
        <v>1</v>
      </c>
      <c r="AH56" s="193">
        <v>1</v>
      </c>
      <c r="AI56" s="193">
        <v>1</v>
      </c>
      <c r="AJ56" s="193">
        <v>1</v>
      </c>
      <c r="AK56" s="193">
        <v>0</v>
      </c>
      <c r="AL56" s="193">
        <v>0</v>
      </c>
      <c r="AM56" s="193">
        <v>0</v>
      </c>
      <c r="AN56" s="193">
        <v>0</v>
      </c>
      <c r="AO56" s="193">
        <v>0</v>
      </c>
      <c r="AP56" s="193">
        <v>0</v>
      </c>
      <c r="AQ56" s="193">
        <v>0</v>
      </c>
      <c r="AR56" s="193">
        <v>0</v>
      </c>
      <c r="AS56" s="193">
        <v>0</v>
      </c>
      <c r="AT56" s="193">
        <v>0</v>
      </c>
      <c r="AU56" s="193">
        <v>0</v>
      </c>
      <c r="AV56" s="193">
        <v>0</v>
      </c>
      <c r="AW56" s="193">
        <v>0</v>
      </c>
      <c r="AX56" s="193">
        <v>1</v>
      </c>
      <c r="AY56" s="193">
        <v>1</v>
      </c>
      <c r="AZ56" s="193">
        <v>1</v>
      </c>
      <c r="BA56" s="193">
        <v>1</v>
      </c>
      <c r="BB56" s="193">
        <v>1</v>
      </c>
      <c r="BC56" s="193">
        <v>0.83576960502606701</v>
      </c>
      <c r="BD56" s="193">
        <v>1</v>
      </c>
      <c r="BE56" s="193">
        <v>1</v>
      </c>
      <c r="BF56" s="193">
        <v>1</v>
      </c>
      <c r="BG56" s="193">
        <v>1</v>
      </c>
      <c r="BH56" s="193">
        <v>1</v>
      </c>
      <c r="BI56" s="193">
        <v>1</v>
      </c>
      <c r="BJ56" s="193">
        <v>1</v>
      </c>
      <c r="BK56" s="193">
        <v>1</v>
      </c>
      <c r="BL56" s="193">
        <v>1</v>
      </c>
      <c r="BM56" s="193">
        <v>1</v>
      </c>
      <c r="BN56" s="193">
        <v>1</v>
      </c>
      <c r="BO56" s="193">
        <v>1</v>
      </c>
      <c r="BP56" s="193">
        <v>1</v>
      </c>
      <c r="BQ56" s="193">
        <v>1</v>
      </c>
      <c r="BR56" s="193">
        <v>1</v>
      </c>
      <c r="BS56" s="193">
        <v>1</v>
      </c>
      <c r="BT56" s="193">
        <v>1</v>
      </c>
      <c r="BU56" s="193">
        <v>1</v>
      </c>
      <c r="BV56" s="193">
        <v>1</v>
      </c>
      <c r="BW56" s="193">
        <v>1</v>
      </c>
      <c r="BX56" s="193">
        <v>0.83576960502606701</v>
      </c>
      <c r="BY56" s="193">
        <v>1</v>
      </c>
      <c r="BZ56" s="193">
        <v>1</v>
      </c>
      <c r="CA56" s="193">
        <v>1</v>
      </c>
      <c r="CB56" s="193">
        <v>1</v>
      </c>
      <c r="CC56" s="193">
        <v>1</v>
      </c>
      <c r="CD56" s="193">
        <v>0</v>
      </c>
      <c r="CE56" s="193">
        <v>0</v>
      </c>
      <c r="CF56" s="193">
        <v>0</v>
      </c>
      <c r="CG56" s="193">
        <v>0</v>
      </c>
      <c r="CH56" s="193">
        <v>0</v>
      </c>
      <c r="CI56" s="193">
        <v>0</v>
      </c>
    </row>
    <row r="57" spans="2:87" ht="15" customHeight="1">
      <c r="B57" s="148" t="s">
        <v>188</v>
      </c>
      <c r="C57" s="173" t="s">
        <v>79</v>
      </c>
      <c r="D57" s="167"/>
      <c r="E57" s="195">
        <f t="shared" ref="E57:AJ57" si="33">($E$48*PRODUCT(E49:E51)*E56)/(1-SUM(E53:E55))</f>
        <v>664.76504904511364</v>
      </c>
      <c r="F57" s="195">
        <f t="shared" si="33"/>
        <v>570.08154754807424</v>
      </c>
      <c r="G57" s="195">
        <f t="shared" si="33"/>
        <v>685.3068228815082</v>
      </c>
      <c r="H57" s="195">
        <f t="shared" si="33"/>
        <v>690.31409022797754</v>
      </c>
      <c r="I57" s="195">
        <f t="shared" si="33"/>
        <v>712.37917124954311</v>
      </c>
      <c r="J57" s="195">
        <f t="shared" si="33"/>
        <v>704.61035636120289</v>
      </c>
      <c r="K57" s="195">
        <f t="shared" si="33"/>
        <v>742.35284183725855</v>
      </c>
      <c r="L57" s="195">
        <f t="shared" si="33"/>
        <v>586.78300605327331</v>
      </c>
      <c r="M57" s="195">
        <f t="shared" si="33"/>
        <v>671.41778842219321</v>
      </c>
      <c r="N57" s="195">
        <f t="shared" si="33"/>
        <v>719.51002160727205</v>
      </c>
      <c r="O57" s="195">
        <f t="shared" si="33"/>
        <v>690.68457960702426</v>
      </c>
      <c r="P57" s="195">
        <f t="shared" si="33"/>
        <v>710.14008721487141</v>
      </c>
      <c r="Q57" s="195">
        <f t="shared" si="33"/>
        <v>916.32253677414587</v>
      </c>
      <c r="R57" s="195">
        <f t="shared" si="33"/>
        <v>677.53956963654548</v>
      </c>
      <c r="S57" s="195">
        <f t="shared" si="33"/>
        <v>650.51402832745293</v>
      </c>
      <c r="T57" s="195">
        <f t="shared" si="33"/>
        <v>881.93189909945738</v>
      </c>
      <c r="U57" s="195">
        <f t="shared" si="33"/>
        <v>526.90917524000918</v>
      </c>
      <c r="V57" s="195">
        <f t="shared" si="33"/>
        <v>524.80203782286685</v>
      </c>
      <c r="W57" s="195">
        <f t="shared" si="33"/>
        <v>393.69690082916122</v>
      </c>
      <c r="X57" s="195">
        <f t="shared" si="33"/>
        <v>575.78353492855706</v>
      </c>
      <c r="Y57" s="195">
        <f t="shared" si="33"/>
        <v>532.17765289049009</v>
      </c>
      <c r="Z57" s="195">
        <f t="shared" si="33"/>
        <v>530.04935692856543</v>
      </c>
      <c r="AA57" s="195">
        <f t="shared" si="33"/>
        <v>697.22337696052796</v>
      </c>
      <c r="AB57" s="195">
        <f t="shared" si="33"/>
        <v>749.78466888792639</v>
      </c>
      <c r="AC57" s="195">
        <f t="shared" si="33"/>
        <v>592.6526989449477</v>
      </c>
      <c r="AD57" s="195">
        <f t="shared" si="33"/>
        <v>397.61837042911463</v>
      </c>
      <c r="AE57" s="195">
        <f t="shared" si="33"/>
        <v>453.68614999427496</v>
      </c>
      <c r="AF57" s="195">
        <f t="shared" si="33"/>
        <v>890.76529099803895</v>
      </c>
      <c r="AG57" s="195">
        <f t="shared" si="33"/>
        <v>925.5012577629675</v>
      </c>
      <c r="AH57" s="195">
        <f t="shared" si="33"/>
        <v>684.32058269136076</v>
      </c>
      <c r="AI57" s="195">
        <f t="shared" si="33"/>
        <v>655.61786605135774</v>
      </c>
      <c r="AJ57" s="195">
        <f t="shared" si="33"/>
        <v>458.21936821361442</v>
      </c>
      <c r="AK57" s="195">
        <f t="shared" ref="AK57:BP57" si="34">($E$48*PRODUCT(AK49:AK51)*AK56)/(1-SUM(AK53:AK55))</f>
        <v>0</v>
      </c>
      <c r="AL57" s="195">
        <f t="shared" si="34"/>
        <v>0</v>
      </c>
      <c r="AM57" s="195">
        <f t="shared" si="34"/>
        <v>0</v>
      </c>
      <c r="AN57" s="195">
        <f t="shared" si="34"/>
        <v>0</v>
      </c>
      <c r="AO57" s="195">
        <f t="shared" si="34"/>
        <v>0</v>
      </c>
      <c r="AP57" s="195">
        <f t="shared" si="34"/>
        <v>0</v>
      </c>
      <c r="AQ57" s="195">
        <f t="shared" si="34"/>
        <v>0</v>
      </c>
      <c r="AR57" s="195">
        <f t="shared" si="34"/>
        <v>0</v>
      </c>
      <c r="AS57" s="195">
        <f t="shared" si="34"/>
        <v>0</v>
      </c>
      <c r="AT57" s="195">
        <f t="shared" si="34"/>
        <v>0</v>
      </c>
      <c r="AU57" s="195">
        <f t="shared" si="34"/>
        <v>0</v>
      </c>
      <c r="AV57" s="195">
        <f t="shared" si="34"/>
        <v>0</v>
      </c>
      <c r="AW57" s="195">
        <f t="shared" si="34"/>
        <v>0</v>
      </c>
      <c r="AX57" s="195">
        <f t="shared" si="34"/>
        <v>661.28108888381405</v>
      </c>
      <c r="AY57" s="195">
        <f t="shared" si="34"/>
        <v>710.63719116889331</v>
      </c>
      <c r="AZ57" s="195">
        <f t="shared" si="34"/>
        <v>676.78613850092313</v>
      </c>
      <c r="BA57" s="195">
        <f t="shared" si="34"/>
        <v>695.58770895619489</v>
      </c>
      <c r="BB57" s="195">
        <f t="shared" si="34"/>
        <v>519.00740992572253</v>
      </c>
      <c r="BC57" s="195">
        <f t="shared" si="34"/>
        <v>387.53987484201883</v>
      </c>
      <c r="BD57" s="195">
        <f t="shared" si="34"/>
        <v>674.63626950212904</v>
      </c>
      <c r="BE57" s="195">
        <f t="shared" si="34"/>
        <v>641.28328691515287</v>
      </c>
      <c r="BF57" s="195">
        <f t="shared" si="34"/>
        <v>446.31116903427284</v>
      </c>
      <c r="BG57" s="195">
        <f t="shared" si="34"/>
        <v>878.60956595595474</v>
      </c>
      <c r="BH57" s="195">
        <f t="shared" si="34"/>
        <v>563.40096414599418</v>
      </c>
      <c r="BI57" s="195">
        <f t="shared" si="34"/>
        <v>521.6413316971516</v>
      </c>
      <c r="BJ57" s="195">
        <f t="shared" si="34"/>
        <v>687.99145012044562</v>
      </c>
      <c r="BK57" s="195">
        <f t="shared" si="34"/>
        <v>735.02491229798989</v>
      </c>
      <c r="BL57" s="195">
        <f t="shared" si="34"/>
        <v>582.32928378522058</v>
      </c>
      <c r="BM57" s="195">
        <f t="shared" si="34"/>
        <v>887.40959708079686</v>
      </c>
      <c r="BN57" s="195">
        <f t="shared" si="34"/>
        <v>667.89884453060245</v>
      </c>
      <c r="BO57" s="195">
        <f t="shared" si="34"/>
        <v>717.75054966147638</v>
      </c>
      <c r="BP57" s="195">
        <f t="shared" si="34"/>
        <v>569.0358693220013</v>
      </c>
      <c r="BQ57" s="195">
        <f t="shared" ref="BQ57:CI57" si="35">($E$48*PRODUCT(BQ49:BQ51)*BQ56)/(1-SUM(BQ53:BQ55))</f>
        <v>682.09681302196395</v>
      </c>
      <c r="BR57" s="195">
        <f t="shared" si="35"/>
        <v>701.04640571786933</v>
      </c>
      <c r="BS57" s="195">
        <f t="shared" si="35"/>
        <v>526.85691298567929</v>
      </c>
      <c r="BT57" s="195">
        <f t="shared" si="35"/>
        <v>524.19654303327377</v>
      </c>
      <c r="BU57" s="195">
        <f t="shared" si="35"/>
        <v>694.8774143661343</v>
      </c>
      <c r="BV57" s="195">
        <f t="shared" si="35"/>
        <v>742.38315690261322</v>
      </c>
      <c r="BW57" s="195">
        <f t="shared" si="35"/>
        <v>588.15425520724341</v>
      </c>
      <c r="BX57" s="195">
        <f t="shared" si="35"/>
        <v>391.39951947080135</v>
      </c>
      <c r="BY57" s="195">
        <f t="shared" si="35"/>
        <v>908.54049517674309</v>
      </c>
      <c r="BZ57" s="195">
        <f t="shared" si="35"/>
        <v>917.64107381268013</v>
      </c>
      <c r="CA57" s="195">
        <f t="shared" si="35"/>
        <v>681.38812944836798</v>
      </c>
      <c r="CB57" s="195">
        <f t="shared" si="35"/>
        <v>646.31445225087566</v>
      </c>
      <c r="CC57" s="195">
        <f t="shared" si="35"/>
        <v>450.77033234687798</v>
      </c>
      <c r="CD57" s="195">
        <f t="shared" si="35"/>
        <v>0</v>
      </c>
      <c r="CE57" s="195">
        <f t="shared" si="35"/>
        <v>0</v>
      </c>
      <c r="CF57" s="195">
        <f t="shared" si="35"/>
        <v>0</v>
      </c>
      <c r="CG57" s="195">
        <f t="shared" si="35"/>
        <v>0</v>
      </c>
      <c r="CH57" s="195">
        <f t="shared" si="35"/>
        <v>0</v>
      </c>
      <c r="CI57" s="195">
        <f t="shared" si="35"/>
        <v>0</v>
      </c>
    </row>
    <row r="58" spans="2:87" ht="15" customHeight="1"/>
    <row r="59" spans="2:87" ht="15" customHeight="1">
      <c r="B59" s="146" t="s">
        <v>189</v>
      </c>
      <c r="C59" s="156" t="s">
        <v>127</v>
      </c>
      <c r="D59" s="208">
        <v>0.56332787042724697</v>
      </c>
      <c r="E59" s="248">
        <f>IF(D59&lt;&gt;"", D59, "")</f>
        <v>0.56332787042724697</v>
      </c>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c r="AD59" s="249"/>
      <c r="AE59" s="249"/>
      <c r="AF59" s="249"/>
      <c r="AG59" s="249"/>
      <c r="AH59" s="249"/>
      <c r="AI59" s="249"/>
      <c r="AJ59" s="249"/>
      <c r="AK59" s="249"/>
      <c r="AL59" s="249"/>
      <c r="AM59" s="249"/>
      <c r="AN59" s="249"/>
      <c r="AO59" s="249"/>
      <c r="AP59" s="249"/>
      <c r="AQ59" s="249"/>
      <c r="AR59" s="249"/>
      <c r="AS59" s="249"/>
      <c r="AT59" s="249"/>
      <c r="AU59" s="249"/>
      <c r="AV59" s="249"/>
      <c r="AW59" s="249"/>
      <c r="AX59" s="249"/>
      <c r="AY59" s="249"/>
      <c r="AZ59" s="249"/>
      <c r="BA59" s="249"/>
      <c r="BB59" s="249"/>
      <c r="BC59" s="249"/>
      <c r="BD59" s="249"/>
      <c r="BE59" s="249"/>
      <c r="BF59" s="249"/>
      <c r="BG59" s="249"/>
      <c r="BH59" s="249"/>
      <c r="BI59" s="249"/>
      <c r="BJ59" s="249"/>
      <c r="BK59" s="249"/>
      <c r="BL59" s="249"/>
      <c r="BM59" s="249"/>
      <c r="BN59" s="249"/>
      <c r="BO59" s="249"/>
      <c r="BP59" s="249"/>
      <c r="BQ59" s="249"/>
      <c r="BR59" s="249"/>
      <c r="BS59" s="249"/>
      <c r="BT59" s="249"/>
      <c r="BU59" s="249"/>
      <c r="BV59" s="249"/>
      <c r="BW59" s="249"/>
      <c r="BX59" s="249"/>
      <c r="BY59" s="249"/>
      <c r="BZ59" s="249"/>
      <c r="CA59" s="249"/>
      <c r="CB59" s="249"/>
      <c r="CC59" s="249"/>
      <c r="CD59" s="249"/>
      <c r="CE59" s="249"/>
      <c r="CF59" s="249"/>
      <c r="CG59" s="249"/>
      <c r="CH59" s="249"/>
      <c r="CI59" s="250"/>
    </row>
    <row r="60" spans="2:87" ht="15" customHeight="1">
      <c r="B60" s="146" t="s">
        <v>190</v>
      </c>
      <c r="C60" s="156" t="s">
        <v>128</v>
      </c>
      <c r="D60" s="208">
        <v>1</v>
      </c>
      <c r="E60" s="248">
        <f>IF(D60&lt;&gt;"", D60, "")</f>
        <v>1</v>
      </c>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c r="AD60" s="249"/>
      <c r="AE60" s="249"/>
      <c r="AF60" s="249"/>
      <c r="AG60" s="249"/>
      <c r="AH60" s="249"/>
      <c r="AI60" s="249"/>
      <c r="AJ60" s="249"/>
      <c r="AK60" s="249"/>
      <c r="AL60" s="249"/>
      <c r="AM60" s="249"/>
      <c r="AN60" s="249"/>
      <c r="AO60" s="249"/>
      <c r="AP60" s="249"/>
      <c r="AQ60" s="249"/>
      <c r="AR60" s="249"/>
      <c r="AS60" s="249"/>
      <c r="AT60" s="249"/>
      <c r="AU60" s="249"/>
      <c r="AV60" s="249"/>
      <c r="AW60" s="249"/>
      <c r="AX60" s="249"/>
      <c r="AY60" s="249"/>
      <c r="AZ60" s="249"/>
      <c r="BA60" s="249"/>
      <c r="BB60" s="249"/>
      <c r="BC60" s="249"/>
      <c r="BD60" s="249"/>
      <c r="BE60" s="249"/>
      <c r="BF60" s="249"/>
      <c r="BG60" s="249"/>
      <c r="BH60" s="249"/>
      <c r="BI60" s="249"/>
      <c r="BJ60" s="249"/>
      <c r="BK60" s="249"/>
      <c r="BL60" s="249"/>
      <c r="BM60" s="249"/>
      <c r="BN60" s="249"/>
      <c r="BO60" s="249"/>
      <c r="BP60" s="249"/>
      <c r="BQ60" s="249"/>
      <c r="BR60" s="249"/>
      <c r="BS60" s="249"/>
      <c r="BT60" s="249"/>
      <c r="BU60" s="249"/>
      <c r="BV60" s="249"/>
      <c r="BW60" s="249"/>
      <c r="BX60" s="249"/>
      <c r="BY60" s="249"/>
      <c r="BZ60" s="249"/>
      <c r="CA60" s="249"/>
      <c r="CB60" s="249"/>
      <c r="CC60" s="249"/>
      <c r="CD60" s="249"/>
      <c r="CE60" s="249"/>
      <c r="CF60" s="249"/>
      <c r="CG60" s="249"/>
      <c r="CH60" s="249"/>
      <c r="CI60" s="250"/>
    </row>
    <row r="61" spans="2:87" ht="15" customHeight="1">
      <c r="B61" s="146" t="s">
        <v>191</v>
      </c>
      <c r="C61" s="156" t="s">
        <v>129</v>
      </c>
      <c r="D61" s="208">
        <v>1</v>
      </c>
      <c r="E61" s="248">
        <f>IF(D61&lt;&gt;"", D61, "")</f>
        <v>1</v>
      </c>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c r="AD61" s="249"/>
      <c r="AE61" s="249"/>
      <c r="AF61" s="249"/>
      <c r="AG61" s="249"/>
      <c r="AH61" s="249"/>
      <c r="AI61" s="249"/>
      <c r="AJ61" s="249"/>
      <c r="AK61" s="249"/>
      <c r="AL61" s="249"/>
      <c r="AM61" s="249"/>
      <c r="AN61" s="249"/>
      <c r="AO61" s="249"/>
      <c r="AP61" s="249"/>
      <c r="AQ61" s="249"/>
      <c r="AR61" s="249"/>
      <c r="AS61" s="249"/>
      <c r="AT61" s="249"/>
      <c r="AU61" s="249"/>
      <c r="AV61" s="249"/>
      <c r="AW61" s="249"/>
      <c r="AX61" s="249"/>
      <c r="AY61" s="249"/>
      <c r="AZ61" s="249"/>
      <c r="BA61" s="249"/>
      <c r="BB61" s="249"/>
      <c r="BC61" s="249"/>
      <c r="BD61" s="249"/>
      <c r="BE61" s="249"/>
      <c r="BF61" s="249"/>
      <c r="BG61" s="249"/>
      <c r="BH61" s="249"/>
      <c r="BI61" s="249"/>
      <c r="BJ61" s="249"/>
      <c r="BK61" s="249"/>
      <c r="BL61" s="249"/>
      <c r="BM61" s="249"/>
      <c r="BN61" s="249"/>
      <c r="BO61" s="249"/>
      <c r="BP61" s="249"/>
      <c r="BQ61" s="249"/>
      <c r="BR61" s="249"/>
      <c r="BS61" s="249"/>
      <c r="BT61" s="249"/>
      <c r="BU61" s="249"/>
      <c r="BV61" s="249"/>
      <c r="BW61" s="249"/>
      <c r="BX61" s="249"/>
      <c r="BY61" s="249"/>
      <c r="BZ61" s="249"/>
      <c r="CA61" s="249"/>
      <c r="CB61" s="249"/>
      <c r="CC61" s="249"/>
      <c r="CD61" s="249"/>
      <c r="CE61" s="249"/>
      <c r="CF61" s="249"/>
      <c r="CG61" s="249"/>
      <c r="CH61" s="249"/>
      <c r="CI61" s="250"/>
    </row>
    <row r="62" spans="2:87" ht="15" customHeight="1">
      <c r="B62" s="148" t="s">
        <v>192</v>
      </c>
      <c r="C62" s="171" t="s">
        <v>134</v>
      </c>
      <c r="D62" s="170"/>
      <c r="E62" s="195">
        <f t="shared" ref="E62:AJ62" si="36">E57*(PRODUCT($E$59:$E$61))</f>
        <v>374.48067941304828</v>
      </c>
      <c r="F62" s="195">
        <f t="shared" si="36"/>
        <v>321.14282415012599</v>
      </c>
      <c r="G62" s="195">
        <f t="shared" si="36"/>
        <v>386.05243312310256</v>
      </c>
      <c r="H62" s="195">
        <f t="shared" si="36"/>
        <v>388.87316637404899</v>
      </c>
      <c r="I62" s="195">
        <f t="shared" si="36"/>
        <v>401.30304147673218</v>
      </c>
      <c r="J62" s="195">
        <f t="shared" si="36"/>
        <v>396.92665152993999</v>
      </c>
      <c r="K62" s="195">
        <f t="shared" si="36"/>
        <v>418.18804549779776</v>
      </c>
      <c r="L62" s="195">
        <f t="shared" si="36"/>
        <v>330.55122120288883</v>
      </c>
      <c r="M62" s="195">
        <f t="shared" si="36"/>
        <v>378.22835291884599</v>
      </c>
      <c r="N62" s="195">
        <f t="shared" si="36"/>
        <v>405.32004822308704</v>
      </c>
      <c r="O62" s="195">
        <f t="shared" si="36"/>
        <v>389.08187336696329</v>
      </c>
      <c r="P62" s="195">
        <f t="shared" si="36"/>
        <v>400.04170303577297</v>
      </c>
      <c r="Q62" s="195">
        <f t="shared" si="36"/>
        <v>516.19002326547229</v>
      </c>
      <c r="R62" s="195">
        <f t="shared" si="36"/>
        <v>381.67692289354858</v>
      </c>
      <c r="S62" s="195">
        <f t="shared" si="36"/>
        <v>366.45268226075387</v>
      </c>
      <c r="T62" s="195">
        <f t="shared" si="36"/>
        <v>496.81681858155497</v>
      </c>
      <c r="U62" s="195">
        <f t="shared" si="36"/>
        <v>296.82262359653146</v>
      </c>
      <c r="V62" s="195">
        <f t="shared" si="36"/>
        <v>295.63561436263512</v>
      </c>
      <c r="W62" s="195">
        <f t="shared" si="36"/>
        <v>221.78043673789844</v>
      </c>
      <c r="X62" s="195">
        <f t="shared" si="36"/>
        <v>324.35491255837644</v>
      </c>
      <c r="Y62" s="195">
        <f t="shared" si="36"/>
        <v>299.79050389177041</v>
      </c>
      <c r="Z62" s="195">
        <f t="shared" si="36"/>
        <v>298.59157545990047</v>
      </c>
      <c r="AA62" s="195">
        <f t="shared" si="36"/>
        <v>392.76536015526784</v>
      </c>
      <c r="AB62" s="195">
        <f t="shared" si="36"/>
        <v>422.37460080363405</v>
      </c>
      <c r="AC62" s="195">
        <f t="shared" si="36"/>
        <v>333.85778279961772</v>
      </c>
      <c r="AD62" s="195">
        <f t="shared" si="36"/>
        <v>223.98950985658539</v>
      </c>
      <c r="AE62" s="195">
        <f t="shared" si="36"/>
        <v>255.57405271861145</v>
      </c>
      <c r="AF62" s="195">
        <f t="shared" si="36"/>
        <v>501.7929144284322</v>
      </c>
      <c r="AG62" s="195">
        <f t="shared" si="36"/>
        <v>521.36065261335102</v>
      </c>
      <c r="AH62" s="195">
        <f t="shared" si="36"/>
        <v>385.496856537057</v>
      </c>
      <c r="AI62" s="195">
        <f t="shared" si="36"/>
        <v>369.32781629676742</v>
      </c>
      <c r="AJ62" s="195">
        <f t="shared" si="36"/>
        <v>258.12774088429393</v>
      </c>
      <c r="AK62" s="195">
        <f t="shared" ref="AK62:BP62" si="37">AK57*(PRODUCT($E$59:$E$61))</f>
        <v>0</v>
      </c>
      <c r="AL62" s="195">
        <f t="shared" si="37"/>
        <v>0</v>
      </c>
      <c r="AM62" s="195">
        <f t="shared" si="37"/>
        <v>0</v>
      </c>
      <c r="AN62" s="195">
        <f t="shared" si="37"/>
        <v>0</v>
      </c>
      <c r="AO62" s="195">
        <f t="shared" si="37"/>
        <v>0</v>
      </c>
      <c r="AP62" s="195">
        <f t="shared" si="37"/>
        <v>0</v>
      </c>
      <c r="AQ62" s="195">
        <f t="shared" si="37"/>
        <v>0</v>
      </c>
      <c r="AR62" s="195">
        <f t="shared" si="37"/>
        <v>0</v>
      </c>
      <c r="AS62" s="195">
        <f t="shared" si="37"/>
        <v>0</v>
      </c>
      <c r="AT62" s="195">
        <f t="shared" si="37"/>
        <v>0</v>
      </c>
      <c r="AU62" s="195">
        <f t="shared" si="37"/>
        <v>0</v>
      </c>
      <c r="AV62" s="195">
        <f t="shared" si="37"/>
        <v>0</v>
      </c>
      <c r="AW62" s="195">
        <f t="shared" si="37"/>
        <v>0</v>
      </c>
      <c r="AX62" s="195">
        <f t="shared" si="37"/>
        <v>372.51806755473001</v>
      </c>
      <c r="AY62" s="195">
        <f t="shared" si="37"/>
        <v>400.32173554757304</v>
      </c>
      <c r="AZ62" s="195">
        <f t="shared" si="37"/>
        <v>381.25249413640483</v>
      </c>
      <c r="BA62" s="195">
        <f t="shared" si="37"/>
        <v>391.84394278166093</v>
      </c>
      <c r="BB62" s="195">
        <f t="shared" si="37"/>
        <v>292.37133896941845</v>
      </c>
      <c r="BC62" s="195">
        <f t="shared" si="37"/>
        <v>218.3120124003963</v>
      </c>
      <c r="BD62" s="195">
        <f t="shared" si="37"/>
        <v>380.04141301161661</v>
      </c>
      <c r="BE62" s="195">
        <f t="shared" si="37"/>
        <v>361.25274835849825</v>
      </c>
      <c r="BF62" s="195">
        <f t="shared" si="37"/>
        <v>251.41952039997196</v>
      </c>
      <c r="BG62" s="195">
        <f t="shared" si="37"/>
        <v>494.94525572697574</v>
      </c>
      <c r="BH62" s="195">
        <f t="shared" si="37"/>
        <v>317.3794653290206</v>
      </c>
      <c r="BI62" s="195">
        <f t="shared" si="37"/>
        <v>293.8551005117896</v>
      </c>
      <c r="BJ62" s="195">
        <f t="shared" si="37"/>
        <v>387.56475846850412</v>
      </c>
      <c r="BK62" s="195">
        <f t="shared" si="37"/>
        <v>414.06001855580064</v>
      </c>
      <c r="BL62" s="195">
        <f t="shared" si="37"/>
        <v>328.04231532215226</v>
      </c>
      <c r="BM62" s="195">
        <f t="shared" si="37"/>
        <v>499.90255852022659</v>
      </c>
      <c r="BN62" s="195">
        <f t="shared" si="37"/>
        <v>376.24603375024316</v>
      </c>
      <c r="BO62" s="195">
        <f t="shared" si="37"/>
        <v>404.32888863878549</v>
      </c>
      <c r="BP62" s="195">
        <f t="shared" si="37"/>
        <v>320.55376446188018</v>
      </c>
      <c r="BQ62" s="195">
        <f t="shared" ref="BQ62:CI62" si="38">BQ57*(PRODUCT($E$59:$E$61))</f>
        <v>384.24414510487503</v>
      </c>
      <c r="BR62" s="195">
        <f t="shared" si="38"/>
        <v>394.91897880372312</v>
      </c>
      <c r="BS62" s="195">
        <f t="shared" si="38"/>
        <v>296.79318281209606</v>
      </c>
      <c r="BT62" s="195">
        <f t="shared" si="38"/>
        <v>295.29452227225886</v>
      </c>
      <c r="BU62" s="195">
        <f t="shared" si="38"/>
        <v>391.44381404286611</v>
      </c>
      <c r="BV62" s="195">
        <f t="shared" si="38"/>
        <v>418.20512281900585</v>
      </c>
      <c r="BW62" s="195">
        <f t="shared" si="38"/>
        <v>331.32368406861997</v>
      </c>
      <c r="BX62" s="195">
        <f t="shared" si="38"/>
        <v>220.48625778973431</v>
      </c>
      <c r="BY62" s="195">
        <f t="shared" si="38"/>
        <v>511.80618234483114</v>
      </c>
      <c r="BZ62" s="195">
        <f t="shared" si="38"/>
        <v>516.93279192746922</v>
      </c>
      <c r="CA62" s="195">
        <f t="shared" si="38"/>
        <v>383.84492389655441</v>
      </c>
      <c r="CB62" s="195">
        <f t="shared" si="38"/>
        <v>364.08694401283839</v>
      </c>
      <c r="CC62" s="195">
        <f t="shared" si="38"/>
        <v>253.93149137274912</v>
      </c>
      <c r="CD62" s="195">
        <f t="shared" si="38"/>
        <v>0</v>
      </c>
      <c r="CE62" s="195">
        <f t="shared" si="38"/>
        <v>0</v>
      </c>
      <c r="CF62" s="195">
        <f t="shared" si="38"/>
        <v>0</v>
      </c>
      <c r="CG62" s="195">
        <f t="shared" si="38"/>
        <v>0</v>
      </c>
      <c r="CH62" s="195">
        <f t="shared" si="38"/>
        <v>0</v>
      </c>
      <c r="CI62" s="195">
        <f t="shared" si="38"/>
        <v>0</v>
      </c>
    </row>
    <row r="63" spans="2:87" ht="15" customHeight="1"/>
    <row r="64" spans="2:87" ht="15" customHeight="1">
      <c r="C64" s="76" t="s">
        <v>130</v>
      </c>
    </row>
    <row r="65" spans="2:87" ht="15" customHeight="1">
      <c r="B65" s="146" t="s">
        <v>193</v>
      </c>
      <c r="C65" s="152" t="s">
        <v>106</v>
      </c>
      <c r="D65" s="174" t="s">
        <v>2</v>
      </c>
      <c r="E65" s="90" t="str">
        <f t="shared" ref="E65:AJ65" si="39">IF(E13&lt;&gt;"",E13,"")</f>
        <v>83761GA0040002</v>
      </c>
      <c r="F65" s="90" t="str">
        <f t="shared" si="39"/>
        <v>83761GA0040007</v>
      </c>
      <c r="G65" s="90" t="str">
        <f t="shared" si="39"/>
        <v>83761GA0040017</v>
      </c>
      <c r="H65" s="90" t="str">
        <f t="shared" si="39"/>
        <v>83761GA0040324</v>
      </c>
      <c r="I65" s="90" t="str">
        <f t="shared" si="39"/>
        <v>83761GA0040330</v>
      </c>
      <c r="J65" s="90" t="str">
        <f t="shared" si="39"/>
        <v>83761GA0040331</v>
      </c>
      <c r="K65" s="90" t="str">
        <f t="shared" si="39"/>
        <v>83761GA0040344</v>
      </c>
      <c r="L65" s="90" t="str">
        <f t="shared" si="39"/>
        <v>83761GA0040345</v>
      </c>
      <c r="M65" s="90" t="str">
        <f t="shared" si="39"/>
        <v>83761GA0040355</v>
      </c>
      <c r="N65" s="90" t="str">
        <f t="shared" si="39"/>
        <v>83761GA0040358</v>
      </c>
      <c r="O65" s="90" t="str">
        <f t="shared" si="39"/>
        <v>83761GA0040369</v>
      </c>
      <c r="P65" s="90" t="str">
        <f t="shared" si="39"/>
        <v>83761GA0040373</v>
      </c>
      <c r="Q65" s="90" t="str">
        <f t="shared" si="39"/>
        <v>83761GA0040377</v>
      </c>
      <c r="R65" s="90" t="str">
        <f t="shared" si="39"/>
        <v>83761GA0040378</v>
      </c>
      <c r="S65" s="90" t="str">
        <f t="shared" si="39"/>
        <v>83761GA0040379</v>
      </c>
      <c r="T65" s="90" t="str">
        <f t="shared" si="39"/>
        <v>83761GA0040380</v>
      </c>
      <c r="U65" s="90" t="str">
        <f t="shared" si="39"/>
        <v>83761GA0040381</v>
      </c>
      <c r="V65" s="90" t="str">
        <f t="shared" si="39"/>
        <v>83761GA0040382</v>
      </c>
      <c r="W65" s="90" t="str">
        <f t="shared" si="39"/>
        <v>83761GA0040383</v>
      </c>
      <c r="X65" s="90" t="str">
        <f t="shared" si="39"/>
        <v>83761GA0040384</v>
      </c>
      <c r="Y65" s="90" t="str">
        <f t="shared" si="39"/>
        <v>83761GA0040385</v>
      </c>
      <c r="Z65" s="90" t="str">
        <f t="shared" si="39"/>
        <v>83761GA0040386</v>
      </c>
      <c r="AA65" s="90" t="str">
        <f t="shared" si="39"/>
        <v>83761GA0040387</v>
      </c>
      <c r="AB65" s="90" t="str">
        <f t="shared" si="39"/>
        <v>83761GA0040388</v>
      </c>
      <c r="AC65" s="90" t="str">
        <f t="shared" si="39"/>
        <v>83761GA0040391</v>
      </c>
      <c r="AD65" s="90" t="str">
        <f t="shared" si="39"/>
        <v>83761GA0040392</v>
      </c>
      <c r="AE65" s="90" t="str">
        <f t="shared" si="39"/>
        <v>83761GA0040393</v>
      </c>
      <c r="AF65" s="90" t="str">
        <f t="shared" si="39"/>
        <v>83761GA0040398</v>
      </c>
      <c r="AG65" s="90" t="str">
        <f t="shared" si="39"/>
        <v>83761GA0040394</v>
      </c>
      <c r="AH65" s="90" t="str">
        <f t="shared" si="39"/>
        <v>83761GA0040395</v>
      </c>
      <c r="AI65" s="90" t="str">
        <f t="shared" si="39"/>
        <v>83761GA0040396</v>
      </c>
      <c r="AJ65" s="90" t="str">
        <f t="shared" si="39"/>
        <v>83761GA0040397</v>
      </c>
      <c r="AK65" s="90" t="str">
        <f t="shared" ref="AK65:BP65" si="40">IF(AK13&lt;&gt;"",AK13,"")</f>
        <v>83761GA0040184</v>
      </c>
      <c r="AL65" s="90" t="str">
        <f t="shared" si="40"/>
        <v>83761GA0040336</v>
      </c>
      <c r="AM65" s="90" t="str">
        <f t="shared" si="40"/>
        <v>83761GA0040348</v>
      </c>
      <c r="AN65" s="90" t="str">
        <f t="shared" si="40"/>
        <v>83761GA0040349</v>
      </c>
      <c r="AO65" s="90" t="str">
        <f t="shared" si="40"/>
        <v>83761GA0040354</v>
      </c>
      <c r="AP65" s="90" t="str">
        <f t="shared" si="40"/>
        <v>83761GA0040357</v>
      </c>
      <c r="AQ65" s="90" t="str">
        <f t="shared" si="40"/>
        <v>83761GA0040367</v>
      </c>
      <c r="AR65" s="90" t="str">
        <f t="shared" si="40"/>
        <v>83761GA0040368</v>
      </c>
      <c r="AS65" s="90" t="str">
        <f t="shared" si="40"/>
        <v>83761GA0040371</v>
      </c>
      <c r="AT65" s="90" t="str">
        <f t="shared" si="40"/>
        <v>83761GA0040372</v>
      </c>
      <c r="AU65" s="90" t="str">
        <f t="shared" si="40"/>
        <v>83761GA0040374</v>
      </c>
      <c r="AV65" s="90" t="str">
        <f t="shared" si="40"/>
        <v>83761GA0040375</v>
      </c>
      <c r="AW65" s="90" t="str">
        <f t="shared" si="40"/>
        <v>83761GA0040376</v>
      </c>
      <c r="AX65" s="90" t="str">
        <f t="shared" si="40"/>
        <v>83761GA0110003</v>
      </c>
      <c r="AY65" s="90" t="str">
        <f t="shared" si="40"/>
        <v>83761GA0110004</v>
      </c>
      <c r="AZ65" s="90" t="str">
        <f t="shared" si="40"/>
        <v>83761GA0110008</v>
      </c>
      <c r="BA65" s="90" t="str">
        <f t="shared" si="40"/>
        <v>83761GA0110009</v>
      </c>
      <c r="BB65" s="90" t="str">
        <f t="shared" si="40"/>
        <v>83761GA0110019</v>
      </c>
      <c r="BC65" s="90" t="str">
        <f t="shared" si="40"/>
        <v>83761GA0110023</v>
      </c>
      <c r="BD65" s="90" t="str">
        <f t="shared" si="40"/>
        <v>83761GA0110024</v>
      </c>
      <c r="BE65" s="90" t="str">
        <f t="shared" si="40"/>
        <v>83761GA0110025</v>
      </c>
      <c r="BF65" s="90" t="str">
        <f t="shared" si="40"/>
        <v>83761GA0110027</v>
      </c>
      <c r="BG65" s="90" t="str">
        <f t="shared" si="40"/>
        <v>83761GA0110028</v>
      </c>
      <c r="BH65" s="90" t="str">
        <f t="shared" si="40"/>
        <v>83761GA0110029</v>
      </c>
      <c r="BI65" s="90" t="str">
        <f t="shared" si="40"/>
        <v>83761GA0110030</v>
      </c>
      <c r="BJ65" s="90" t="str">
        <f t="shared" si="40"/>
        <v>83761GA0110031</v>
      </c>
      <c r="BK65" s="90" t="str">
        <f t="shared" si="40"/>
        <v>83761GA0110032</v>
      </c>
      <c r="BL65" s="90" t="str">
        <f t="shared" si="40"/>
        <v>83761GA0110033</v>
      </c>
      <c r="BM65" s="90" t="str">
        <f t="shared" si="40"/>
        <v>83761GA0110034</v>
      </c>
      <c r="BN65" s="90" t="str">
        <f t="shared" si="40"/>
        <v>83761GA0110035</v>
      </c>
      <c r="BO65" s="90" t="str">
        <f t="shared" si="40"/>
        <v>83761GA0110036</v>
      </c>
      <c r="BP65" s="90" t="str">
        <f t="shared" si="40"/>
        <v>83761GA0110037</v>
      </c>
      <c r="BQ65" s="90" t="str">
        <f t="shared" ref="BQ65:CI65" si="41">IF(BQ13&lt;&gt;"",BQ13,"")</f>
        <v>83761GA0110038</v>
      </c>
      <c r="BR65" s="90" t="str">
        <f t="shared" si="41"/>
        <v>83761GA0110039</v>
      </c>
      <c r="BS65" s="90" t="str">
        <f t="shared" si="41"/>
        <v>83761GA0110040</v>
      </c>
      <c r="BT65" s="90" t="str">
        <f t="shared" si="41"/>
        <v>83761GA0110042</v>
      </c>
      <c r="BU65" s="90" t="str">
        <f t="shared" si="41"/>
        <v>83761GA0110043</v>
      </c>
      <c r="BV65" s="90" t="str">
        <f t="shared" si="41"/>
        <v>83761GA0110044</v>
      </c>
      <c r="BW65" s="90" t="str">
        <f t="shared" si="41"/>
        <v>83761GA0110045</v>
      </c>
      <c r="BX65" s="90" t="str">
        <f t="shared" si="41"/>
        <v>83761GA0110046</v>
      </c>
      <c r="BY65" s="90" t="str">
        <f t="shared" si="41"/>
        <v>83761GA0110047</v>
      </c>
      <c r="BZ65" s="90" t="str">
        <f t="shared" si="41"/>
        <v>83761GA0110048</v>
      </c>
      <c r="CA65" s="90" t="str">
        <f t="shared" si="41"/>
        <v>83761GA0110049</v>
      </c>
      <c r="CB65" s="90" t="str">
        <f t="shared" si="41"/>
        <v>83761GA0110050</v>
      </c>
      <c r="CC65" s="90" t="str">
        <f t="shared" si="41"/>
        <v>83761GA0110051</v>
      </c>
      <c r="CD65" s="90" t="str">
        <f t="shared" si="41"/>
        <v>83761GA0110010</v>
      </c>
      <c r="CE65" s="90" t="str">
        <f t="shared" si="41"/>
        <v>83761GA0110011</v>
      </c>
      <c r="CF65" s="90" t="str">
        <f t="shared" si="41"/>
        <v>83761GA0110013</v>
      </c>
      <c r="CG65" s="90" t="str">
        <f t="shared" si="41"/>
        <v>83761GA0110015</v>
      </c>
      <c r="CH65" s="90" t="str">
        <f t="shared" si="41"/>
        <v>83761GA0110017</v>
      </c>
      <c r="CI65" s="90" t="str">
        <f t="shared" si="41"/>
        <v>83761GA0110021</v>
      </c>
    </row>
    <row r="66" spans="2:87" ht="15" customHeight="1">
      <c r="B66" s="146" t="s">
        <v>194</v>
      </c>
      <c r="C66" s="152" t="s">
        <v>86</v>
      </c>
      <c r="D66" s="159">
        <f>SUM(E66:CI66)</f>
        <v>451665929.56770891</v>
      </c>
      <c r="E66" s="187">
        <v>24755694.322333999</v>
      </c>
      <c r="F66" s="187">
        <v>3200546.7900906601</v>
      </c>
      <c r="G66" s="187">
        <v>31020865.724787999</v>
      </c>
      <c r="H66" s="187">
        <v>1697743.19497432</v>
      </c>
      <c r="I66" s="187">
        <v>9212606.4298365898</v>
      </c>
      <c r="J66" s="187">
        <v>12397609.122126</v>
      </c>
      <c r="K66" s="187">
        <v>499690.25252053799</v>
      </c>
      <c r="L66" s="187">
        <v>525510.93962409103</v>
      </c>
      <c r="M66" s="187">
        <v>27473092.113573901</v>
      </c>
      <c r="N66" s="187">
        <v>8188516.3921502298</v>
      </c>
      <c r="O66" s="187">
        <v>33136518.906414401</v>
      </c>
      <c r="P66" s="187">
        <v>3584116.0296655898</v>
      </c>
      <c r="Q66" s="187">
        <v>2973800.01799308</v>
      </c>
      <c r="R66" s="187">
        <v>24916133.6456853</v>
      </c>
      <c r="S66" s="187">
        <v>104865734.968173</v>
      </c>
      <c r="T66" s="187">
        <v>1943136.65528787</v>
      </c>
      <c r="U66" s="187">
        <v>310227.30132283398</v>
      </c>
      <c r="V66" s="187">
        <v>761639.71175143903</v>
      </c>
      <c r="W66" s="187">
        <v>0</v>
      </c>
      <c r="X66" s="187">
        <v>0</v>
      </c>
      <c r="Y66" s="187">
        <v>0</v>
      </c>
      <c r="Z66" s="187">
        <v>0</v>
      </c>
      <c r="AA66" s="187">
        <v>0</v>
      </c>
      <c r="AB66" s="187">
        <v>0</v>
      </c>
      <c r="AC66" s="187">
        <v>0</v>
      </c>
      <c r="AD66" s="187">
        <v>0</v>
      </c>
      <c r="AE66" s="187">
        <v>18093441.177543499</v>
      </c>
      <c r="AF66" s="187">
        <v>1291923.6119233901</v>
      </c>
      <c r="AG66" s="187">
        <v>0</v>
      </c>
      <c r="AH66" s="187">
        <v>0</v>
      </c>
      <c r="AI66" s="187">
        <v>0</v>
      </c>
      <c r="AJ66" s="187">
        <v>0</v>
      </c>
      <c r="AK66" s="187">
        <v>0</v>
      </c>
      <c r="AL66" s="187">
        <v>0</v>
      </c>
      <c r="AM66" s="187">
        <v>0</v>
      </c>
      <c r="AN66" s="187">
        <v>0</v>
      </c>
      <c r="AO66" s="187">
        <v>0</v>
      </c>
      <c r="AP66" s="187">
        <v>0</v>
      </c>
      <c r="AQ66" s="187">
        <v>0</v>
      </c>
      <c r="AR66" s="187">
        <v>0</v>
      </c>
      <c r="AS66" s="187">
        <v>0</v>
      </c>
      <c r="AT66" s="187">
        <v>0</v>
      </c>
      <c r="AU66" s="187">
        <v>0</v>
      </c>
      <c r="AV66" s="187">
        <v>0</v>
      </c>
      <c r="AW66" s="187">
        <v>0</v>
      </c>
      <c r="AX66" s="187">
        <v>7508203.5067127496</v>
      </c>
      <c r="AY66" s="187">
        <v>3517848.5743476502</v>
      </c>
      <c r="AZ66" s="187">
        <v>18459701.9145681</v>
      </c>
      <c r="BA66" s="187">
        <v>6176067.3728639204</v>
      </c>
      <c r="BB66" s="187">
        <v>4512653.6153359003</v>
      </c>
      <c r="BC66" s="187">
        <v>335768.13199455902</v>
      </c>
      <c r="BD66" s="187">
        <v>5156996.2692842996</v>
      </c>
      <c r="BE66" s="187">
        <v>42107498.590820797</v>
      </c>
      <c r="BF66" s="187">
        <v>18717279.868788201</v>
      </c>
      <c r="BG66" s="187">
        <v>4689371.98910488</v>
      </c>
      <c r="BH66" s="187">
        <v>9208514.4333078004</v>
      </c>
      <c r="BI66" s="187">
        <v>1217553.5944012201</v>
      </c>
      <c r="BJ66" s="187">
        <v>736444.86889779102</v>
      </c>
      <c r="BK66" s="187">
        <v>0</v>
      </c>
      <c r="BL66" s="187">
        <v>0</v>
      </c>
      <c r="BM66" s="187">
        <v>662262.28379756503</v>
      </c>
      <c r="BN66" s="187">
        <v>2395342.83441344</v>
      </c>
      <c r="BO66" s="187">
        <v>3370939.8655862301</v>
      </c>
      <c r="BP66" s="187">
        <v>1499505.2112034401</v>
      </c>
      <c r="BQ66" s="187">
        <v>3640713.2731403299</v>
      </c>
      <c r="BR66" s="187">
        <v>628254.64356479701</v>
      </c>
      <c r="BS66" s="187">
        <v>300572.73875578202</v>
      </c>
      <c r="BT66" s="187">
        <v>5975888.6790405903</v>
      </c>
      <c r="BU66" s="187">
        <v>0</v>
      </c>
      <c r="BV66" s="187">
        <v>0</v>
      </c>
      <c r="BW66" s="187">
        <v>0</v>
      </c>
      <c r="BX66" s="187">
        <v>0</v>
      </c>
      <c r="BY66" s="187">
        <v>0</v>
      </c>
      <c r="BZ66" s="187">
        <v>0</v>
      </c>
      <c r="CA66" s="187">
        <v>0</v>
      </c>
      <c r="CB66" s="187">
        <v>0</v>
      </c>
      <c r="CC66" s="187">
        <v>0</v>
      </c>
      <c r="CD66" s="187">
        <v>0</v>
      </c>
      <c r="CE66" s="187">
        <v>0</v>
      </c>
      <c r="CF66" s="187">
        <v>0</v>
      </c>
      <c r="CG66" s="187">
        <v>0</v>
      </c>
      <c r="CH66" s="187">
        <v>0</v>
      </c>
      <c r="CI66" s="187">
        <v>0</v>
      </c>
    </row>
    <row r="67" spans="2:87" ht="15" customHeight="1">
      <c r="B67" s="146" t="s">
        <v>195</v>
      </c>
      <c r="C67" s="152" t="s">
        <v>87</v>
      </c>
      <c r="D67" s="159">
        <f>SUM(E67:CI67)</f>
        <v>91972088.041272923</v>
      </c>
      <c r="E67" s="187">
        <v>4598537.7479856098</v>
      </c>
      <c r="F67" s="187">
        <v>566199.53893925296</v>
      </c>
      <c r="G67" s="187">
        <v>6845041.6931722602</v>
      </c>
      <c r="H67" s="187">
        <v>324558.69648108899</v>
      </c>
      <c r="I67" s="187">
        <v>1787421.85747024</v>
      </c>
      <c r="J67" s="187">
        <v>2742960.05474834</v>
      </c>
      <c r="K67" s="187">
        <v>98844.735388180503</v>
      </c>
      <c r="L67" s="187">
        <v>93960.882597354503</v>
      </c>
      <c r="M67" s="187">
        <v>5103351.4568851199</v>
      </c>
      <c r="N67" s="187">
        <v>1588744.38846553</v>
      </c>
      <c r="O67" s="187">
        <v>7296295.2029627496</v>
      </c>
      <c r="P67" s="187">
        <v>791292.84264041297</v>
      </c>
      <c r="Q67" s="187">
        <v>649916.72565872001</v>
      </c>
      <c r="R67" s="187">
        <v>4725198.4318990903</v>
      </c>
      <c r="S67" s="187">
        <v>22264533.531578701</v>
      </c>
      <c r="T67" s="187">
        <v>412990.65880501299</v>
      </c>
      <c r="U67" s="187">
        <v>54832.999280538199</v>
      </c>
      <c r="V67" s="187">
        <v>132341.958660075</v>
      </c>
      <c r="W67" s="187">
        <v>0</v>
      </c>
      <c r="X67" s="187">
        <v>0</v>
      </c>
      <c r="Y67" s="187">
        <v>0</v>
      </c>
      <c r="Z67" s="187">
        <v>0</v>
      </c>
      <c r="AA67" s="187">
        <v>0</v>
      </c>
      <c r="AB67" s="187">
        <v>0</v>
      </c>
      <c r="AC67" s="187">
        <v>0</v>
      </c>
      <c r="AD67" s="187">
        <v>0</v>
      </c>
      <c r="AE67" s="187">
        <v>2930341.5856601102</v>
      </c>
      <c r="AF67" s="187">
        <v>274587.38515052001</v>
      </c>
      <c r="AG67" s="187">
        <v>0</v>
      </c>
      <c r="AH67" s="187">
        <v>0</v>
      </c>
      <c r="AI67" s="187">
        <v>0</v>
      </c>
      <c r="AJ67" s="187">
        <v>0</v>
      </c>
      <c r="AK67" s="187">
        <v>0</v>
      </c>
      <c r="AL67" s="187">
        <v>0</v>
      </c>
      <c r="AM67" s="187">
        <v>0</v>
      </c>
      <c r="AN67" s="187">
        <v>0</v>
      </c>
      <c r="AO67" s="187">
        <v>0</v>
      </c>
      <c r="AP67" s="187">
        <v>0</v>
      </c>
      <c r="AQ67" s="187">
        <v>0</v>
      </c>
      <c r="AR67" s="187">
        <v>0</v>
      </c>
      <c r="AS67" s="187">
        <v>0</v>
      </c>
      <c r="AT67" s="187">
        <v>0</v>
      </c>
      <c r="AU67" s="187">
        <v>0</v>
      </c>
      <c r="AV67" s="187">
        <v>0</v>
      </c>
      <c r="AW67" s="187">
        <v>0</v>
      </c>
      <c r="AX67" s="187">
        <v>1442073.19080776</v>
      </c>
      <c r="AY67" s="187">
        <v>707834.85277639295</v>
      </c>
      <c r="AZ67" s="187">
        <v>4196287.9790609004</v>
      </c>
      <c r="BA67" s="187">
        <v>1406459.78229095</v>
      </c>
      <c r="BB67" s="187">
        <v>806951.86735869502</v>
      </c>
      <c r="BC67" s="187">
        <v>80352.8047990661</v>
      </c>
      <c r="BD67" s="187">
        <v>1013010.39852225</v>
      </c>
      <c r="BE67" s="187">
        <v>9184924.4542618003</v>
      </c>
      <c r="BF67" s="187">
        <v>3113068.4666147302</v>
      </c>
      <c r="BG67" s="187">
        <v>1041586.51830971</v>
      </c>
      <c r="BH67" s="187">
        <v>1678693.3422564</v>
      </c>
      <c r="BI67" s="187">
        <v>222094.65557908401</v>
      </c>
      <c r="BJ67" s="187">
        <v>145941.700537478</v>
      </c>
      <c r="BK67" s="187">
        <v>0</v>
      </c>
      <c r="BL67" s="187">
        <v>0</v>
      </c>
      <c r="BM67" s="187">
        <v>147101.63759931299</v>
      </c>
      <c r="BN67" s="187">
        <v>460068.14477692102</v>
      </c>
      <c r="BO67" s="187">
        <v>678281.59719097195</v>
      </c>
      <c r="BP67" s="187">
        <v>273357.16249182099</v>
      </c>
      <c r="BQ67" s="187">
        <v>825848.281950737</v>
      </c>
      <c r="BR67" s="187">
        <v>142765.90219211299</v>
      </c>
      <c r="BS67" s="187">
        <v>54827.560589604698</v>
      </c>
      <c r="BT67" s="187">
        <v>1068605.3668773</v>
      </c>
      <c r="BU67" s="187">
        <v>0</v>
      </c>
      <c r="BV67" s="187">
        <v>0</v>
      </c>
      <c r="BW67" s="187">
        <v>0</v>
      </c>
      <c r="BX67" s="187">
        <v>0</v>
      </c>
      <c r="BY67" s="187">
        <v>0</v>
      </c>
      <c r="BZ67" s="187">
        <v>0</v>
      </c>
      <c r="CA67" s="187">
        <v>0</v>
      </c>
      <c r="CB67" s="187">
        <v>0</v>
      </c>
      <c r="CC67" s="187">
        <v>0</v>
      </c>
      <c r="CD67" s="187">
        <v>0</v>
      </c>
      <c r="CE67" s="187">
        <v>0</v>
      </c>
      <c r="CF67" s="187">
        <v>0</v>
      </c>
      <c r="CG67" s="187">
        <v>0</v>
      </c>
      <c r="CH67" s="187">
        <v>0</v>
      </c>
      <c r="CI67" s="187">
        <v>0</v>
      </c>
    </row>
    <row r="68" spans="2:87" ht="15" customHeight="1">
      <c r="B68" s="146" t="s">
        <v>196</v>
      </c>
      <c r="C68" s="152" t="s">
        <v>111</v>
      </c>
      <c r="D68" s="159">
        <f>SUM(E68:CI68)</f>
        <v>74455425.664490595</v>
      </c>
      <c r="E68" s="187">
        <v>5888595.1807821803</v>
      </c>
      <c r="F68" s="187">
        <v>878816.20513460599</v>
      </c>
      <c r="G68" s="187">
        <v>2933867.5563146998</v>
      </c>
      <c r="H68" s="187">
        <v>365962.32638657303</v>
      </c>
      <c r="I68" s="187">
        <v>1877435.8552303701</v>
      </c>
      <c r="J68" s="187">
        <v>1141518.36129263</v>
      </c>
      <c r="K68" s="187">
        <v>94002.585340270103</v>
      </c>
      <c r="L68" s="187">
        <v>140176.36151399501</v>
      </c>
      <c r="M68" s="187">
        <v>6534120.3849575799</v>
      </c>
      <c r="N68" s="187">
        <v>1668469.6331994</v>
      </c>
      <c r="O68" s="187">
        <v>3197147.7675899998</v>
      </c>
      <c r="P68" s="187">
        <v>336863.327708964</v>
      </c>
      <c r="Q68" s="187">
        <v>304824.70058338402</v>
      </c>
      <c r="R68" s="187">
        <v>5528133.6476415098</v>
      </c>
      <c r="S68" s="187">
        <v>13524490.701949799</v>
      </c>
      <c r="T68" s="187">
        <v>247293.35706191399</v>
      </c>
      <c r="U68" s="187">
        <v>85454.154379386295</v>
      </c>
      <c r="V68" s="187">
        <v>219148.678437878</v>
      </c>
      <c r="W68" s="187">
        <v>0</v>
      </c>
      <c r="X68" s="187">
        <v>0</v>
      </c>
      <c r="Y68" s="187">
        <v>0</v>
      </c>
      <c r="Z68" s="187">
        <v>0</v>
      </c>
      <c r="AA68" s="187">
        <v>0</v>
      </c>
      <c r="AB68" s="187">
        <v>0</v>
      </c>
      <c r="AC68" s="187">
        <v>0</v>
      </c>
      <c r="AD68" s="187">
        <v>0</v>
      </c>
      <c r="AE68" s="187">
        <v>6089540.4322097003</v>
      </c>
      <c r="AF68" s="187">
        <v>164370.523181511</v>
      </c>
      <c r="AG68" s="187">
        <v>0</v>
      </c>
      <c r="AH68" s="187">
        <v>0</v>
      </c>
      <c r="AI68" s="187">
        <v>0</v>
      </c>
      <c r="AJ68" s="187">
        <v>0</v>
      </c>
      <c r="AK68" s="187">
        <v>0</v>
      </c>
      <c r="AL68" s="187">
        <v>0</v>
      </c>
      <c r="AM68" s="187">
        <v>0</v>
      </c>
      <c r="AN68" s="187">
        <v>0</v>
      </c>
      <c r="AO68" s="187">
        <v>0</v>
      </c>
      <c r="AP68" s="187">
        <v>0</v>
      </c>
      <c r="AQ68" s="187">
        <v>0</v>
      </c>
      <c r="AR68" s="187">
        <v>0</v>
      </c>
      <c r="AS68" s="187">
        <v>0</v>
      </c>
      <c r="AT68" s="187">
        <v>0</v>
      </c>
      <c r="AU68" s="187">
        <v>0</v>
      </c>
      <c r="AV68" s="187">
        <v>0</v>
      </c>
      <c r="AW68" s="187">
        <v>0</v>
      </c>
      <c r="AX68" s="187">
        <v>1591702.1207346399</v>
      </c>
      <c r="AY68" s="187">
        <v>613078.57801255805</v>
      </c>
      <c r="AZ68" s="187">
        <v>1241942.03518726</v>
      </c>
      <c r="BA68" s="187">
        <v>404715.95040412998</v>
      </c>
      <c r="BB68" s="187">
        <v>1204985.49978899</v>
      </c>
      <c r="BC68" s="187">
        <v>104322.25918786001</v>
      </c>
      <c r="BD68" s="187">
        <v>1000564.20945619</v>
      </c>
      <c r="BE68" s="187">
        <v>4427802.7582095098</v>
      </c>
      <c r="BF68" s="187">
        <v>5965895.4529113499</v>
      </c>
      <c r="BG68" s="187">
        <v>412397.35918105702</v>
      </c>
      <c r="BH68" s="187">
        <v>2325266.1108498499</v>
      </c>
      <c r="BI68" s="187">
        <v>307175.34128155402</v>
      </c>
      <c r="BJ68" s="187">
        <v>137600.22725193601</v>
      </c>
      <c r="BK68" s="187">
        <v>0</v>
      </c>
      <c r="BL68" s="187">
        <v>0</v>
      </c>
      <c r="BM68" s="187">
        <v>58216.580026706797</v>
      </c>
      <c r="BN68" s="187">
        <v>507723.55655464099</v>
      </c>
      <c r="BO68" s="187">
        <v>587361.82275691396</v>
      </c>
      <c r="BP68" s="187">
        <v>378598.08035436302</v>
      </c>
      <c r="BQ68" s="187">
        <v>252093.66522141299</v>
      </c>
      <c r="BR68" s="187">
        <v>42405.794103250802</v>
      </c>
      <c r="BS68" s="187">
        <v>75821.981104254693</v>
      </c>
      <c r="BT68" s="187">
        <v>1595524.5410158001</v>
      </c>
      <c r="BU68" s="187">
        <v>0</v>
      </c>
      <c r="BV68" s="187">
        <v>0</v>
      </c>
      <c r="BW68" s="187">
        <v>0</v>
      </c>
      <c r="BX68" s="187">
        <v>0</v>
      </c>
      <c r="BY68" s="187">
        <v>0</v>
      </c>
      <c r="BZ68" s="187">
        <v>0</v>
      </c>
      <c r="CA68" s="187">
        <v>0</v>
      </c>
      <c r="CB68" s="187">
        <v>0</v>
      </c>
      <c r="CC68" s="187">
        <v>0</v>
      </c>
      <c r="CD68" s="187">
        <v>0</v>
      </c>
      <c r="CE68" s="187">
        <v>0</v>
      </c>
      <c r="CF68" s="187">
        <v>0</v>
      </c>
      <c r="CG68" s="187">
        <v>0</v>
      </c>
      <c r="CH68" s="187">
        <v>0</v>
      </c>
      <c r="CI68" s="187">
        <v>0</v>
      </c>
    </row>
    <row r="69" spans="2:87" ht="15" customHeight="1">
      <c r="B69" s="146" t="s">
        <v>197</v>
      </c>
      <c r="C69" s="152" t="s">
        <v>112</v>
      </c>
      <c r="D69" s="159">
        <f>SUM(E69:CI69)</f>
        <v>0</v>
      </c>
      <c r="E69" s="187">
        <v>0</v>
      </c>
      <c r="F69" s="187">
        <v>0</v>
      </c>
      <c r="G69" s="187">
        <v>0</v>
      </c>
      <c r="H69" s="187">
        <v>0</v>
      </c>
      <c r="I69" s="187">
        <v>0</v>
      </c>
      <c r="J69" s="187">
        <v>0</v>
      </c>
      <c r="K69" s="187">
        <v>0</v>
      </c>
      <c r="L69" s="187">
        <v>0</v>
      </c>
      <c r="M69" s="187">
        <v>0</v>
      </c>
      <c r="N69" s="187">
        <v>0</v>
      </c>
      <c r="O69" s="187">
        <v>0</v>
      </c>
      <c r="P69" s="187">
        <v>0</v>
      </c>
      <c r="Q69" s="187">
        <v>0</v>
      </c>
      <c r="R69" s="187">
        <v>0</v>
      </c>
      <c r="S69" s="187">
        <v>0</v>
      </c>
      <c r="T69" s="187">
        <v>0</v>
      </c>
      <c r="U69" s="187">
        <v>0</v>
      </c>
      <c r="V69" s="187">
        <v>0</v>
      </c>
      <c r="W69" s="187">
        <v>0</v>
      </c>
      <c r="X69" s="187">
        <v>0</v>
      </c>
      <c r="Y69" s="187">
        <v>0</v>
      </c>
      <c r="Z69" s="187">
        <v>0</v>
      </c>
      <c r="AA69" s="187">
        <v>0</v>
      </c>
      <c r="AB69" s="187">
        <v>0</v>
      </c>
      <c r="AC69" s="187">
        <v>0</v>
      </c>
      <c r="AD69" s="187">
        <v>0</v>
      </c>
      <c r="AE69" s="187">
        <v>0</v>
      </c>
      <c r="AF69" s="187">
        <v>0</v>
      </c>
      <c r="AG69" s="187">
        <v>0</v>
      </c>
      <c r="AH69" s="187">
        <v>0</v>
      </c>
      <c r="AI69" s="187">
        <v>0</v>
      </c>
      <c r="AJ69" s="187">
        <v>0</v>
      </c>
      <c r="AK69" s="187">
        <v>0</v>
      </c>
      <c r="AL69" s="187">
        <v>0</v>
      </c>
      <c r="AM69" s="187">
        <v>0</v>
      </c>
      <c r="AN69" s="187">
        <v>0</v>
      </c>
      <c r="AO69" s="187">
        <v>0</v>
      </c>
      <c r="AP69" s="187">
        <v>0</v>
      </c>
      <c r="AQ69" s="187">
        <v>0</v>
      </c>
      <c r="AR69" s="187">
        <v>0</v>
      </c>
      <c r="AS69" s="187">
        <v>0</v>
      </c>
      <c r="AT69" s="187">
        <v>0</v>
      </c>
      <c r="AU69" s="187">
        <v>0</v>
      </c>
      <c r="AV69" s="187">
        <v>0</v>
      </c>
      <c r="AW69" s="187">
        <v>0</v>
      </c>
      <c r="AX69" s="187">
        <v>0</v>
      </c>
      <c r="AY69" s="187">
        <v>0</v>
      </c>
      <c r="AZ69" s="187">
        <v>0</v>
      </c>
      <c r="BA69" s="187">
        <v>0</v>
      </c>
      <c r="BB69" s="187">
        <v>0</v>
      </c>
      <c r="BC69" s="187">
        <v>0</v>
      </c>
      <c r="BD69" s="187">
        <v>0</v>
      </c>
      <c r="BE69" s="187">
        <v>0</v>
      </c>
      <c r="BF69" s="187">
        <v>0</v>
      </c>
      <c r="BG69" s="187">
        <v>0</v>
      </c>
      <c r="BH69" s="187">
        <v>0</v>
      </c>
      <c r="BI69" s="187">
        <v>0</v>
      </c>
      <c r="BJ69" s="187">
        <v>0</v>
      </c>
      <c r="BK69" s="187">
        <v>0</v>
      </c>
      <c r="BL69" s="187">
        <v>0</v>
      </c>
      <c r="BM69" s="187">
        <v>0</v>
      </c>
      <c r="BN69" s="187">
        <v>0</v>
      </c>
      <c r="BO69" s="187">
        <v>0</v>
      </c>
      <c r="BP69" s="187">
        <v>0</v>
      </c>
      <c r="BQ69" s="187">
        <v>0</v>
      </c>
      <c r="BR69" s="187">
        <v>0</v>
      </c>
      <c r="BS69" s="187">
        <v>0</v>
      </c>
      <c r="BT69" s="187">
        <v>0</v>
      </c>
      <c r="BU69" s="187">
        <v>0</v>
      </c>
      <c r="BV69" s="187">
        <v>0</v>
      </c>
      <c r="BW69" s="187">
        <v>0</v>
      </c>
      <c r="BX69" s="187">
        <v>0</v>
      </c>
      <c r="BY69" s="187">
        <v>0</v>
      </c>
      <c r="BZ69" s="187">
        <v>0</v>
      </c>
      <c r="CA69" s="187">
        <v>0</v>
      </c>
      <c r="CB69" s="187">
        <v>0</v>
      </c>
      <c r="CC69" s="187">
        <v>0</v>
      </c>
      <c r="CD69" s="187">
        <v>0</v>
      </c>
      <c r="CE69" s="187">
        <v>0</v>
      </c>
      <c r="CF69" s="187">
        <v>0</v>
      </c>
      <c r="CG69" s="187">
        <v>0</v>
      </c>
      <c r="CH69" s="187">
        <v>0</v>
      </c>
      <c r="CI69" s="187">
        <v>0</v>
      </c>
    </row>
    <row r="70" spans="2:87" ht="15" customHeight="1">
      <c r="B70" s="146" t="s">
        <v>198</v>
      </c>
      <c r="C70" s="152" t="s">
        <v>113</v>
      </c>
      <c r="D70" s="159">
        <f t="shared" ref="D70:AI70" si="42">D66-D67-D68-D69</f>
        <v>285238415.86194539</v>
      </c>
      <c r="E70" s="159">
        <f t="shared" si="42"/>
        <v>14268561.39356621</v>
      </c>
      <c r="F70" s="159">
        <f t="shared" si="42"/>
        <v>1755531.0460168011</v>
      </c>
      <c r="G70" s="159">
        <f t="shared" si="42"/>
        <v>21241956.475301038</v>
      </c>
      <c r="H70" s="159">
        <f t="shared" si="42"/>
        <v>1007222.1721066579</v>
      </c>
      <c r="I70" s="159">
        <f t="shared" si="42"/>
        <v>5547748.7171359789</v>
      </c>
      <c r="J70" s="159">
        <f t="shared" si="42"/>
        <v>8513130.70608503</v>
      </c>
      <c r="K70" s="159">
        <f t="shared" si="42"/>
        <v>306842.93179208739</v>
      </c>
      <c r="L70" s="159">
        <f t="shared" si="42"/>
        <v>291373.69551274157</v>
      </c>
      <c r="M70" s="159">
        <f t="shared" si="42"/>
        <v>15835620.2717312</v>
      </c>
      <c r="N70" s="159">
        <f t="shared" si="42"/>
        <v>4931302.3704852993</v>
      </c>
      <c r="O70" s="159">
        <f t="shared" si="42"/>
        <v>22643075.935861651</v>
      </c>
      <c r="P70" s="159">
        <f t="shared" si="42"/>
        <v>2455959.8593162131</v>
      </c>
      <c r="Q70" s="159">
        <f t="shared" si="42"/>
        <v>2019058.5917509762</v>
      </c>
      <c r="R70" s="159">
        <f t="shared" si="42"/>
        <v>14662801.566144701</v>
      </c>
      <c r="S70" s="159">
        <f t="shared" si="42"/>
        <v>69076710.734644488</v>
      </c>
      <c r="T70" s="159">
        <f t="shared" si="42"/>
        <v>1282852.6394209431</v>
      </c>
      <c r="U70" s="159">
        <f t="shared" si="42"/>
        <v>169940.14766290947</v>
      </c>
      <c r="V70" s="159">
        <f t="shared" si="42"/>
        <v>410149.07465348602</v>
      </c>
      <c r="W70" s="159">
        <f t="shared" si="42"/>
        <v>0</v>
      </c>
      <c r="X70" s="159">
        <f t="shared" si="42"/>
        <v>0</v>
      </c>
      <c r="Y70" s="159">
        <f t="shared" si="42"/>
        <v>0</v>
      </c>
      <c r="Z70" s="159">
        <f t="shared" si="42"/>
        <v>0</v>
      </c>
      <c r="AA70" s="159">
        <f t="shared" si="42"/>
        <v>0</v>
      </c>
      <c r="AB70" s="159">
        <f t="shared" si="42"/>
        <v>0</v>
      </c>
      <c r="AC70" s="159">
        <f t="shared" si="42"/>
        <v>0</v>
      </c>
      <c r="AD70" s="159">
        <f t="shared" si="42"/>
        <v>0</v>
      </c>
      <c r="AE70" s="159">
        <f t="shared" si="42"/>
        <v>9073559.1596736871</v>
      </c>
      <c r="AF70" s="159">
        <f t="shared" si="42"/>
        <v>852965.70359135908</v>
      </c>
      <c r="AG70" s="159">
        <f t="shared" si="42"/>
        <v>0</v>
      </c>
      <c r="AH70" s="159">
        <f t="shared" si="42"/>
        <v>0</v>
      </c>
      <c r="AI70" s="159">
        <f t="shared" si="42"/>
        <v>0</v>
      </c>
      <c r="AJ70" s="159">
        <f t="shared" ref="AJ70:BO70" si="43">AJ66-AJ67-AJ68-AJ69</f>
        <v>0</v>
      </c>
      <c r="AK70" s="159">
        <f t="shared" si="43"/>
        <v>0</v>
      </c>
      <c r="AL70" s="159">
        <f t="shared" si="43"/>
        <v>0</v>
      </c>
      <c r="AM70" s="159">
        <f t="shared" si="43"/>
        <v>0</v>
      </c>
      <c r="AN70" s="159">
        <f t="shared" si="43"/>
        <v>0</v>
      </c>
      <c r="AO70" s="159">
        <f t="shared" si="43"/>
        <v>0</v>
      </c>
      <c r="AP70" s="159">
        <f t="shared" si="43"/>
        <v>0</v>
      </c>
      <c r="AQ70" s="159">
        <f t="shared" si="43"/>
        <v>0</v>
      </c>
      <c r="AR70" s="159">
        <f t="shared" si="43"/>
        <v>0</v>
      </c>
      <c r="AS70" s="159">
        <f t="shared" si="43"/>
        <v>0</v>
      </c>
      <c r="AT70" s="159">
        <f t="shared" si="43"/>
        <v>0</v>
      </c>
      <c r="AU70" s="159">
        <f t="shared" si="43"/>
        <v>0</v>
      </c>
      <c r="AV70" s="159">
        <f t="shared" si="43"/>
        <v>0</v>
      </c>
      <c r="AW70" s="159">
        <f t="shared" si="43"/>
        <v>0</v>
      </c>
      <c r="AX70" s="159">
        <f t="shared" si="43"/>
        <v>4474428.1951703504</v>
      </c>
      <c r="AY70" s="159">
        <f t="shared" si="43"/>
        <v>2196935.1435586992</v>
      </c>
      <c r="AZ70" s="159">
        <f t="shared" si="43"/>
        <v>13021471.900319941</v>
      </c>
      <c r="BA70" s="159">
        <f t="shared" si="43"/>
        <v>4364891.6401688401</v>
      </c>
      <c r="BB70" s="159">
        <f t="shared" si="43"/>
        <v>2500716.2481882153</v>
      </c>
      <c r="BC70" s="159">
        <f t="shared" si="43"/>
        <v>151093.06800763292</v>
      </c>
      <c r="BD70" s="159">
        <f t="shared" si="43"/>
        <v>3143421.6613058597</v>
      </c>
      <c r="BE70" s="159">
        <f t="shared" si="43"/>
        <v>28494771.378349483</v>
      </c>
      <c r="BF70" s="159">
        <f t="shared" si="43"/>
        <v>9638315.9492621198</v>
      </c>
      <c r="BG70" s="159">
        <f t="shared" si="43"/>
        <v>3235388.1116141127</v>
      </c>
      <c r="BH70" s="159">
        <f t="shared" si="43"/>
        <v>5204554.9802015508</v>
      </c>
      <c r="BI70" s="159">
        <f t="shared" si="43"/>
        <v>688283.59754058206</v>
      </c>
      <c r="BJ70" s="159">
        <f t="shared" si="43"/>
        <v>452902.94110837707</v>
      </c>
      <c r="BK70" s="159">
        <f t="shared" si="43"/>
        <v>0</v>
      </c>
      <c r="BL70" s="159">
        <f t="shared" si="43"/>
        <v>0</v>
      </c>
      <c r="BM70" s="159">
        <f t="shared" si="43"/>
        <v>456944.06617154524</v>
      </c>
      <c r="BN70" s="159">
        <f t="shared" si="43"/>
        <v>1427551.1330818781</v>
      </c>
      <c r="BO70" s="159">
        <f t="shared" si="43"/>
        <v>2105296.4456383442</v>
      </c>
      <c r="BP70" s="159">
        <f t="shared" ref="BP70:CI70" si="44">BP66-BP67-BP68-BP69</f>
        <v>847549.96835725615</v>
      </c>
      <c r="BQ70" s="159">
        <f t="shared" si="44"/>
        <v>2562771.3259681799</v>
      </c>
      <c r="BR70" s="159">
        <f t="shared" si="44"/>
        <v>443082.94726943324</v>
      </c>
      <c r="BS70" s="159">
        <f t="shared" si="44"/>
        <v>169923.19706192263</v>
      </c>
      <c r="BT70" s="159">
        <f t="shared" si="44"/>
        <v>3311758.7711474905</v>
      </c>
      <c r="BU70" s="159">
        <f t="shared" si="44"/>
        <v>0</v>
      </c>
      <c r="BV70" s="159">
        <f t="shared" si="44"/>
        <v>0</v>
      </c>
      <c r="BW70" s="159">
        <f t="shared" si="44"/>
        <v>0</v>
      </c>
      <c r="BX70" s="159">
        <f t="shared" si="44"/>
        <v>0</v>
      </c>
      <c r="BY70" s="159">
        <f t="shared" si="44"/>
        <v>0</v>
      </c>
      <c r="BZ70" s="159">
        <f t="shared" si="44"/>
        <v>0</v>
      </c>
      <c r="CA70" s="159">
        <f t="shared" si="44"/>
        <v>0</v>
      </c>
      <c r="CB70" s="159">
        <f t="shared" si="44"/>
        <v>0</v>
      </c>
      <c r="CC70" s="159">
        <f t="shared" si="44"/>
        <v>0</v>
      </c>
      <c r="CD70" s="159">
        <f t="shared" si="44"/>
        <v>0</v>
      </c>
      <c r="CE70" s="159">
        <f t="shared" si="44"/>
        <v>0</v>
      </c>
      <c r="CF70" s="159">
        <f t="shared" si="44"/>
        <v>0</v>
      </c>
      <c r="CG70" s="159">
        <f t="shared" si="44"/>
        <v>0</v>
      </c>
      <c r="CH70" s="159">
        <f t="shared" si="44"/>
        <v>0</v>
      </c>
      <c r="CI70" s="159">
        <f t="shared" si="44"/>
        <v>0</v>
      </c>
    </row>
    <row r="71" spans="2:87" ht="15" customHeight="1">
      <c r="B71" s="146" t="s">
        <v>199</v>
      </c>
      <c r="C71" s="152" t="s">
        <v>114</v>
      </c>
      <c r="D71" s="159">
        <f>SUM(E71:CI71)</f>
        <v>1738025.9999999057</v>
      </c>
      <c r="E71" s="187">
        <v>86900.0404165379</v>
      </c>
      <c r="F71" s="187">
        <v>10699.6540017964</v>
      </c>
      <c r="G71" s="187">
        <v>129352.944868208</v>
      </c>
      <c r="H71" s="187">
        <v>6133.2896210540703</v>
      </c>
      <c r="I71" s="187">
        <v>33777.483227925703</v>
      </c>
      <c r="J71" s="187">
        <v>51834.594534533302</v>
      </c>
      <c r="K71" s="187">
        <v>1867.90061774693</v>
      </c>
      <c r="L71" s="187">
        <v>1775.60888759921</v>
      </c>
      <c r="M71" s="187">
        <v>96439.6667304476</v>
      </c>
      <c r="N71" s="187">
        <v>30023.0114735235</v>
      </c>
      <c r="O71" s="187">
        <v>137880.42694793601</v>
      </c>
      <c r="P71" s="187">
        <v>14953.314243618201</v>
      </c>
      <c r="Q71" s="187">
        <v>12281.684488045599</v>
      </c>
      <c r="R71" s="187">
        <v>89293.587921087499</v>
      </c>
      <c r="S71" s="187">
        <v>420740.01993287698</v>
      </c>
      <c r="T71" s="187">
        <v>7804.4167317163901</v>
      </c>
      <c r="U71" s="187">
        <v>1036.1967466127901</v>
      </c>
      <c r="V71" s="187">
        <v>2500.9083727543898</v>
      </c>
      <c r="W71" s="187">
        <v>0</v>
      </c>
      <c r="X71" s="187">
        <v>0</v>
      </c>
      <c r="Y71" s="187">
        <v>0</v>
      </c>
      <c r="Z71" s="187">
        <v>0</v>
      </c>
      <c r="AA71" s="187">
        <v>0</v>
      </c>
      <c r="AB71" s="187">
        <v>0</v>
      </c>
      <c r="AC71" s="187">
        <v>0</v>
      </c>
      <c r="AD71" s="187">
        <v>0</v>
      </c>
      <c r="AE71" s="187">
        <v>55375.603329487298</v>
      </c>
      <c r="AF71" s="187">
        <v>5188.9657484934896</v>
      </c>
      <c r="AG71" s="187">
        <v>0</v>
      </c>
      <c r="AH71" s="187">
        <v>0</v>
      </c>
      <c r="AI71" s="187">
        <v>0</v>
      </c>
      <c r="AJ71" s="187">
        <v>0</v>
      </c>
      <c r="AK71" s="187">
        <v>0</v>
      </c>
      <c r="AL71" s="187">
        <v>0</v>
      </c>
      <c r="AM71" s="187">
        <v>0</v>
      </c>
      <c r="AN71" s="187">
        <v>0</v>
      </c>
      <c r="AO71" s="187">
        <v>0</v>
      </c>
      <c r="AP71" s="187">
        <v>0</v>
      </c>
      <c r="AQ71" s="187">
        <v>0</v>
      </c>
      <c r="AR71" s="187">
        <v>0</v>
      </c>
      <c r="AS71" s="187">
        <v>0</v>
      </c>
      <c r="AT71" s="187">
        <v>0</v>
      </c>
      <c r="AU71" s="187">
        <v>0</v>
      </c>
      <c r="AV71" s="187">
        <v>0</v>
      </c>
      <c r="AW71" s="187">
        <v>0</v>
      </c>
      <c r="AX71" s="187">
        <v>27251.318882767599</v>
      </c>
      <c r="AY71" s="187">
        <v>13376.1818833492</v>
      </c>
      <c r="AZ71" s="187">
        <v>79298.597720452206</v>
      </c>
      <c r="BA71" s="187">
        <v>26578.320897519599</v>
      </c>
      <c r="BB71" s="187">
        <v>15249.2278482196</v>
      </c>
      <c r="BC71" s="187">
        <v>1518.4526837209901</v>
      </c>
      <c r="BD71" s="187">
        <v>19143.1818978802</v>
      </c>
      <c r="BE71" s="187">
        <v>173570.458706757</v>
      </c>
      <c r="BF71" s="187">
        <v>58828.6517136396</v>
      </c>
      <c r="BG71" s="187">
        <v>19683.193984453999</v>
      </c>
      <c r="BH71" s="187">
        <v>31722.805657723799</v>
      </c>
      <c r="BI71" s="187">
        <v>4196.9938279997596</v>
      </c>
      <c r="BJ71" s="187">
        <v>2757.9070500662001</v>
      </c>
      <c r="BK71" s="187">
        <v>0</v>
      </c>
      <c r="BL71" s="187">
        <v>0</v>
      </c>
      <c r="BM71" s="187">
        <v>2779.82675217115</v>
      </c>
      <c r="BN71" s="187">
        <v>8694.0550597827205</v>
      </c>
      <c r="BO71" s="187">
        <v>12817.7045486925</v>
      </c>
      <c r="BP71" s="187">
        <v>5165.7178369570101</v>
      </c>
      <c r="BQ71" s="187">
        <v>15606.3194459771</v>
      </c>
      <c r="BR71" s="187">
        <v>2697.89297174579</v>
      </c>
      <c r="BS71" s="187">
        <v>1036.09396992858</v>
      </c>
      <c r="BT71" s="187">
        <v>20193.777818099901</v>
      </c>
      <c r="BU71" s="187">
        <v>0</v>
      </c>
      <c r="BV71" s="187">
        <v>0</v>
      </c>
      <c r="BW71" s="187">
        <v>0</v>
      </c>
      <c r="BX71" s="187">
        <v>0</v>
      </c>
      <c r="BY71" s="187">
        <v>0</v>
      </c>
      <c r="BZ71" s="187">
        <v>0</v>
      </c>
      <c r="CA71" s="187">
        <v>0</v>
      </c>
      <c r="CB71" s="187">
        <v>0</v>
      </c>
      <c r="CC71" s="187">
        <v>0</v>
      </c>
      <c r="CD71" s="187">
        <v>0</v>
      </c>
      <c r="CE71" s="187">
        <v>0</v>
      </c>
      <c r="CF71" s="187">
        <v>0</v>
      </c>
      <c r="CG71" s="187">
        <v>0</v>
      </c>
      <c r="CH71" s="187">
        <v>0</v>
      </c>
      <c r="CI71" s="187">
        <v>0</v>
      </c>
    </row>
    <row r="72" spans="2:87" ht="15" customHeight="1">
      <c r="B72" s="146" t="s">
        <v>200</v>
      </c>
      <c r="C72" s="152" t="s">
        <v>115</v>
      </c>
      <c r="D72" s="159">
        <f>SUM(E72:CI72)</f>
        <v>373515324.5347755</v>
      </c>
      <c r="E72" s="187">
        <v>18680377.880721599</v>
      </c>
      <c r="F72" s="187">
        <v>2300040.12643123</v>
      </c>
      <c r="G72" s="187">
        <v>27806222.857203901</v>
      </c>
      <c r="H72" s="187">
        <v>1318436.3001906499</v>
      </c>
      <c r="I72" s="187">
        <v>7260941.9688751698</v>
      </c>
      <c r="J72" s="187">
        <v>11142570.3435553</v>
      </c>
      <c r="K72" s="187">
        <v>401531.33664717502</v>
      </c>
      <c r="L72" s="187">
        <v>381691.939724444</v>
      </c>
      <c r="M72" s="187">
        <v>20731053.84739</v>
      </c>
      <c r="N72" s="187">
        <v>6453865.8066714304</v>
      </c>
      <c r="O72" s="187">
        <v>29639324.278754901</v>
      </c>
      <c r="P72" s="187">
        <v>3214423.82881568</v>
      </c>
      <c r="Q72" s="187">
        <v>2640119.6840505302</v>
      </c>
      <c r="R72" s="187">
        <v>19194904.360181499</v>
      </c>
      <c r="S72" s="187">
        <v>90443945.989152104</v>
      </c>
      <c r="T72" s="187">
        <v>1677668.42211207</v>
      </c>
      <c r="U72" s="187">
        <v>222744.96873326501</v>
      </c>
      <c r="V72" s="187">
        <v>537605.19815847895</v>
      </c>
      <c r="W72" s="187">
        <v>0</v>
      </c>
      <c r="X72" s="187">
        <v>0</v>
      </c>
      <c r="Y72" s="187">
        <v>0</v>
      </c>
      <c r="Z72" s="187">
        <v>0</v>
      </c>
      <c r="AA72" s="187">
        <v>0</v>
      </c>
      <c r="AB72" s="187">
        <v>0</v>
      </c>
      <c r="AC72" s="187">
        <v>0</v>
      </c>
      <c r="AD72" s="187">
        <v>0</v>
      </c>
      <c r="AE72" s="187">
        <v>11903759.660057699</v>
      </c>
      <c r="AF72" s="187">
        <v>1115440.6894100001</v>
      </c>
      <c r="AG72" s="187">
        <v>0</v>
      </c>
      <c r="AH72" s="187">
        <v>0</v>
      </c>
      <c r="AI72" s="187">
        <v>0</v>
      </c>
      <c r="AJ72" s="187">
        <v>0</v>
      </c>
      <c r="AK72" s="187">
        <v>0</v>
      </c>
      <c r="AL72" s="187">
        <v>0</v>
      </c>
      <c r="AM72" s="187">
        <v>0</v>
      </c>
      <c r="AN72" s="187">
        <v>0</v>
      </c>
      <c r="AO72" s="187">
        <v>0</v>
      </c>
      <c r="AP72" s="187">
        <v>0</v>
      </c>
      <c r="AQ72" s="187">
        <v>0</v>
      </c>
      <c r="AR72" s="187">
        <v>0</v>
      </c>
      <c r="AS72" s="187">
        <v>0</v>
      </c>
      <c r="AT72" s="187">
        <v>0</v>
      </c>
      <c r="AU72" s="187">
        <v>0</v>
      </c>
      <c r="AV72" s="187">
        <v>0</v>
      </c>
      <c r="AW72" s="187">
        <v>0</v>
      </c>
      <c r="AX72" s="187">
        <v>5858051.75737599</v>
      </c>
      <c r="AY72" s="187">
        <v>2875397.1918138899</v>
      </c>
      <c r="AZ72" s="187">
        <v>17046341.563581899</v>
      </c>
      <c r="BA72" s="187">
        <v>5713381.4371190798</v>
      </c>
      <c r="BB72" s="187">
        <v>3278034.5927175698</v>
      </c>
      <c r="BC72" s="187">
        <v>228764.239712387</v>
      </c>
      <c r="BD72" s="187">
        <v>4115094.4231751701</v>
      </c>
      <c r="BE72" s="187">
        <v>37311395.277042396</v>
      </c>
      <c r="BF72" s="187">
        <v>12646040.6572494</v>
      </c>
      <c r="BG72" s="187">
        <v>4231177.5663935496</v>
      </c>
      <c r="BH72" s="187">
        <v>6819260.3165947301</v>
      </c>
      <c r="BI72" s="187">
        <v>902202.46497343702</v>
      </c>
      <c r="BJ72" s="187">
        <v>592850.65470853902</v>
      </c>
      <c r="BK72" s="187">
        <v>0</v>
      </c>
      <c r="BL72" s="187">
        <v>0</v>
      </c>
      <c r="BM72" s="187">
        <v>597562.60094458703</v>
      </c>
      <c r="BN72" s="187">
        <v>1868908.611021</v>
      </c>
      <c r="BO72" s="187">
        <v>2755344.6855181502</v>
      </c>
      <c r="BP72" s="187">
        <v>1110443.2259985099</v>
      </c>
      <c r="BQ72" s="187">
        <v>3354796.42104545</v>
      </c>
      <c r="BR72" s="187">
        <v>579949.79003903095</v>
      </c>
      <c r="BS72" s="187">
        <v>222722.875448968</v>
      </c>
      <c r="BT72" s="187">
        <v>4340934.6954647703</v>
      </c>
      <c r="BU72" s="187">
        <v>0</v>
      </c>
      <c r="BV72" s="187">
        <v>0</v>
      </c>
      <c r="BW72" s="187">
        <v>0</v>
      </c>
      <c r="BX72" s="187">
        <v>0</v>
      </c>
      <c r="BY72" s="187">
        <v>0</v>
      </c>
      <c r="BZ72" s="187">
        <v>0</v>
      </c>
      <c r="CA72" s="187">
        <v>0</v>
      </c>
      <c r="CB72" s="187">
        <v>0</v>
      </c>
      <c r="CC72" s="187">
        <v>0</v>
      </c>
      <c r="CD72" s="187">
        <v>0</v>
      </c>
      <c r="CE72" s="187">
        <v>0</v>
      </c>
      <c r="CF72" s="187">
        <v>0</v>
      </c>
      <c r="CG72" s="187">
        <v>0</v>
      </c>
      <c r="CH72" s="187">
        <v>0</v>
      </c>
      <c r="CI72" s="187">
        <v>0</v>
      </c>
    </row>
    <row r="73" spans="2:87" ht="15" customHeight="1">
      <c r="B73" s="146" t="s">
        <v>201</v>
      </c>
      <c r="C73" s="152" t="s">
        <v>4</v>
      </c>
      <c r="D73" s="176">
        <f>SUM(E73:CI73)</f>
        <v>579341</v>
      </c>
      <c r="E73" s="218">
        <v>28093</v>
      </c>
      <c r="F73" s="218">
        <v>4034</v>
      </c>
      <c r="G73" s="218">
        <v>40564</v>
      </c>
      <c r="H73" s="218">
        <v>1909</v>
      </c>
      <c r="I73" s="218">
        <v>10190</v>
      </c>
      <c r="J73" s="218">
        <v>15810</v>
      </c>
      <c r="K73" s="218">
        <v>541</v>
      </c>
      <c r="L73" s="218">
        <v>650</v>
      </c>
      <c r="M73" s="218">
        <v>30869</v>
      </c>
      <c r="N73" s="218">
        <v>8967</v>
      </c>
      <c r="O73" s="218">
        <v>42902</v>
      </c>
      <c r="P73" s="218">
        <v>4525</v>
      </c>
      <c r="Q73" s="218">
        <v>2880</v>
      </c>
      <c r="R73" s="218">
        <v>28323</v>
      </c>
      <c r="S73" s="218">
        <v>138999</v>
      </c>
      <c r="T73" s="218">
        <v>1902</v>
      </c>
      <c r="U73" s="218">
        <v>423</v>
      </c>
      <c r="V73" s="218">
        <v>1024</v>
      </c>
      <c r="W73" s="218">
        <v>0</v>
      </c>
      <c r="X73" s="218">
        <v>0</v>
      </c>
      <c r="Y73" s="218">
        <v>0</v>
      </c>
      <c r="Z73" s="218">
        <v>0</v>
      </c>
      <c r="AA73" s="218">
        <v>0</v>
      </c>
      <c r="AB73" s="218">
        <v>0</v>
      </c>
      <c r="AC73" s="218">
        <v>0</v>
      </c>
      <c r="AD73" s="218">
        <v>0</v>
      </c>
      <c r="AE73" s="218">
        <v>26231</v>
      </c>
      <c r="AF73" s="218">
        <v>1252</v>
      </c>
      <c r="AG73" s="218">
        <v>0</v>
      </c>
      <c r="AH73" s="218">
        <v>0</v>
      </c>
      <c r="AI73" s="218">
        <v>0</v>
      </c>
      <c r="AJ73" s="218">
        <v>0</v>
      </c>
      <c r="AK73" s="218">
        <v>0</v>
      </c>
      <c r="AL73" s="218">
        <v>0</v>
      </c>
      <c r="AM73" s="218">
        <v>0</v>
      </c>
      <c r="AN73" s="218">
        <v>0</v>
      </c>
      <c r="AO73" s="218">
        <v>0</v>
      </c>
      <c r="AP73" s="218">
        <v>0</v>
      </c>
      <c r="AQ73" s="218">
        <v>0</v>
      </c>
      <c r="AR73" s="218">
        <v>0</v>
      </c>
      <c r="AS73" s="218">
        <v>0</v>
      </c>
      <c r="AT73" s="218">
        <v>0</v>
      </c>
      <c r="AU73" s="218">
        <v>0</v>
      </c>
      <c r="AV73" s="218">
        <v>0</v>
      </c>
      <c r="AW73" s="218">
        <v>0</v>
      </c>
      <c r="AX73" s="218">
        <v>8856</v>
      </c>
      <c r="AY73" s="218">
        <v>4045</v>
      </c>
      <c r="AZ73" s="218">
        <v>25181</v>
      </c>
      <c r="BA73" s="218">
        <v>8212</v>
      </c>
      <c r="BB73" s="218">
        <v>6314</v>
      </c>
      <c r="BC73" s="218">
        <v>842</v>
      </c>
      <c r="BD73" s="218">
        <v>6098</v>
      </c>
      <c r="BE73" s="218">
        <v>58167</v>
      </c>
      <c r="BF73" s="218">
        <v>28327</v>
      </c>
      <c r="BG73" s="218">
        <v>4815</v>
      </c>
      <c r="BH73" s="218">
        <v>12101</v>
      </c>
      <c r="BI73" s="218">
        <v>1729</v>
      </c>
      <c r="BJ73" s="218">
        <v>861</v>
      </c>
      <c r="BK73" s="218">
        <v>0</v>
      </c>
      <c r="BL73" s="218">
        <v>0</v>
      </c>
      <c r="BM73" s="218">
        <v>673</v>
      </c>
      <c r="BN73" s="218">
        <v>2797</v>
      </c>
      <c r="BO73" s="218">
        <v>3838</v>
      </c>
      <c r="BP73" s="218">
        <v>1951</v>
      </c>
      <c r="BQ73" s="218">
        <v>4917</v>
      </c>
      <c r="BR73" s="218">
        <v>827</v>
      </c>
      <c r="BS73" s="218">
        <v>423</v>
      </c>
      <c r="BT73" s="218">
        <v>8279</v>
      </c>
      <c r="BU73" s="218">
        <v>0</v>
      </c>
      <c r="BV73" s="218">
        <v>0</v>
      </c>
      <c r="BW73" s="218">
        <v>0</v>
      </c>
      <c r="BX73" s="218">
        <v>0</v>
      </c>
      <c r="BY73" s="218">
        <v>0</v>
      </c>
      <c r="BZ73" s="218">
        <v>0</v>
      </c>
      <c r="CA73" s="218">
        <v>0</v>
      </c>
      <c r="CB73" s="218">
        <v>0</v>
      </c>
      <c r="CC73" s="218">
        <v>0</v>
      </c>
      <c r="CD73" s="218">
        <v>0</v>
      </c>
      <c r="CE73" s="218">
        <v>0</v>
      </c>
      <c r="CF73" s="218">
        <v>0</v>
      </c>
      <c r="CG73" s="218">
        <v>0</v>
      </c>
      <c r="CH73" s="218">
        <v>0</v>
      </c>
      <c r="CI73" s="218">
        <v>0</v>
      </c>
    </row>
    <row r="74" spans="2:87" ht="15" customHeight="1">
      <c r="B74" s="148" t="s">
        <v>202</v>
      </c>
      <c r="C74" s="170" t="s">
        <v>118</v>
      </c>
      <c r="D74" s="89">
        <f t="shared" ref="D74" si="45">D70/(D71+D72)</f>
        <v>0.76012223596525053</v>
      </c>
      <c r="E74" s="89">
        <f t="shared" ref="E74:AJ74" si="46">E70/(E71+E72)</f>
        <v>0.76028934262731351</v>
      </c>
      <c r="F74" s="89">
        <f t="shared" si="46"/>
        <v>0.75972684630366261</v>
      </c>
      <c r="G74" s="89">
        <f t="shared" si="46"/>
        <v>0.76039085880325497</v>
      </c>
      <c r="H74" s="89">
        <f t="shared" si="46"/>
        <v>0.76041468855542804</v>
      </c>
      <c r="I74" s="89">
        <f t="shared" si="46"/>
        <v>0.76051570640410882</v>
      </c>
      <c r="J74" s="89">
        <f t="shared" si="46"/>
        <v>0.76048086103428703</v>
      </c>
      <c r="K74" s="89">
        <f t="shared" si="46"/>
        <v>0.76064331175365185</v>
      </c>
      <c r="L74" s="89">
        <f t="shared" si="46"/>
        <v>0.75983925254526918</v>
      </c>
      <c r="M74" s="89">
        <f t="shared" si="46"/>
        <v>0.76032290016055459</v>
      </c>
      <c r="N74" s="89">
        <f t="shared" si="46"/>
        <v>0.76054702799425067</v>
      </c>
      <c r="O74" s="89">
        <f t="shared" si="46"/>
        <v>0.76041643799846392</v>
      </c>
      <c r="P74" s="89">
        <f t="shared" si="46"/>
        <v>0.76050574167054363</v>
      </c>
      <c r="Q74" s="89">
        <f t="shared" si="46"/>
        <v>0.76121910345093824</v>
      </c>
      <c r="R74" s="89">
        <f t="shared" si="46"/>
        <v>0.76035319724497052</v>
      </c>
      <c r="S74" s="89">
        <f t="shared" si="46"/>
        <v>0.76021514813508462</v>
      </c>
      <c r="T74" s="89">
        <f t="shared" si="46"/>
        <v>0.76112329422108294</v>
      </c>
      <c r="U74" s="89">
        <f t="shared" si="46"/>
        <v>0.75940326478543763</v>
      </c>
      <c r="V74" s="89">
        <f t="shared" si="46"/>
        <v>0.75938610893999936</v>
      </c>
      <c r="W74" s="89" t="e">
        <f t="shared" si="46"/>
        <v>#DIV/0!</v>
      </c>
      <c r="X74" s="89" t="e">
        <f t="shared" si="46"/>
        <v>#DIV/0!</v>
      </c>
      <c r="Y74" s="89" t="e">
        <f t="shared" si="46"/>
        <v>#DIV/0!</v>
      </c>
      <c r="Z74" s="89" t="e">
        <f t="shared" si="46"/>
        <v>#DIV/0!</v>
      </c>
      <c r="AA74" s="89" t="e">
        <f t="shared" si="46"/>
        <v>#DIV/0!</v>
      </c>
      <c r="AB74" s="89" t="e">
        <f t="shared" si="46"/>
        <v>#DIV/0!</v>
      </c>
      <c r="AC74" s="89" t="e">
        <f t="shared" si="46"/>
        <v>#DIV/0!</v>
      </c>
      <c r="AD74" s="89" t="e">
        <f t="shared" si="46"/>
        <v>#DIV/0!</v>
      </c>
      <c r="AE74" s="89">
        <f t="shared" si="46"/>
        <v>0.7587136494268385</v>
      </c>
      <c r="AF74" s="89">
        <f t="shared" si="46"/>
        <v>0.76114860932421236</v>
      </c>
      <c r="AG74" s="89" t="e">
        <f t="shared" si="46"/>
        <v>#DIV/0!</v>
      </c>
      <c r="AH74" s="89" t="e">
        <f t="shared" si="46"/>
        <v>#DIV/0!</v>
      </c>
      <c r="AI74" s="89" t="e">
        <f t="shared" si="46"/>
        <v>#DIV/0!</v>
      </c>
      <c r="AJ74" s="89" t="e">
        <f t="shared" si="46"/>
        <v>#DIV/0!</v>
      </c>
      <c r="AK74" s="89" t="e">
        <f t="shared" ref="AK74:BP74" si="47">AK70/(AK71+AK72)</f>
        <v>#DIV/0!</v>
      </c>
      <c r="AL74" s="89" t="e">
        <f t="shared" si="47"/>
        <v>#DIV/0!</v>
      </c>
      <c r="AM74" s="89" t="e">
        <f t="shared" si="47"/>
        <v>#DIV/0!</v>
      </c>
      <c r="AN74" s="89" t="e">
        <f t="shared" si="47"/>
        <v>#DIV/0!</v>
      </c>
      <c r="AO74" s="89" t="e">
        <f t="shared" si="47"/>
        <v>#DIV/0!</v>
      </c>
      <c r="AP74" s="89" t="e">
        <f t="shared" si="47"/>
        <v>#DIV/0!</v>
      </c>
      <c r="AQ74" s="89" t="e">
        <f t="shared" si="47"/>
        <v>#DIV/0!</v>
      </c>
      <c r="AR74" s="89" t="e">
        <f t="shared" si="47"/>
        <v>#DIV/0!</v>
      </c>
      <c r="AS74" s="89" t="e">
        <f t="shared" si="47"/>
        <v>#DIV/0!</v>
      </c>
      <c r="AT74" s="89" t="e">
        <f t="shared" si="47"/>
        <v>#DIV/0!</v>
      </c>
      <c r="AU74" s="89" t="e">
        <f t="shared" si="47"/>
        <v>#DIV/0!</v>
      </c>
      <c r="AV74" s="89" t="e">
        <f t="shared" si="47"/>
        <v>#DIV/0!</v>
      </c>
      <c r="AW74" s="89" t="e">
        <f t="shared" si="47"/>
        <v>#DIV/0!</v>
      </c>
      <c r="AX74" s="89">
        <f t="shared" si="47"/>
        <v>0.76027149956306239</v>
      </c>
      <c r="AY74" s="89">
        <f t="shared" si="47"/>
        <v>0.76050795938586191</v>
      </c>
      <c r="AZ74" s="89">
        <f t="shared" si="47"/>
        <v>0.76034949804350549</v>
      </c>
      <c r="BA74" s="89">
        <f t="shared" si="47"/>
        <v>0.76043941494061906</v>
      </c>
      <c r="BB74" s="89">
        <f t="shared" si="47"/>
        <v>0.75933821208236763</v>
      </c>
      <c r="BC74" s="89">
        <f t="shared" si="47"/>
        <v>0.65611994733732981</v>
      </c>
      <c r="BD74" s="89">
        <f t="shared" si="47"/>
        <v>0.76033889717625869</v>
      </c>
      <c r="BE74" s="89">
        <f t="shared" si="47"/>
        <v>0.76016533079485293</v>
      </c>
      <c r="BF74" s="89">
        <f t="shared" si="47"/>
        <v>0.7586316486122745</v>
      </c>
      <c r="BG74" s="89">
        <f t="shared" si="47"/>
        <v>0.76111364121143532</v>
      </c>
      <c r="BH74" s="89">
        <f t="shared" si="47"/>
        <v>0.7596800177914329</v>
      </c>
      <c r="BI74" s="89">
        <f t="shared" si="47"/>
        <v>0.759360115296983</v>
      </c>
      <c r="BJ74" s="89">
        <f t="shared" si="47"/>
        <v>0.76040367816595389</v>
      </c>
      <c r="BK74" s="89" t="e">
        <f t="shared" si="47"/>
        <v>#DIV/0!</v>
      </c>
      <c r="BL74" s="89" t="e">
        <f t="shared" si="47"/>
        <v>#DIV/0!</v>
      </c>
      <c r="BM74" s="89">
        <f t="shared" si="47"/>
        <v>0.76113905179854191</v>
      </c>
      <c r="BN74" s="89">
        <f t="shared" si="47"/>
        <v>0.76030523330139888</v>
      </c>
      <c r="BO74" s="89">
        <f t="shared" si="47"/>
        <v>0.76053935751489921</v>
      </c>
      <c r="BP74" s="89">
        <f t="shared" si="47"/>
        <v>0.75971958905544168</v>
      </c>
      <c r="BQ74" s="89">
        <f t="shared" ref="BQ74:CI74" si="48">BQ70/(BQ71+BQ72)</f>
        <v>0.7603753982215522</v>
      </c>
      <c r="BR74" s="89">
        <f t="shared" si="48"/>
        <v>0.76046461727925196</v>
      </c>
      <c r="BS74" s="89">
        <f t="shared" si="48"/>
        <v>0.75940284093734534</v>
      </c>
      <c r="BT74" s="89">
        <f t="shared" si="48"/>
        <v>0.75938115362479586</v>
      </c>
      <c r="BU74" s="89" t="e">
        <f t="shared" si="48"/>
        <v>#DIV/0!</v>
      </c>
      <c r="BV74" s="89" t="e">
        <f t="shared" si="48"/>
        <v>#DIV/0!</v>
      </c>
      <c r="BW74" s="89" t="e">
        <f t="shared" si="48"/>
        <v>#DIV/0!</v>
      </c>
      <c r="BX74" s="89" t="e">
        <f t="shared" si="48"/>
        <v>#DIV/0!</v>
      </c>
      <c r="BY74" s="89" t="e">
        <f t="shared" si="48"/>
        <v>#DIV/0!</v>
      </c>
      <c r="BZ74" s="89" t="e">
        <f t="shared" si="48"/>
        <v>#DIV/0!</v>
      </c>
      <c r="CA74" s="89" t="e">
        <f t="shared" si="48"/>
        <v>#DIV/0!</v>
      </c>
      <c r="CB74" s="89" t="e">
        <f t="shared" si="48"/>
        <v>#DIV/0!</v>
      </c>
      <c r="CC74" s="89" t="e">
        <f t="shared" si="48"/>
        <v>#DIV/0!</v>
      </c>
      <c r="CD74" s="89" t="e">
        <f t="shared" si="48"/>
        <v>#DIV/0!</v>
      </c>
      <c r="CE74" s="89" t="e">
        <f t="shared" si="48"/>
        <v>#DIV/0!</v>
      </c>
      <c r="CF74" s="89" t="e">
        <f t="shared" si="48"/>
        <v>#DIV/0!</v>
      </c>
      <c r="CG74" s="89" t="e">
        <f t="shared" si="48"/>
        <v>#DIV/0!</v>
      </c>
      <c r="CH74" s="89" t="e">
        <f t="shared" si="48"/>
        <v>#DIV/0!</v>
      </c>
      <c r="CI74" s="89" t="e">
        <f t="shared" si="48"/>
        <v>#DIV/0!</v>
      </c>
    </row>
    <row r="75" spans="2:87" ht="15" customHeight="1">
      <c r="C75" s="78" t="s">
        <v>120</v>
      </c>
    </row>
    <row r="76" spans="2:87" ht="15" customHeight="1">
      <c r="B76" s="146" t="s">
        <v>203</v>
      </c>
      <c r="C76" s="152" t="s">
        <v>86</v>
      </c>
      <c r="D76" s="107">
        <f t="shared" ref="D76" si="49">D66/D73</f>
        <v>779.62017113877471</v>
      </c>
      <c r="E76" s="107">
        <f t="shared" ref="E76:AJ76" si="50">E66/E73</f>
        <v>881.20508035218734</v>
      </c>
      <c r="F76" s="107">
        <f t="shared" si="50"/>
        <v>793.39285822772933</v>
      </c>
      <c r="G76" s="107">
        <f t="shared" si="50"/>
        <v>764.7388256776452</v>
      </c>
      <c r="H76" s="107">
        <f t="shared" si="50"/>
        <v>889.33640386292302</v>
      </c>
      <c r="I76" s="107">
        <f t="shared" si="50"/>
        <v>904.08306475334541</v>
      </c>
      <c r="J76" s="107">
        <f t="shared" si="50"/>
        <v>784.16249981821636</v>
      </c>
      <c r="K76" s="107">
        <f t="shared" si="50"/>
        <v>923.64187157215895</v>
      </c>
      <c r="L76" s="107">
        <f t="shared" si="50"/>
        <v>808.47836865244778</v>
      </c>
      <c r="M76" s="107">
        <f t="shared" si="50"/>
        <v>889.98970208215042</v>
      </c>
      <c r="N76" s="107">
        <f t="shared" si="50"/>
        <v>913.18349416195269</v>
      </c>
      <c r="O76" s="107">
        <f t="shared" si="50"/>
        <v>772.37701986887328</v>
      </c>
      <c r="P76" s="107">
        <f t="shared" si="50"/>
        <v>792.06984081007511</v>
      </c>
      <c r="Q76" s="107">
        <f t="shared" si="50"/>
        <v>1032.5694506920418</v>
      </c>
      <c r="R76" s="107">
        <f t="shared" si="50"/>
        <v>879.71378899429089</v>
      </c>
      <c r="S76" s="107">
        <f t="shared" si="50"/>
        <v>754.43517556365873</v>
      </c>
      <c r="T76" s="107">
        <f t="shared" si="50"/>
        <v>1021.6281047780599</v>
      </c>
      <c r="U76" s="107">
        <f t="shared" si="50"/>
        <v>733.39787546769264</v>
      </c>
      <c r="V76" s="107">
        <f t="shared" si="50"/>
        <v>743.78878100726467</v>
      </c>
      <c r="W76" s="107" t="e">
        <f t="shared" si="50"/>
        <v>#DIV/0!</v>
      </c>
      <c r="X76" s="107" t="e">
        <f t="shared" si="50"/>
        <v>#DIV/0!</v>
      </c>
      <c r="Y76" s="107" t="e">
        <f t="shared" si="50"/>
        <v>#DIV/0!</v>
      </c>
      <c r="Z76" s="107" t="e">
        <f t="shared" si="50"/>
        <v>#DIV/0!</v>
      </c>
      <c r="AA76" s="107" t="e">
        <f t="shared" si="50"/>
        <v>#DIV/0!</v>
      </c>
      <c r="AB76" s="107" t="e">
        <f t="shared" si="50"/>
        <v>#DIV/0!</v>
      </c>
      <c r="AC76" s="107" t="e">
        <f t="shared" si="50"/>
        <v>#DIV/0!</v>
      </c>
      <c r="AD76" s="107" t="e">
        <f t="shared" si="50"/>
        <v>#DIV/0!</v>
      </c>
      <c r="AE76" s="107">
        <f t="shared" si="50"/>
        <v>689.77321404229724</v>
      </c>
      <c r="AF76" s="107">
        <f t="shared" si="50"/>
        <v>1031.8878689483947</v>
      </c>
      <c r="AG76" s="107" t="e">
        <f t="shared" si="50"/>
        <v>#DIV/0!</v>
      </c>
      <c r="AH76" s="107" t="e">
        <f t="shared" si="50"/>
        <v>#DIV/0!</v>
      </c>
      <c r="AI76" s="107" t="e">
        <f t="shared" si="50"/>
        <v>#DIV/0!</v>
      </c>
      <c r="AJ76" s="107" t="e">
        <f t="shared" si="50"/>
        <v>#DIV/0!</v>
      </c>
      <c r="AK76" s="107" t="e">
        <f t="shared" ref="AK76:BP76" si="51">AK66/AK73</f>
        <v>#DIV/0!</v>
      </c>
      <c r="AL76" s="107" t="e">
        <f t="shared" si="51"/>
        <v>#DIV/0!</v>
      </c>
      <c r="AM76" s="107" t="e">
        <f t="shared" si="51"/>
        <v>#DIV/0!</v>
      </c>
      <c r="AN76" s="107" t="e">
        <f t="shared" si="51"/>
        <v>#DIV/0!</v>
      </c>
      <c r="AO76" s="107" t="e">
        <f t="shared" si="51"/>
        <v>#DIV/0!</v>
      </c>
      <c r="AP76" s="107" t="e">
        <f t="shared" si="51"/>
        <v>#DIV/0!</v>
      </c>
      <c r="AQ76" s="107" t="e">
        <f t="shared" si="51"/>
        <v>#DIV/0!</v>
      </c>
      <c r="AR76" s="107" t="e">
        <f t="shared" si="51"/>
        <v>#DIV/0!</v>
      </c>
      <c r="AS76" s="107" t="e">
        <f t="shared" si="51"/>
        <v>#DIV/0!</v>
      </c>
      <c r="AT76" s="107" t="e">
        <f t="shared" si="51"/>
        <v>#DIV/0!</v>
      </c>
      <c r="AU76" s="107" t="e">
        <f t="shared" si="51"/>
        <v>#DIV/0!</v>
      </c>
      <c r="AV76" s="107" t="e">
        <f t="shared" si="51"/>
        <v>#DIV/0!</v>
      </c>
      <c r="AW76" s="107" t="e">
        <f t="shared" si="51"/>
        <v>#DIV/0!</v>
      </c>
      <c r="AX76" s="107">
        <f t="shared" si="51"/>
        <v>847.80979073088861</v>
      </c>
      <c r="AY76" s="107">
        <f t="shared" si="51"/>
        <v>869.67826312673674</v>
      </c>
      <c r="AZ76" s="107">
        <f t="shared" si="51"/>
        <v>733.08057323252058</v>
      </c>
      <c r="BA76" s="107">
        <f t="shared" si="51"/>
        <v>752.07834545347305</v>
      </c>
      <c r="BB76" s="107">
        <f t="shared" si="51"/>
        <v>714.70598912510297</v>
      </c>
      <c r="BC76" s="107">
        <f t="shared" si="51"/>
        <v>398.77450355648341</v>
      </c>
      <c r="BD76" s="107">
        <f t="shared" si="51"/>
        <v>845.68649873471622</v>
      </c>
      <c r="BE76" s="107">
        <f t="shared" si="51"/>
        <v>723.90700209432839</v>
      </c>
      <c r="BF76" s="107">
        <f t="shared" si="51"/>
        <v>660.75757647432488</v>
      </c>
      <c r="BG76" s="107">
        <f t="shared" si="51"/>
        <v>973.90903200516721</v>
      </c>
      <c r="BH76" s="107">
        <f t="shared" si="51"/>
        <v>760.97136049151311</v>
      </c>
      <c r="BI76" s="107">
        <f t="shared" si="51"/>
        <v>704.19525413604401</v>
      </c>
      <c r="BJ76" s="107">
        <f t="shared" si="51"/>
        <v>855.33666538651687</v>
      </c>
      <c r="BK76" s="107" t="e">
        <f t="shared" si="51"/>
        <v>#DIV/0!</v>
      </c>
      <c r="BL76" s="107" t="e">
        <f t="shared" si="51"/>
        <v>#DIV/0!</v>
      </c>
      <c r="BM76" s="107">
        <f t="shared" si="51"/>
        <v>984.04499821332104</v>
      </c>
      <c r="BN76" s="107">
        <f t="shared" si="51"/>
        <v>856.39715209633175</v>
      </c>
      <c r="BO76" s="107">
        <f t="shared" si="51"/>
        <v>878.30637456650084</v>
      </c>
      <c r="BP76" s="107">
        <f t="shared" si="51"/>
        <v>768.5828863164736</v>
      </c>
      <c r="BQ76" s="107">
        <f t="shared" ref="BQ76:CI76" si="52">BQ66/BQ73</f>
        <v>740.43385664842992</v>
      </c>
      <c r="BR76" s="107">
        <f t="shared" si="52"/>
        <v>759.6791336938295</v>
      </c>
      <c r="BS76" s="107">
        <f t="shared" si="52"/>
        <v>710.57385048648234</v>
      </c>
      <c r="BT76" s="107">
        <f t="shared" si="52"/>
        <v>721.8128613408129</v>
      </c>
      <c r="BU76" s="107" t="e">
        <f t="shared" si="52"/>
        <v>#DIV/0!</v>
      </c>
      <c r="BV76" s="107" t="e">
        <f t="shared" si="52"/>
        <v>#DIV/0!</v>
      </c>
      <c r="BW76" s="107" t="e">
        <f t="shared" si="52"/>
        <v>#DIV/0!</v>
      </c>
      <c r="BX76" s="107" t="e">
        <f t="shared" si="52"/>
        <v>#DIV/0!</v>
      </c>
      <c r="BY76" s="107" t="e">
        <f t="shared" si="52"/>
        <v>#DIV/0!</v>
      </c>
      <c r="BZ76" s="107" t="e">
        <f t="shared" si="52"/>
        <v>#DIV/0!</v>
      </c>
      <c r="CA76" s="107" t="e">
        <f t="shared" si="52"/>
        <v>#DIV/0!</v>
      </c>
      <c r="CB76" s="107" t="e">
        <f t="shared" si="52"/>
        <v>#DIV/0!</v>
      </c>
      <c r="CC76" s="107" t="e">
        <f t="shared" si="52"/>
        <v>#DIV/0!</v>
      </c>
      <c r="CD76" s="107" t="e">
        <f t="shared" si="52"/>
        <v>#DIV/0!</v>
      </c>
      <c r="CE76" s="107" t="e">
        <f t="shared" si="52"/>
        <v>#DIV/0!</v>
      </c>
      <c r="CF76" s="107" t="e">
        <f t="shared" si="52"/>
        <v>#DIV/0!</v>
      </c>
      <c r="CG76" s="107" t="e">
        <f t="shared" si="52"/>
        <v>#DIV/0!</v>
      </c>
      <c r="CH76" s="107" t="e">
        <f t="shared" si="52"/>
        <v>#DIV/0!</v>
      </c>
      <c r="CI76" s="107" t="e">
        <f t="shared" si="52"/>
        <v>#DIV/0!</v>
      </c>
    </row>
    <row r="77" spans="2:87" ht="15" customHeight="1">
      <c r="B77" s="146" t="s">
        <v>204</v>
      </c>
      <c r="C77" s="152" t="s">
        <v>87</v>
      </c>
      <c r="D77" s="86">
        <f t="shared" ref="D77" si="53">D67/D73</f>
        <v>158.75294177569501</v>
      </c>
      <c r="E77" s="86">
        <f t="shared" ref="E77:AJ77" si="54">E67/E73</f>
        <v>163.68980699767238</v>
      </c>
      <c r="F77" s="86">
        <f t="shared" si="54"/>
        <v>140.356851497088</v>
      </c>
      <c r="G77" s="86">
        <f t="shared" si="54"/>
        <v>168.74671366660735</v>
      </c>
      <c r="H77" s="86">
        <f t="shared" si="54"/>
        <v>170.01503220591357</v>
      </c>
      <c r="I77" s="86">
        <f t="shared" si="54"/>
        <v>175.40940701376252</v>
      </c>
      <c r="J77" s="86">
        <f t="shared" si="54"/>
        <v>173.49525962987602</v>
      </c>
      <c r="K77" s="86">
        <f t="shared" si="54"/>
        <v>182.70745912787524</v>
      </c>
      <c r="L77" s="86">
        <f t="shared" si="54"/>
        <v>144.55520399593001</v>
      </c>
      <c r="M77" s="86">
        <f t="shared" si="54"/>
        <v>165.32286296560045</v>
      </c>
      <c r="N77" s="86">
        <f t="shared" si="54"/>
        <v>177.17680254996432</v>
      </c>
      <c r="O77" s="86">
        <f t="shared" si="54"/>
        <v>170.06888263863573</v>
      </c>
      <c r="P77" s="86">
        <f t="shared" si="54"/>
        <v>174.87134643987028</v>
      </c>
      <c r="Q77" s="86">
        <f t="shared" si="54"/>
        <v>225.66552974261111</v>
      </c>
      <c r="R77" s="86">
        <f t="shared" si="54"/>
        <v>166.83255417501996</v>
      </c>
      <c r="S77" s="86">
        <f t="shared" si="54"/>
        <v>160.17765258439775</v>
      </c>
      <c r="T77" s="86">
        <f t="shared" si="54"/>
        <v>217.13494153786172</v>
      </c>
      <c r="U77" s="86">
        <f t="shared" si="54"/>
        <v>129.62883990670969</v>
      </c>
      <c r="V77" s="86">
        <f t="shared" si="54"/>
        <v>129.2401940039795</v>
      </c>
      <c r="W77" s="86" t="e">
        <f t="shared" si="54"/>
        <v>#DIV/0!</v>
      </c>
      <c r="X77" s="86" t="e">
        <f t="shared" si="54"/>
        <v>#DIV/0!</v>
      </c>
      <c r="Y77" s="86" t="e">
        <f t="shared" si="54"/>
        <v>#DIV/0!</v>
      </c>
      <c r="Z77" s="86" t="e">
        <f t="shared" si="54"/>
        <v>#DIV/0!</v>
      </c>
      <c r="AA77" s="86" t="e">
        <f t="shared" si="54"/>
        <v>#DIV/0!</v>
      </c>
      <c r="AB77" s="86" t="e">
        <f t="shared" si="54"/>
        <v>#DIV/0!</v>
      </c>
      <c r="AC77" s="86" t="e">
        <f t="shared" si="54"/>
        <v>#DIV/0!</v>
      </c>
      <c r="AD77" s="86" t="e">
        <f t="shared" si="54"/>
        <v>#DIV/0!</v>
      </c>
      <c r="AE77" s="86">
        <f t="shared" si="54"/>
        <v>111.7129192810076</v>
      </c>
      <c r="AF77" s="86">
        <f t="shared" si="54"/>
        <v>219.31899772405751</v>
      </c>
      <c r="AG77" s="86" t="e">
        <f t="shared" si="54"/>
        <v>#DIV/0!</v>
      </c>
      <c r="AH77" s="86" t="e">
        <f t="shared" si="54"/>
        <v>#DIV/0!</v>
      </c>
      <c r="AI77" s="86" t="e">
        <f t="shared" si="54"/>
        <v>#DIV/0!</v>
      </c>
      <c r="AJ77" s="86" t="e">
        <f t="shared" si="54"/>
        <v>#DIV/0!</v>
      </c>
      <c r="AK77" s="86" t="e">
        <f t="shared" ref="AK77:BP77" si="55">AK67/AK73</f>
        <v>#DIV/0!</v>
      </c>
      <c r="AL77" s="86" t="e">
        <f t="shared" si="55"/>
        <v>#DIV/0!</v>
      </c>
      <c r="AM77" s="86" t="e">
        <f t="shared" si="55"/>
        <v>#DIV/0!</v>
      </c>
      <c r="AN77" s="86" t="e">
        <f t="shared" si="55"/>
        <v>#DIV/0!</v>
      </c>
      <c r="AO77" s="86" t="e">
        <f t="shared" si="55"/>
        <v>#DIV/0!</v>
      </c>
      <c r="AP77" s="86" t="e">
        <f t="shared" si="55"/>
        <v>#DIV/0!</v>
      </c>
      <c r="AQ77" s="86" t="e">
        <f t="shared" si="55"/>
        <v>#DIV/0!</v>
      </c>
      <c r="AR77" s="86" t="e">
        <f t="shared" si="55"/>
        <v>#DIV/0!</v>
      </c>
      <c r="AS77" s="86" t="e">
        <f t="shared" si="55"/>
        <v>#DIV/0!</v>
      </c>
      <c r="AT77" s="86" t="e">
        <f t="shared" si="55"/>
        <v>#DIV/0!</v>
      </c>
      <c r="AU77" s="86" t="e">
        <f t="shared" si="55"/>
        <v>#DIV/0!</v>
      </c>
      <c r="AV77" s="86" t="e">
        <f t="shared" si="55"/>
        <v>#DIV/0!</v>
      </c>
      <c r="AW77" s="86" t="e">
        <f t="shared" si="55"/>
        <v>#DIV/0!</v>
      </c>
      <c r="AX77" s="86">
        <f t="shared" si="55"/>
        <v>162.83572615263776</v>
      </c>
      <c r="AY77" s="86">
        <f t="shared" si="55"/>
        <v>174.99007485201309</v>
      </c>
      <c r="AZ77" s="86">
        <f t="shared" si="55"/>
        <v>166.6450092951392</v>
      </c>
      <c r="BA77" s="86">
        <f t="shared" si="55"/>
        <v>171.26884830625303</v>
      </c>
      <c r="BB77" s="86">
        <f t="shared" si="55"/>
        <v>127.80359001563114</v>
      </c>
      <c r="BC77" s="86">
        <f t="shared" si="55"/>
        <v>95.430884559460921</v>
      </c>
      <c r="BD77" s="86">
        <f t="shared" si="55"/>
        <v>166.12174459203837</v>
      </c>
      <c r="BE77" s="86">
        <f t="shared" si="55"/>
        <v>157.90610576893772</v>
      </c>
      <c r="BF77" s="86">
        <f t="shared" si="55"/>
        <v>109.89757004323543</v>
      </c>
      <c r="BG77" s="86">
        <f t="shared" si="55"/>
        <v>216.3211876032627</v>
      </c>
      <c r="BH77" s="86">
        <f t="shared" si="55"/>
        <v>138.72352220943725</v>
      </c>
      <c r="BI77" s="86">
        <f t="shared" si="55"/>
        <v>128.45266372416657</v>
      </c>
      <c r="BJ77" s="86">
        <f t="shared" si="55"/>
        <v>169.50255579265738</v>
      </c>
      <c r="BK77" s="86" t="e">
        <f t="shared" si="55"/>
        <v>#DIV/0!</v>
      </c>
      <c r="BL77" s="86" t="e">
        <f t="shared" si="55"/>
        <v>#DIV/0!</v>
      </c>
      <c r="BM77" s="86">
        <f t="shared" si="55"/>
        <v>218.57598454578454</v>
      </c>
      <c r="BN77" s="86">
        <f t="shared" si="55"/>
        <v>164.48628701355776</v>
      </c>
      <c r="BO77" s="86">
        <f t="shared" si="55"/>
        <v>176.72787837180093</v>
      </c>
      <c r="BP77" s="86">
        <f t="shared" si="55"/>
        <v>140.11130829924193</v>
      </c>
      <c r="BQ77" s="86">
        <f t="shared" ref="BQ77:CI77" si="56">BQ67/BQ73</f>
        <v>167.95775512522616</v>
      </c>
      <c r="BR77" s="86">
        <f t="shared" si="56"/>
        <v>172.63107882964087</v>
      </c>
      <c r="BS77" s="86">
        <f t="shared" si="56"/>
        <v>129.61598248133498</v>
      </c>
      <c r="BT77" s="86">
        <f t="shared" si="56"/>
        <v>129.07420786052663</v>
      </c>
      <c r="BU77" s="86" t="e">
        <f t="shared" si="56"/>
        <v>#DIV/0!</v>
      </c>
      <c r="BV77" s="86" t="e">
        <f t="shared" si="56"/>
        <v>#DIV/0!</v>
      </c>
      <c r="BW77" s="86" t="e">
        <f t="shared" si="56"/>
        <v>#DIV/0!</v>
      </c>
      <c r="BX77" s="86" t="e">
        <f t="shared" si="56"/>
        <v>#DIV/0!</v>
      </c>
      <c r="BY77" s="86" t="e">
        <f t="shared" si="56"/>
        <v>#DIV/0!</v>
      </c>
      <c r="BZ77" s="86" t="e">
        <f t="shared" si="56"/>
        <v>#DIV/0!</v>
      </c>
      <c r="CA77" s="86" t="e">
        <f t="shared" si="56"/>
        <v>#DIV/0!</v>
      </c>
      <c r="CB77" s="86" t="e">
        <f t="shared" si="56"/>
        <v>#DIV/0!</v>
      </c>
      <c r="CC77" s="86" t="e">
        <f t="shared" si="56"/>
        <v>#DIV/0!</v>
      </c>
      <c r="CD77" s="86" t="e">
        <f t="shared" si="56"/>
        <v>#DIV/0!</v>
      </c>
      <c r="CE77" s="86" t="e">
        <f t="shared" si="56"/>
        <v>#DIV/0!</v>
      </c>
      <c r="CF77" s="86" t="e">
        <f t="shared" si="56"/>
        <v>#DIV/0!</v>
      </c>
      <c r="CG77" s="86" t="e">
        <f t="shared" si="56"/>
        <v>#DIV/0!</v>
      </c>
      <c r="CH77" s="86" t="e">
        <f t="shared" si="56"/>
        <v>#DIV/0!</v>
      </c>
      <c r="CI77" s="86" t="e">
        <f t="shared" si="56"/>
        <v>#DIV/0!</v>
      </c>
    </row>
    <row r="78" spans="2:87" ht="15" customHeight="1">
      <c r="B78" s="146" t="s">
        <v>205</v>
      </c>
      <c r="C78" s="152" t="s">
        <v>111</v>
      </c>
      <c r="D78" s="107">
        <f t="shared" ref="D78" si="57">D68/D73</f>
        <v>128.51744596790249</v>
      </c>
      <c r="E78" s="107">
        <f t="shared" ref="E78:AJ78" si="58">E68/E73</f>
        <v>209.61076356324281</v>
      </c>
      <c r="F78" s="107">
        <f t="shared" si="58"/>
        <v>217.85230667689785</v>
      </c>
      <c r="G78" s="107">
        <f t="shared" si="58"/>
        <v>72.32687990125973</v>
      </c>
      <c r="H78" s="107">
        <f t="shared" si="58"/>
        <v>191.70368066347461</v>
      </c>
      <c r="I78" s="107">
        <f t="shared" si="58"/>
        <v>184.24296910994801</v>
      </c>
      <c r="J78" s="107">
        <f t="shared" si="58"/>
        <v>72.202299892006963</v>
      </c>
      <c r="K78" s="107">
        <f t="shared" si="58"/>
        <v>173.75708935354916</v>
      </c>
      <c r="L78" s="107">
        <f t="shared" si="58"/>
        <v>215.65594079076155</v>
      </c>
      <c r="M78" s="107">
        <f t="shared" si="58"/>
        <v>211.67256422163271</v>
      </c>
      <c r="N78" s="107">
        <f t="shared" si="58"/>
        <v>186.06776326523922</v>
      </c>
      <c r="O78" s="107">
        <f t="shared" si="58"/>
        <v>74.52211476364738</v>
      </c>
      <c r="P78" s="107">
        <f t="shared" si="58"/>
        <v>74.444934300323538</v>
      </c>
      <c r="Q78" s="107">
        <f t="shared" si="58"/>
        <v>105.84190992478612</v>
      </c>
      <c r="R78" s="107">
        <f t="shared" si="58"/>
        <v>195.18178327301169</v>
      </c>
      <c r="S78" s="107">
        <f t="shared" si="58"/>
        <v>97.299194252834909</v>
      </c>
      <c r="T78" s="107">
        <f t="shared" si="58"/>
        <v>130.01753788744165</v>
      </c>
      <c r="U78" s="107">
        <f t="shared" si="58"/>
        <v>202.01927749263899</v>
      </c>
      <c r="V78" s="107">
        <f t="shared" si="58"/>
        <v>214.01238128699023</v>
      </c>
      <c r="W78" s="107" t="e">
        <f t="shared" si="58"/>
        <v>#DIV/0!</v>
      </c>
      <c r="X78" s="107" t="e">
        <f t="shared" si="58"/>
        <v>#DIV/0!</v>
      </c>
      <c r="Y78" s="107" t="e">
        <f t="shared" si="58"/>
        <v>#DIV/0!</v>
      </c>
      <c r="Z78" s="107" t="e">
        <f t="shared" si="58"/>
        <v>#DIV/0!</v>
      </c>
      <c r="AA78" s="107" t="e">
        <f t="shared" si="58"/>
        <v>#DIV/0!</v>
      </c>
      <c r="AB78" s="107" t="e">
        <f t="shared" si="58"/>
        <v>#DIV/0!</v>
      </c>
      <c r="AC78" s="107" t="e">
        <f t="shared" si="58"/>
        <v>#DIV/0!</v>
      </c>
      <c r="AD78" s="107" t="e">
        <f t="shared" si="58"/>
        <v>#DIV/0!</v>
      </c>
      <c r="AE78" s="107">
        <f t="shared" si="58"/>
        <v>232.15052541686174</v>
      </c>
      <c r="AF78" s="107">
        <f t="shared" si="58"/>
        <v>131.286360368619</v>
      </c>
      <c r="AG78" s="107" t="e">
        <f t="shared" si="58"/>
        <v>#DIV/0!</v>
      </c>
      <c r="AH78" s="107" t="e">
        <f t="shared" si="58"/>
        <v>#DIV/0!</v>
      </c>
      <c r="AI78" s="107" t="e">
        <f t="shared" si="58"/>
        <v>#DIV/0!</v>
      </c>
      <c r="AJ78" s="107" t="e">
        <f t="shared" si="58"/>
        <v>#DIV/0!</v>
      </c>
      <c r="AK78" s="107" t="e">
        <f t="shared" ref="AK78:BP78" si="59">AK68/AK73</f>
        <v>#DIV/0!</v>
      </c>
      <c r="AL78" s="107" t="e">
        <f t="shared" si="59"/>
        <v>#DIV/0!</v>
      </c>
      <c r="AM78" s="107" t="e">
        <f t="shared" si="59"/>
        <v>#DIV/0!</v>
      </c>
      <c r="AN78" s="107" t="e">
        <f t="shared" si="59"/>
        <v>#DIV/0!</v>
      </c>
      <c r="AO78" s="107" t="e">
        <f t="shared" si="59"/>
        <v>#DIV/0!</v>
      </c>
      <c r="AP78" s="107" t="e">
        <f t="shared" si="59"/>
        <v>#DIV/0!</v>
      </c>
      <c r="AQ78" s="107" t="e">
        <f t="shared" si="59"/>
        <v>#DIV/0!</v>
      </c>
      <c r="AR78" s="107" t="e">
        <f t="shared" si="59"/>
        <v>#DIV/0!</v>
      </c>
      <c r="AS78" s="107" t="e">
        <f t="shared" si="59"/>
        <v>#DIV/0!</v>
      </c>
      <c r="AT78" s="107" t="e">
        <f t="shared" si="59"/>
        <v>#DIV/0!</v>
      </c>
      <c r="AU78" s="107" t="e">
        <f t="shared" si="59"/>
        <v>#DIV/0!</v>
      </c>
      <c r="AV78" s="107" t="e">
        <f t="shared" si="59"/>
        <v>#DIV/0!</v>
      </c>
      <c r="AW78" s="107" t="e">
        <f t="shared" si="59"/>
        <v>#DIV/0!</v>
      </c>
      <c r="AX78" s="107">
        <f t="shared" si="59"/>
        <v>179.73149511457092</v>
      </c>
      <c r="AY78" s="107">
        <f t="shared" si="59"/>
        <v>151.564543390002</v>
      </c>
      <c r="AZ78" s="107">
        <f t="shared" si="59"/>
        <v>49.320600261596439</v>
      </c>
      <c r="BA78" s="107">
        <f t="shared" si="59"/>
        <v>49.283481539713833</v>
      </c>
      <c r="BB78" s="107">
        <f t="shared" si="59"/>
        <v>190.84344310880425</v>
      </c>
      <c r="BC78" s="107">
        <f t="shared" si="59"/>
        <v>123.89817005684087</v>
      </c>
      <c r="BD78" s="107">
        <f t="shared" si="59"/>
        <v>164.08071653922434</v>
      </c>
      <c r="BE78" s="107">
        <f t="shared" si="59"/>
        <v>76.122247291583022</v>
      </c>
      <c r="BF78" s="107">
        <f t="shared" si="59"/>
        <v>210.60809308826737</v>
      </c>
      <c r="BG78" s="107">
        <f t="shared" si="59"/>
        <v>85.648465042794811</v>
      </c>
      <c r="BH78" s="107">
        <f t="shared" si="59"/>
        <v>192.15487239483099</v>
      </c>
      <c r="BI78" s="107">
        <f t="shared" si="59"/>
        <v>177.66069478401042</v>
      </c>
      <c r="BJ78" s="107">
        <f t="shared" si="59"/>
        <v>159.81443350979794</v>
      </c>
      <c r="BK78" s="107" t="e">
        <f t="shared" si="59"/>
        <v>#DIV/0!</v>
      </c>
      <c r="BL78" s="107" t="e">
        <f t="shared" si="59"/>
        <v>#DIV/0!</v>
      </c>
      <c r="BM78" s="107">
        <f t="shared" si="59"/>
        <v>86.503090678613376</v>
      </c>
      <c r="BN78" s="107">
        <f t="shared" si="59"/>
        <v>181.52433198235286</v>
      </c>
      <c r="BO78" s="107">
        <f t="shared" si="59"/>
        <v>153.03851556980561</v>
      </c>
      <c r="BP78" s="107">
        <f t="shared" si="59"/>
        <v>194.05334718316917</v>
      </c>
      <c r="BQ78" s="107">
        <f t="shared" ref="BQ78:CI78" si="60">BQ68/BQ73</f>
        <v>51.269811922190968</v>
      </c>
      <c r="BR78" s="107">
        <f t="shared" si="60"/>
        <v>51.276655505744621</v>
      </c>
      <c r="BS78" s="107">
        <f t="shared" si="60"/>
        <v>179.24818227956192</v>
      </c>
      <c r="BT78" s="107">
        <f t="shared" si="60"/>
        <v>192.71947590479527</v>
      </c>
      <c r="BU78" s="107" t="e">
        <f t="shared" si="60"/>
        <v>#DIV/0!</v>
      </c>
      <c r="BV78" s="107" t="e">
        <f t="shared" si="60"/>
        <v>#DIV/0!</v>
      </c>
      <c r="BW78" s="107" t="e">
        <f t="shared" si="60"/>
        <v>#DIV/0!</v>
      </c>
      <c r="BX78" s="107" t="e">
        <f t="shared" si="60"/>
        <v>#DIV/0!</v>
      </c>
      <c r="BY78" s="107" t="e">
        <f t="shared" si="60"/>
        <v>#DIV/0!</v>
      </c>
      <c r="BZ78" s="107" t="e">
        <f t="shared" si="60"/>
        <v>#DIV/0!</v>
      </c>
      <c r="CA78" s="107" t="e">
        <f t="shared" si="60"/>
        <v>#DIV/0!</v>
      </c>
      <c r="CB78" s="107" t="e">
        <f t="shared" si="60"/>
        <v>#DIV/0!</v>
      </c>
      <c r="CC78" s="107" t="e">
        <f t="shared" si="60"/>
        <v>#DIV/0!</v>
      </c>
      <c r="CD78" s="107" t="e">
        <f t="shared" si="60"/>
        <v>#DIV/0!</v>
      </c>
      <c r="CE78" s="107" t="e">
        <f t="shared" si="60"/>
        <v>#DIV/0!</v>
      </c>
      <c r="CF78" s="107" t="e">
        <f t="shared" si="60"/>
        <v>#DIV/0!</v>
      </c>
      <c r="CG78" s="107" t="e">
        <f t="shared" si="60"/>
        <v>#DIV/0!</v>
      </c>
      <c r="CH78" s="107" t="e">
        <f t="shared" si="60"/>
        <v>#DIV/0!</v>
      </c>
      <c r="CI78" s="107" t="e">
        <f t="shared" si="60"/>
        <v>#DIV/0!</v>
      </c>
    </row>
    <row r="79" spans="2:87" ht="15" customHeight="1">
      <c r="B79" s="146" t="s">
        <v>206</v>
      </c>
      <c r="C79" s="152" t="s">
        <v>112</v>
      </c>
      <c r="D79" s="107">
        <f t="shared" ref="D79" si="61">D69/D73</f>
        <v>0</v>
      </c>
      <c r="E79" s="107">
        <f t="shared" ref="E79:AJ79" si="62">E69/E73</f>
        <v>0</v>
      </c>
      <c r="F79" s="107">
        <f t="shared" si="62"/>
        <v>0</v>
      </c>
      <c r="G79" s="107">
        <f t="shared" si="62"/>
        <v>0</v>
      </c>
      <c r="H79" s="107">
        <f t="shared" si="62"/>
        <v>0</v>
      </c>
      <c r="I79" s="107">
        <f t="shared" si="62"/>
        <v>0</v>
      </c>
      <c r="J79" s="107">
        <f t="shared" si="62"/>
        <v>0</v>
      </c>
      <c r="K79" s="107">
        <f t="shared" si="62"/>
        <v>0</v>
      </c>
      <c r="L79" s="107">
        <f t="shared" si="62"/>
        <v>0</v>
      </c>
      <c r="M79" s="107">
        <f t="shared" si="62"/>
        <v>0</v>
      </c>
      <c r="N79" s="107">
        <f t="shared" si="62"/>
        <v>0</v>
      </c>
      <c r="O79" s="107">
        <f t="shared" si="62"/>
        <v>0</v>
      </c>
      <c r="P79" s="107">
        <f t="shared" si="62"/>
        <v>0</v>
      </c>
      <c r="Q79" s="107">
        <f t="shared" si="62"/>
        <v>0</v>
      </c>
      <c r="R79" s="107">
        <f t="shared" si="62"/>
        <v>0</v>
      </c>
      <c r="S79" s="107">
        <f t="shared" si="62"/>
        <v>0</v>
      </c>
      <c r="T79" s="107">
        <f t="shared" si="62"/>
        <v>0</v>
      </c>
      <c r="U79" s="107">
        <f t="shared" si="62"/>
        <v>0</v>
      </c>
      <c r="V79" s="107">
        <f t="shared" si="62"/>
        <v>0</v>
      </c>
      <c r="W79" s="107" t="e">
        <f t="shared" si="62"/>
        <v>#DIV/0!</v>
      </c>
      <c r="X79" s="107" t="e">
        <f t="shared" si="62"/>
        <v>#DIV/0!</v>
      </c>
      <c r="Y79" s="107" t="e">
        <f t="shared" si="62"/>
        <v>#DIV/0!</v>
      </c>
      <c r="Z79" s="107" t="e">
        <f t="shared" si="62"/>
        <v>#DIV/0!</v>
      </c>
      <c r="AA79" s="107" t="e">
        <f t="shared" si="62"/>
        <v>#DIV/0!</v>
      </c>
      <c r="AB79" s="107" t="e">
        <f t="shared" si="62"/>
        <v>#DIV/0!</v>
      </c>
      <c r="AC79" s="107" t="e">
        <f t="shared" si="62"/>
        <v>#DIV/0!</v>
      </c>
      <c r="AD79" s="107" t="e">
        <f t="shared" si="62"/>
        <v>#DIV/0!</v>
      </c>
      <c r="AE79" s="107">
        <f t="shared" si="62"/>
        <v>0</v>
      </c>
      <c r="AF79" s="107">
        <f t="shared" si="62"/>
        <v>0</v>
      </c>
      <c r="AG79" s="107" t="e">
        <f t="shared" si="62"/>
        <v>#DIV/0!</v>
      </c>
      <c r="AH79" s="107" t="e">
        <f t="shared" si="62"/>
        <v>#DIV/0!</v>
      </c>
      <c r="AI79" s="107" t="e">
        <f t="shared" si="62"/>
        <v>#DIV/0!</v>
      </c>
      <c r="AJ79" s="107" t="e">
        <f t="shared" si="62"/>
        <v>#DIV/0!</v>
      </c>
      <c r="AK79" s="107" t="e">
        <f t="shared" ref="AK79:BP79" si="63">AK69/AK73</f>
        <v>#DIV/0!</v>
      </c>
      <c r="AL79" s="107" t="e">
        <f t="shared" si="63"/>
        <v>#DIV/0!</v>
      </c>
      <c r="AM79" s="107" t="e">
        <f t="shared" si="63"/>
        <v>#DIV/0!</v>
      </c>
      <c r="AN79" s="107" t="e">
        <f t="shared" si="63"/>
        <v>#DIV/0!</v>
      </c>
      <c r="AO79" s="107" t="e">
        <f t="shared" si="63"/>
        <v>#DIV/0!</v>
      </c>
      <c r="AP79" s="107" t="e">
        <f t="shared" si="63"/>
        <v>#DIV/0!</v>
      </c>
      <c r="AQ79" s="107" t="e">
        <f t="shared" si="63"/>
        <v>#DIV/0!</v>
      </c>
      <c r="AR79" s="107" t="e">
        <f t="shared" si="63"/>
        <v>#DIV/0!</v>
      </c>
      <c r="AS79" s="107" t="e">
        <f t="shared" si="63"/>
        <v>#DIV/0!</v>
      </c>
      <c r="AT79" s="107" t="e">
        <f t="shared" si="63"/>
        <v>#DIV/0!</v>
      </c>
      <c r="AU79" s="107" t="e">
        <f t="shared" si="63"/>
        <v>#DIV/0!</v>
      </c>
      <c r="AV79" s="107" t="e">
        <f t="shared" si="63"/>
        <v>#DIV/0!</v>
      </c>
      <c r="AW79" s="107" t="e">
        <f t="shared" si="63"/>
        <v>#DIV/0!</v>
      </c>
      <c r="AX79" s="107">
        <f t="shared" si="63"/>
        <v>0</v>
      </c>
      <c r="AY79" s="107">
        <f t="shared" si="63"/>
        <v>0</v>
      </c>
      <c r="AZ79" s="107">
        <f t="shared" si="63"/>
        <v>0</v>
      </c>
      <c r="BA79" s="107">
        <f t="shared" si="63"/>
        <v>0</v>
      </c>
      <c r="BB79" s="107">
        <f t="shared" si="63"/>
        <v>0</v>
      </c>
      <c r="BC79" s="107">
        <f t="shared" si="63"/>
        <v>0</v>
      </c>
      <c r="BD79" s="107">
        <f t="shared" si="63"/>
        <v>0</v>
      </c>
      <c r="BE79" s="107">
        <f t="shared" si="63"/>
        <v>0</v>
      </c>
      <c r="BF79" s="107">
        <f t="shared" si="63"/>
        <v>0</v>
      </c>
      <c r="BG79" s="107">
        <f t="shared" si="63"/>
        <v>0</v>
      </c>
      <c r="BH79" s="107">
        <f t="shared" si="63"/>
        <v>0</v>
      </c>
      <c r="BI79" s="107">
        <f t="shared" si="63"/>
        <v>0</v>
      </c>
      <c r="BJ79" s="107">
        <f t="shared" si="63"/>
        <v>0</v>
      </c>
      <c r="BK79" s="107" t="e">
        <f t="shared" si="63"/>
        <v>#DIV/0!</v>
      </c>
      <c r="BL79" s="107" t="e">
        <f t="shared" si="63"/>
        <v>#DIV/0!</v>
      </c>
      <c r="BM79" s="107">
        <f t="shared" si="63"/>
        <v>0</v>
      </c>
      <c r="BN79" s="107">
        <f t="shared" si="63"/>
        <v>0</v>
      </c>
      <c r="BO79" s="107">
        <f t="shared" si="63"/>
        <v>0</v>
      </c>
      <c r="BP79" s="107">
        <f t="shared" si="63"/>
        <v>0</v>
      </c>
      <c r="BQ79" s="107">
        <f t="shared" ref="BQ79:CI79" si="64">BQ69/BQ73</f>
        <v>0</v>
      </c>
      <c r="BR79" s="107">
        <f t="shared" si="64"/>
        <v>0</v>
      </c>
      <c r="BS79" s="107">
        <f t="shared" si="64"/>
        <v>0</v>
      </c>
      <c r="BT79" s="107">
        <f t="shared" si="64"/>
        <v>0</v>
      </c>
      <c r="BU79" s="107" t="e">
        <f t="shared" si="64"/>
        <v>#DIV/0!</v>
      </c>
      <c r="BV79" s="107" t="e">
        <f t="shared" si="64"/>
        <v>#DIV/0!</v>
      </c>
      <c r="BW79" s="107" t="e">
        <f t="shared" si="64"/>
        <v>#DIV/0!</v>
      </c>
      <c r="BX79" s="107" t="e">
        <f t="shared" si="64"/>
        <v>#DIV/0!</v>
      </c>
      <c r="BY79" s="107" t="e">
        <f t="shared" si="64"/>
        <v>#DIV/0!</v>
      </c>
      <c r="BZ79" s="107" t="e">
        <f t="shared" si="64"/>
        <v>#DIV/0!</v>
      </c>
      <c r="CA79" s="107" t="e">
        <f t="shared" si="64"/>
        <v>#DIV/0!</v>
      </c>
      <c r="CB79" s="107" t="e">
        <f t="shared" si="64"/>
        <v>#DIV/0!</v>
      </c>
      <c r="CC79" s="107" t="e">
        <f t="shared" si="64"/>
        <v>#DIV/0!</v>
      </c>
      <c r="CD79" s="107" t="e">
        <f t="shared" si="64"/>
        <v>#DIV/0!</v>
      </c>
      <c r="CE79" s="107" t="e">
        <f t="shared" si="64"/>
        <v>#DIV/0!</v>
      </c>
      <c r="CF79" s="107" t="e">
        <f t="shared" si="64"/>
        <v>#DIV/0!</v>
      </c>
      <c r="CG79" s="107" t="e">
        <f t="shared" si="64"/>
        <v>#DIV/0!</v>
      </c>
      <c r="CH79" s="107" t="e">
        <f t="shared" si="64"/>
        <v>#DIV/0!</v>
      </c>
      <c r="CI79" s="107" t="e">
        <f t="shared" si="64"/>
        <v>#DIV/0!</v>
      </c>
    </row>
    <row r="80" spans="2:87" ht="15" customHeight="1">
      <c r="B80" s="146" t="s">
        <v>207</v>
      </c>
      <c r="C80" s="152" t="s">
        <v>113</v>
      </c>
      <c r="D80" s="107">
        <f t="shared" ref="D80" si="65">D70/D73</f>
        <v>492.34978339517727</v>
      </c>
      <c r="E80" s="107">
        <f t="shared" ref="E80:AJ80" si="66">E70/E73</f>
        <v>507.90450979127218</v>
      </c>
      <c r="F80" s="107">
        <f t="shared" si="66"/>
        <v>435.18370005374345</v>
      </c>
      <c r="G80" s="107">
        <f t="shared" si="66"/>
        <v>523.66523210977812</v>
      </c>
      <c r="H80" s="107">
        <f t="shared" si="66"/>
        <v>527.61769099353478</v>
      </c>
      <c r="I80" s="107">
        <f t="shared" si="66"/>
        <v>544.4306886296348</v>
      </c>
      <c r="J80" s="107">
        <f t="shared" si="66"/>
        <v>538.46494029633334</v>
      </c>
      <c r="K80" s="107">
        <f t="shared" si="66"/>
        <v>567.17732309073449</v>
      </c>
      <c r="L80" s="107">
        <f t="shared" si="66"/>
        <v>448.26722386575625</v>
      </c>
      <c r="M80" s="107">
        <f t="shared" si="66"/>
        <v>512.99427489491723</v>
      </c>
      <c r="N80" s="107">
        <f t="shared" si="66"/>
        <v>549.93892834674909</v>
      </c>
      <c r="O80" s="107">
        <f t="shared" si="66"/>
        <v>527.78602246659011</v>
      </c>
      <c r="P80" s="107">
        <f t="shared" si="66"/>
        <v>542.75356006988136</v>
      </c>
      <c r="Q80" s="107">
        <f t="shared" si="66"/>
        <v>701.06201102464445</v>
      </c>
      <c r="R80" s="107">
        <f t="shared" si="66"/>
        <v>517.6994515462593</v>
      </c>
      <c r="S80" s="107">
        <f t="shared" si="66"/>
        <v>496.95832872642598</v>
      </c>
      <c r="T80" s="107">
        <f t="shared" si="66"/>
        <v>674.47562535275665</v>
      </c>
      <c r="U80" s="107">
        <f t="shared" si="66"/>
        <v>401.74975806834391</v>
      </c>
      <c r="V80" s="107">
        <f t="shared" si="66"/>
        <v>400.53620571629494</v>
      </c>
      <c r="W80" s="107" t="e">
        <f t="shared" si="66"/>
        <v>#DIV/0!</v>
      </c>
      <c r="X80" s="107" t="e">
        <f t="shared" si="66"/>
        <v>#DIV/0!</v>
      </c>
      <c r="Y80" s="107" t="e">
        <f t="shared" si="66"/>
        <v>#DIV/0!</v>
      </c>
      <c r="Z80" s="107" t="e">
        <f t="shared" si="66"/>
        <v>#DIV/0!</v>
      </c>
      <c r="AA80" s="107" t="e">
        <f t="shared" si="66"/>
        <v>#DIV/0!</v>
      </c>
      <c r="AB80" s="107" t="e">
        <f t="shared" si="66"/>
        <v>#DIV/0!</v>
      </c>
      <c r="AC80" s="107" t="e">
        <f t="shared" si="66"/>
        <v>#DIV/0!</v>
      </c>
      <c r="AD80" s="107" t="e">
        <f t="shared" si="66"/>
        <v>#DIV/0!</v>
      </c>
      <c r="AE80" s="107">
        <f t="shared" si="66"/>
        <v>345.90976934442784</v>
      </c>
      <c r="AF80" s="107">
        <f t="shared" si="66"/>
        <v>681.2825108557181</v>
      </c>
      <c r="AG80" s="107" t="e">
        <f t="shared" si="66"/>
        <v>#DIV/0!</v>
      </c>
      <c r="AH80" s="107" t="e">
        <f t="shared" si="66"/>
        <v>#DIV/0!</v>
      </c>
      <c r="AI80" s="107" t="e">
        <f t="shared" si="66"/>
        <v>#DIV/0!</v>
      </c>
      <c r="AJ80" s="107" t="e">
        <f t="shared" si="66"/>
        <v>#DIV/0!</v>
      </c>
      <c r="AK80" s="107" t="e">
        <f t="shared" ref="AK80:BP80" si="67">AK70/AK73</f>
        <v>#DIV/0!</v>
      </c>
      <c r="AL80" s="107" t="e">
        <f t="shared" si="67"/>
        <v>#DIV/0!</v>
      </c>
      <c r="AM80" s="107" t="e">
        <f t="shared" si="67"/>
        <v>#DIV/0!</v>
      </c>
      <c r="AN80" s="107" t="e">
        <f t="shared" si="67"/>
        <v>#DIV/0!</v>
      </c>
      <c r="AO80" s="107" t="e">
        <f t="shared" si="67"/>
        <v>#DIV/0!</v>
      </c>
      <c r="AP80" s="107" t="e">
        <f t="shared" si="67"/>
        <v>#DIV/0!</v>
      </c>
      <c r="AQ80" s="107" t="e">
        <f t="shared" si="67"/>
        <v>#DIV/0!</v>
      </c>
      <c r="AR80" s="107" t="e">
        <f t="shared" si="67"/>
        <v>#DIV/0!</v>
      </c>
      <c r="AS80" s="107" t="e">
        <f t="shared" si="67"/>
        <v>#DIV/0!</v>
      </c>
      <c r="AT80" s="107" t="e">
        <f t="shared" si="67"/>
        <v>#DIV/0!</v>
      </c>
      <c r="AU80" s="107" t="e">
        <f t="shared" si="67"/>
        <v>#DIV/0!</v>
      </c>
      <c r="AV80" s="107" t="e">
        <f t="shared" si="67"/>
        <v>#DIV/0!</v>
      </c>
      <c r="AW80" s="107" t="e">
        <f t="shared" si="67"/>
        <v>#DIV/0!</v>
      </c>
      <c r="AX80" s="107">
        <f t="shared" si="67"/>
        <v>505.24256946368001</v>
      </c>
      <c r="AY80" s="107">
        <f t="shared" si="67"/>
        <v>543.12364488472167</v>
      </c>
      <c r="AZ80" s="107">
        <f t="shared" si="67"/>
        <v>517.11496367578502</v>
      </c>
      <c r="BA80" s="107">
        <f t="shared" si="67"/>
        <v>531.52601560750611</v>
      </c>
      <c r="BB80" s="107">
        <f t="shared" si="67"/>
        <v>396.05895600066759</v>
      </c>
      <c r="BC80" s="107">
        <f t="shared" si="67"/>
        <v>179.44544894018162</v>
      </c>
      <c r="BD80" s="107">
        <f t="shared" si="67"/>
        <v>515.48403760345354</v>
      </c>
      <c r="BE80" s="107">
        <f t="shared" si="67"/>
        <v>489.87864903380756</v>
      </c>
      <c r="BF80" s="107">
        <f t="shared" si="67"/>
        <v>340.25191334282204</v>
      </c>
      <c r="BG80" s="107">
        <f t="shared" si="67"/>
        <v>671.93937935910958</v>
      </c>
      <c r="BH80" s="107">
        <f t="shared" si="67"/>
        <v>430.09296588724493</v>
      </c>
      <c r="BI80" s="107">
        <f t="shared" si="67"/>
        <v>398.08189562786703</v>
      </c>
      <c r="BJ80" s="107">
        <f t="shared" si="67"/>
        <v>526.01967608406164</v>
      </c>
      <c r="BK80" s="107" t="e">
        <f t="shared" si="67"/>
        <v>#DIV/0!</v>
      </c>
      <c r="BL80" s="107" t="e">
        <f t="shared" si="67"/>
        <v>#DIV/0!</v>
      </c>
      <c r="BM80" s="107">
        <f t="shared" si="67"/>
        <v>678.96592298892313</v>
      </c>
      <c r="BN80" s="107">
        <f t="shared" si="67"/>
        <v>510.38653310042122</v>
      </c>
      <c r="BO80" s="107">
        <f t="shared" si="67"/>
        <v>548.53998062489427</v>
      </c>
      <c r="BP80" s="107">
        <f t="shared" si="67"/>
        <v>434.41823083406263</v>
      </c>
      <c r="BQ80" s="107">
        <f t="shared" ref="BQ80:CI80" si="68">BQ70/BQ73</f>
        <v>521.20628960101283</v>
      </c>
      <c r="BR80" s="107">
        <f t="shared" si="68"/>
        <v>535.77139935844411</v>
      </c>
      <c r="BS80" s="107">
        <f t="shared" si="68"/>
        <v>401.70968572558542</v>
      </c>
      <c r="BT80" s="107">
        <f t="shared" si="68"/>
        <v>400.01917757549109</v>
      </c>
      <c r="BU80" s="107" t="e">
        <f t="shared" si="68"/>
        <v>#DIV/0!</v>
      </c>
      <c r="BV80" s="107" t="e">
        <f t="shared" si="68"/>
        <v>#DIV/0!</v>
      </c>
      <c r="BW80" s="107" t="e">
        <f t="shared" si="68"/>
        <v>#DIV/0!</v>
      </c>
      <c r="BX80" s="107" t="e">
        <f t="shared" si="68"/>
        <v>#DIV/0!</v>
      </c>
      <c r="BY80" s="107" t="e">
        <f t="shared" si="68"/>
        <v>#DIV/0!</v>
      </c>
      <c r="BZ80" s="107" t="e">
        <f t="shared" si="68"/>
        <v>#DIV/0!</v>
      </c>
      <c r="CA80" s="107" t="e">
        <f t="shared" si="68"/>
        <v>#DIV/0!</v>
      </c>
      <c r="CB80" s="107" t="e">
        <f t="shared" si="68"/>
        <v>#DIV/0!</v>
      </c>
      <c r="CC80" s="107" t="e">
        <f t="shared" si="68"/>
        <v>#DIV/0!</v>
      </c>
      <c r="CD80" s="107" t="e">
        <f t="shared" si="68"/>
        <v>#DIV/0!</v>
      </c>
      <c r="CE80" s="107" t="e">
        <f t="shared" si="68"/>
        <v>#DIV/0!</v>
      </c>
      <c r="CF80" s="107" t="e">
        <f t="shared" si="68"/>
        <v>#DIV/0!</v>
      </c>
      <c r="CG80" s="107" t="e">
        <f t="shared" si="68"/>
        <v>#DIV/0!</v>
      </c>
      <c r="CH80" s="107" t="e">
        <f t="shared" si="68"/>
        <v>#DIV/0!</v>
      </c>
      <c r="CI80" s="107" t="e">
        <f t="shared" si="68"/>
        <v>#DIV/0!</v>
      </c>
    </row>
    <row r="81" spans="2:87" ht="15" customHeight="1">
      <c r="B81" s="146" t="s">
        <v>208</v>
      </c>
      <c r="C81" s="152" t="s">
        <v>114</v>
      </c>
      <c r="D81" s="107">
        <f t="shared" ref="D81" si="69">D71/D73</f>
        <v>3.0000051782972474</v>
      </c>
      <c r="E81" s="107">
        <f t="shared" ref="E81:AJ81" si="70">E71/E73</f>
        <v>3.0932987013326416</v>
      </c>
      <c r="F81" s="107">
        <f t="shared" si="70"/>
        <v>2.6523683693099653</v>
      </c>
      <c r="G81" s="107">
        <f t="shared" si="70"/>
        <v>3.1888606860321467</v>
      </c>
      <c r="H81" s="107">
        <f t="shared" si="70"/>
        <v>3.2128285076239238</v>
      </c>
      <c r="I81" s="107">
        <f t="shared" si="70"/>
        <v>3.3147677358121395</v>
      </c>
      <c r="J81" s="107">
        <f t="shared" si="70"/>
        <v>3.2785954797301264</v>
      </c>
      <c r="K81" s="107">
        <f t="shared" si="70"/>
        <v>3.4526813636726987</v>
      </c>
      <c r="L81" s="107">
        <f t="shared" si="70"/>
        <v>2.7317059809218613</v>
      </c>
      <c r="M81" s="107">
        <f t="shared" si="70"/>
        <v>3.1241590829132009</v>
      </c>
      <c r="N81" s="107">
        <f t="shared" si="70"/>
        <v>3.3481667752340249</v>
      </c>
      <c r="O81" s="107">
        <f t="shared" si="70"/>
        <v>3.2138461364956412</v>
      </c>
      <c r="P81" s="107">
        <f t="shared" si="70"/>
        <v>3.3045998328438011</v>
      </c>
      <c r="Q81" s="107">
        <f t="shared" si="70"/>
        <v>4.2644737805713886</v>
      </c>
      <c r="R81" s="107">
        <f t="shared" si="70"/>
        <v>3.1526882011470359</v>
      </c>
      <c r="S81" s="107">
        <f t="shared" si="70"/>
        <v>3.0269283946854078</v>
      </c>
      <c r="T81" s="107">
        <f t="shared" si="70"/>
        <v>4.1032685235101942</v>
      </c>
      <c r="U81" s="107">
        <f t="shared" si="70"/>
        <v>2.4496376988482034</v>
      </c>
      <c r="V81" s="107">
        <f t="shared" si="70"/>
        <v>2.4422933327679588</v>
      </c>
      <c r="W81" s="107" t="e">
        <f t="shared" si="70"/>
        <v>#DIV/0!</v>
      </c>
      <c r="X81" s="107" t="e">
        <f t="shared" si="70"/>
        <v>#DIV/0!</v>
      </c>
      <c r="Y81" s="107" t="e">
        <f t="shared" si="70"/>
        <v>#DIV/0!</v>
      </c>
      <c r="Z81" s="107" t="e">
        <f t="shared" si="70"/>
        <v>#DIV/0!</v>
      </c>
      <c r="AA81" s="107" t="e">
        <f t="shared" si="70"/>
        <v>#DIV/0!</v>
      </c>
      <c r="AB81" s="107" t="e">
        <f t="shared" si="70"/>
        <v>#DIV/0!</v>
      </c>
      <c r="AC81" s="107" t="e">
        <f t="shared" si="70"/>
        <v>#DIV/0!</v>
      </c>
      <c r="AD81" s="107" t="e">
        <f t="shared" si="70"/>
        <v>#DIV/0!</v>
      </c>
      <c r="AE81" s="107">
        <f t="shared" si="70"/>
        <v>2.1110748095569098</v>
      </c>
      <c r="AF81" s="107">
        <f t="shared" si="70"/>
        <v>4.1445413326625316</v>
      </c>
      <c r="AG81" s="107" t="e">
        <f t="shared" si="70"/>
        <v>#DIV/0!</v>
      </c>
      <c r="AH81" s="107" t="e">
        <f t="shared" si="70"/>
        <v>#DIV/0!</v>
      </c>
      <c r="AI81" s="107" t="e">
        <f t="shared" si="70"/>
        <v>#DIV/0!</v>
      </c>
      <c r="AJ81" s="107" t="e">
        <f t="shared" si="70"/>
        <v>#DIV/0!</v>
      </c>
      <c r="AK81" s="107" t="e">
        <f t="shared" ref="AK81:BP81" si="71">AK71/AK73</f>
        <v>#DIV/0!</v>
      </c>
      <c r="AL81" s="107" t="e">
        <f t="shared" si="71"/>
        <v>#DIV/0!</v>
      </c>
      <c r="AM81" s="107" t="e">
        <f t="shared" si="71"/>
        <v>#DIV/0!</v>
      </c>
      <c r="AN81" s="107" t="e">
        <f t="shared" si="71"/>
        <v>#DIV/0!</v>
      </c>
      <c r="AO81" s="107" t="e">
        <f t="shared" si="71"/>
        <v>#DIV/0!</v>
      </c>
      <c r="AP81" s="107" t="e">
        <f t="shared" si="71"/>
        <v>#DIV/0!</v>
      </c>
      <c r="AQ81" s="107" t="e">
        <f t="shared" si="71"/>
        <v>#DIV/0!</v>
      </c>
      <c r="AR81" s="107" t="e">
        <f t="shared" si="71"/>
        <v>#DIV/0!</v>
      </c>
      <c r="AS81" s="107" t="e">
        <f t="shared" si="71"/>
        <v>#DIV/0!</v>
      </c>
      <c r="AT81" s="107" t="e">
        <f t="shared" si="71"/>
        <v>#DIV/0!</v>
      </c>
      <c r="AU81" s="107" t="e">
        <f t="shared" si="71"/>
        <v>#DIV/0!</v>
      </c>
      <c r="AV81" s="107" t="e">
        <f t="shared" si="71"/>
        <v>#DIV/0!</v>
      </c>
      <c r="AW81" s="107" t="e">
        <f t="shared" si="71"/>
        <v>#DIV/0!</v>
      </c>
      <c r="AX81" s="107">
        <f t="shared" si="71"/>
        <v>3.077158862101129</v>
      </c>
      <c r="AY81" s="107">
        <f t="shared" si="71"/>
        <v>3.3068434816685288</v>
      </c>
      <c r="AZ81" s="107">
        <f t="shared" si="71"/>
        <v>3.1491441054943095</v>
      </c>
      <c r="BA81" s="107">
        <f t="shared" si="71"/>
        <v>3.236522271982416</v>
      </c>
      <c r="BB81" s="107">
        <f t="shared" si="71"/>
        <v>2.4151453671554641</v>
      </c>
      <c r="BC81" s="107">
        <f t="shared" si="71"/>
        <v>1.8033879854168529</v>
      </c>
      <c r="BD81" s="107">
        <f t="shared" si="71"/>
        <v>3.1392558048344048</v>
      </c>
      <c r="BE81" s="107">
        <f t="shared" si="71"/>
        <v>2.984002247094693</v>
      </c>
      <c r="BF81" s="107">
        <f t="shared" si="71"/>
        <v>2.0767695736802203</v>
      </c>
      <c r="BG81" s="107">
        <f t="shared" si="71"/>
        <v>4.0878907548191066</v>
      </c>
      <c r="BH81" s="107">
        <f t="shared" si="71"/>
        <v>2.6215028227190973</v>
      </c>
      <c r="BI81" s="107">
        <f t="shared" si="71"/>
        <v>2.4274111208789817</v>
      </c>
      <c r="BJ81" s="107">
        <f t="shared" si="71"/>
        <v>3.2031440767319399</v>
      </c>
      <c r="BK81" s="107" t="e">
        <f t="shared" si="71"/>
        <v>#DIV/0!</v>
      </c>
      <c r="BL81" s="107" t="e">
        <f t="shared" si="71"/>
        <v>#DIV/0!</v>
      </c>
      <c r="BM81" s="107">
        <f t="shared" si="71"/>
        <v>4.1305003746971023</v>
      </c>
      <c r="BN81" s="107">
        <f t="shared" si="71"/>
        <v>3.1083500392501682</v>
      </c>
      <c r="BO81" s="107">
        <f t="shared" si="71"/>
        <v>3.3396833112799635</v>
      </c>
      <c r="BP81" s="107">
        <f t="shared" si="71"/>
        <v>2.6477282608698154</v>
      </c>
      <c r="BQ81" s="107">
        <f t="shared" ref="BQ81:CI81" si="72">BQ71/BQ73</f>
        <v>3.1739514838269476</v>
      </c>
      <c r="BR81" s="107">
        <f t="shared" si="72"/>
        <v>3.2622647784108705</v>
      </c>
      <c r="BS81" s="107">
        <f t="shared" si="72"/>
        <v>2.4493947279635462</v>
      </c>
      <c r="BT81" s="107">
        <f t="shared" si="72"/>
        <v>2.4391566394612756</v>
      </c>
      <c r="BU81" s="107" t="e">
        <f t="shared" si="72"/>
        <v>#DIV/0!</v>
      </c>
      <c r="BV81" s="107" t="e">
        <f t="shared" si="72"/>
        <v>#DIV/0!</v>
      </c>
      <c r="BW81" s="107" t="e">
        <f t="shared" si="72"/>
        <v>#DIV/0!</v>
      </c>
      <c r="BX81" s="107" t="e">
        <f t="shared" si="72"/>
        <v>#DIV/0!</v>
      </c>
      <c r="BY81" s="107" t="e">
        <f t="shared" si="72"/>
        <v>#DIV/0!</v>
      </c>
      <c r="BZ81" s="107" t="e">
        <f t="shared" si="72"/>
        <v>#DIV/0!</v>
      </c>
      <c r="CA81" s="107" t="e">
        <f t="shared" si="72"/>
        <v>#DIV/0!</v>
      </c>
      <c r="CB81" s="107" t="e">
        <f t="shared" si="72"/>
        <v>#DIV/0!</v>
      </c>
      <c r="CC81" s="107" t="e">
        <f t="shared" si="72"/>
        <v>#DIV/0!</v>
      </c>
      <c r="CD81" s="107" t="e">
        <f t="shared" si="72"/>
        <v>#DIV/0!</v>
      </c>
      <c r="CE81" s="107" t="e">
        <f t="shared" si="72"/>
        <v>#DIV/0!</v>
      </c>
      <c r="CF81" s="107" t="e">
        <f t="shared" si="72"/>
        <v>#DIV/0!</v>
      </c>
      <c r="CG81" s="107" t="e">
        <f t="shared" si="72"/>
        <v>#DIV/0!</v>
      </c>
      <c r="CH81" s="107" t="e">
        <f t="shared" si="72"/>
        <v>#DIV/0!</v>
      </c>
      <c r="CI81" s="107" t="e">
        <f t="shared" si="72"/>
        <v>#DIV/0!</v>
      </c>
    </row>
    <row r="82" spans="2:87" ht="15" customHeight="1">
      <c r="B82" s="148" t="s">
        <v>209</v>
      </c>
      <c r="C82" s="170" t="s">
        <v>115</v>
      </c>
      <c r="D82" s="107">
        <f t="shared" ref="D82" si="73">D72/D73</f>
        <v>644.7244792527639</v>
      </c>
      <c r="E82" s="107">
        <f t="shared" ref="E82:AJ82" si="74">E72/E73</f>
        <v>664.94777634007039</v>
      </c>
      <c r="F82" s="107">
        <f t="shared" si="74"/>
        <v>570.16364066217898</v>
      </c>
      <c r="G82" s="107">
        <f t="shared" si="74"/>
        <v>685.49016017167685</v>
      </c>
      <c r="H82" s="107">
        <f t="shared" si="74"/>
        <v>690.64237830835509</v>
      </c>
      <c r="I82" s="107">
        <f t="shared" si="74"/>
        <v>712.55563973259757</v>
      </c>
      <c r="J82" s="107">
        <f t="shared" si="74"/>
        <v>704.77990787826059</v>
      </c>
      <c r="K82" s="107">
        <f t="shared" si="74"/>
        <v>742.20210101141413</v>
      </c>
      <c r="L82" s="107">
        <f t="shared" si="74"/>
        <v>587.21836880683691</v>
      </c>
      <c r="M82" s="107">
        <f t="shared" si="74"/>
        <v>671.58164655123267</v>
      </c>
      <c r="N82" s="107">
        <f t="shared" si="74"/>
        <v>719.73522991763468</v>
      </c>
      <c r="O82" s="107">
        <f t="shared" si="74"/>
        <v>690.86113185294164</v>
      </c>
      <c r="P82" s="107">
        <f t="shared" si="74"/>
        <v>710.36990692059226</v>
      </c>
      <c r="Q82" s="107">
        <f t="shared" si="74"/>
        <v>916.70822362865636</v>
      </c>
      <c r="R82" s="107">
        <f t="shared" si="74"/>
        <v>677.71437913291311</v>
      </c>
      <c r="S82" s="107">
        <f t="shared" si="74"/>
        <v>650.68055158060201</v>
      </c>
      <c r="T82" s="107">
        <f t="shared" si="74"/>
        <v>882.05490121559933</v>
      </c>
      <c r="U82" s="107">
        <f t="shared" si="74"/>
        <v>526.58385043325063</v>
      </c>
      <c r="V82" s="107">
        <f t="shared" si="74"/>
        <v>525.0050763266396</v>
      </c>
      <c r="W82" s="107" t="e">
        <f t="shared" si="74"/>
        <v>#DIV/0!</v>
      </c>
      <c r="X82" s="107" t="e">
        <f t="shared" si="74"/>
        <v>#DIV/0!</v>
      </c>
      <c r="Y82" s="107" t="e">
        <f t="shared" si="74"/>
        <v>#DIV/0!</v>
      </c>
      <c r="Z82" s="107" t="e">
        <f t="shared" si="74"/>
        <v>#DIV/0!</v>
      </c>
      <c r="AA82" s="107" t="e">
        <f t="shared" si="74"/>
        <v>#DIV/0!</v>
      </c>
      <c r="AB82" s="107" t="e">
        <f t="shared" si="74"/>
        <v>#DIV/0!</v>
      </c>
      <c r="AC82" s="107" t="e">
        <f t="shared" si="74"/>
        <v>#DIV/0!</v>
      </c>
      <c r="AD82" s="107" t="e">
        <f t="shared" si="74"/>
        <v>#DIV/0!</v>
      </c>
      <c r="AE82" s="107">
        <f t="shared" si="74"/>
        <v>453.80502687879607</v>
      </c>
      <c r="AF82" s="107">
        <f t="shared" si="74"/>
        <v>890.92706821884997</v>
      </c>
      <c r="AG82" s="107" t="e">
        <f t="shared" si="74"/>
        <v>#DIV/0!</v>
      </c>
      <c r="AH82" s="107" t="e">
        <f t="shared" si="74"/>
        <v>#DIV/0!</v>
      </c>
      <c r="AI82" s="107" t="e">
        <f t="shared" si="74"/>
        <v>#DIV/0!</v>
      </c>
      <c r="AJ82" s="107" t="e">
        <f t="shared" si="74"/>
        <v>#DIV/0!</v>
      </c>
      <c r="AK82" s="107" t="e">
        <f t="shared" ref="AK82:BP82" si="75">AK72/AK73</f>
        <v>#DIV/0!</v>
      </c>
      <c r="AL82" s="107" t="e">
        <f t="shared" si="75"/>
        <v>#DIV/0!</v>
      </c>
      <c r="AM82" s="107" t="e">
        <f t="shared" si="75"/>
        <v>#DIV/0!</v>
      </c>
      <c r="AN82" s="107" t="e">
        <f t="shared" si="75"/>
        <v>#DIV/0!</v>
      </c>
      <c r="AO82" s="107" t="e">
        <f t="shared" si="75"/>
        <v>#DIV/0!</v>
      </c>
      <c r="AP82" s="107" t="e">
        <f t="shared" si="75"/>
        <v>#DIV/0!</v>
      </c>
      <c r="AQ82" s="107" t="e">
        <f t="shared" si="75"/>
        <v>#DIV/0!</v>
      </c>
      <c r="AR82" s="107" t="e">
        <f t="shared" si="75"/>
        <v>#DIV/0!</v>
      </c>
      <c r="AS82" s="107" t="e">
        <f t="shared" si="75"/>
        <v>#DIV/0!</v>
      </c>
      <c r="AT82" s="107" t="e">
        <f t="shared" si="75"/>
        <v>#DIV/0!</v>
      </c>
      <c r="AU82" s="107" t="e">
        <f t="shared" si="75"/>
        <v>#DIV/0!</v>
      </c>
      <c r="AV82" s="107" t="e">
        <f t="shared" si="75"/>
        <v>#DIV/0!</v>
      </c>
      <c r="AW82" s="107" t="e">
        <f t="shared" si="75"/>
        <v>#DIV/0!</v>
      </c>
      <c r="AX82" s="107">
        <f t="shared" si="75"/>
        <v>661.47829238662939</v>
      </c>
      <c r="AY82" s="107">
        <f t="shared" si="75"/>
        <v>710.85221058439799</v>
      </c>
      <c r="AZ82" s="107">
        <f t="shared" si="75"/>
        <v>676.95252625320279</v>
      </c>
      <c r="BA82" s="107">
        <f t="shared" si="75"/>
        <v>695.73568401352657</v>
      </c>
      <c r="BB82" s="107">
        <f t="shared" si="75"/>
        <v>519.16924179879152</v>
      </c>
      <c r="BC82" s="107">
        <f t="shared" si="75"/>
        <v>271.69149609547151</v>
      </c>
      <c r="BD82" s="107">
        <f t="shared" si="75"/>
        <v>674.82689786408173</v>
      </c>
      <c r="BE82" s="107">
        <f t="shared" si="75"/>
        <v>641.45297637908777</v>
      </c>
      <c r="BF82" s="107">
        <f t="shared" si="75"/>
        <v>446.43063710415504</v>
      </c>
      <c r="BG82" s="107">
        <f t="shared" si="75"/>
        <v>878.74923497269981</v>
      </c>
      <c r="BH82" s="107">
        <f t="shared" si="75"/>
        <v>563.52866015988184</v>
      </c>
      <c r="BI82" s="107">
        <f t="shared" si="75"/>
        <v>521.80593694241588</v>
      </c>
      <c r="BJ82" s="107">
        <f t="shared" si="75"/>
        <v>688.56057457437748</v>
      </c>
      <c r="BK82" s="107" t="e">
        <f t="shared" si="75"/>
        <v>#DIV/0!</v>
      </c>
      <c r="BL82" s="107" t="e">
        <f t="shared" si="75"/>
        <v>#DIV/0!</v>
      </c>
      <c r="BM82" s="107">
        <f t="shared" si="75"/>
        <v>887.90876811974294</v>
      </c>
      <c r="BN82" s="107">
        <f t="shared" si="75"/>
        <v>668.18327172720774</v>
      </c>
      <c r="BO82" s="107">
        <f t="shared" si="75"/>
        <v>717.91159080723037</v>
      </c>
      <c r="BP82" s="107">
        <f t="shared" si="75"/>
        <v>569.16618451999477</v>
      </c>
      <c r="BQ82" s="107">
        <f t="shared" ref="BQ82:CI82" si="76">BQ72/BQ73</f>
        <v>682.285218841865</v>
      </c>
      <c r="BR82" s="107">
        <f t="shared" si="76"/>
        <v>701.26939545227447</v>
      </c>
      <c r="BS82" s="107">
        <f t="shared" si="76"/>
        <v>526.53162044673286</v>
      </c>
      <c r="BT82" s="107">
        <f t="shared" si="76"/>
        <v>524.33080027355606</v>
      </c>
      <c r="BU82" s="107" t="e">
        <f t="shared" si="76"/>
        <v>#DIV/0!</v>
      </c>
      <c r="BV82" s="107" t="e">
        <f t="shared" si="76"/>
        <v>#DIV/0!</v>
      </c>
      <c r="BW82" s="107" t="e">
        <f t="shared" si="76"/>
        <v>#DIV/0!</v>
      </c>
      <c r="BX82" s="107" t="e">
        <f t="shared" si="76"/>
        <v>#DIV/0!</v>
      </c>
      <c r="BY82" s="107" t="e">
        <f t="shared" si="76"/>
        <v>#DIV/0!</v>
      </c>
      <c r="BZ82" s="107" t="e">
        <f t="shared" si="76"/>
        <v>#DIV/0!</v>
      </c>
      <c r="CA82" s="107" t="e">
        <f t="shared" si="76"/>
        <v>#DIV/0!</v>
      </c>
      <c r="CB82" s="107" t="e">
        <f t="shared" si="76"/>
        <v>#DIV/0!</v>
      </c>
      <c r="CC82" s="107" t="e">
        <f t="shared" si="76"/>
        <v>#DIV/0!</v>
      </c>
      <c r="CD82" s="107" t="e">
        <f t="shared" si="76"/>
        <v>#DIV/0!</v>
      </c>
      <c r="CE82" s="107" t="e">
        <f t="shared" si="76"/>
        <v>#DIV/0!</v>
      </c>
      <c r="CF82" s="107" t="e">
        <f t="shared" si="76"/>
        <v>#DIV/0!</v>
      </c>
      <c r="CG82" s="107" t="e">
        <f t="shared" si="76"/>
        <v>#DIV/0!</v>
      </c>
      <c r="CH82" s="107" t="e">
        <f t="shared" si="76"/>
        <v>#DIV/0!</v>
      </c>
      <c r="CI82" s="107" t="e">
        <f t="shared" si="76"/>
        <v>#DIV/0!</v>
      </c>
    </row>
    <row r="83" spans="2:87" ht="15" customHeight="1"/>
  </sheetData>
  <sheetProtection algorithmName="SHA-512" hashValue="wWXkRa5XB2vr+6qg7oyYAyzmz2kT4H1R7dRQwoMEVELNP+fyr/y1Fca7EmsTIygjG9IHPGGeAItr/v6F9rRLtQ==" saltValue="Cj2HCGR4pfeFiEZKOsH4qA==" spinCount="100000" sheet="1" objects="1"/>
  <mergeCells count="12">
    <mergeCell ref="E60:CI60"/>
    <mergeCell ref="E61:CI61"/>
    <mergeCell ref="E48:CI48"/>
    <mergeCell ref="C7:V8"/>
    <mergeCell ref="E10:AW10"/>
    <mergeCell ref="E11:AW11"/>
    <mergeCell ref="E21:AW21"/>
    <mergeCell ref="AX10:CI10"/>
    <mergeCell ref="AX11:CI11"/>
    <mergeCell ref="AX21:CI21"/>
    <mergeCell ref="E22:CI22"/>
    <mergeCell ref="E59:CI59"/>
  </mergeCells>
  <dataValidations xWindow="756" yWindow="613" count="38">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CI73" xr:uid="{094325C8-8BE3-4B81-BBB5-B01442F321B5}">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CI72" xr:uid="{EA58202B-07D9-454A-A34A-A94F18FD0281}"/>
    <dataValidation allowBlank="1" showInputMessage="1" showErrorMessage="1" promptTitle="Required:" prompt="Enter the Risk Adjustment Transfer Amount for the benefit plan for the projection period as a dollar value with up to 16 characters including decimal place." sqref="E71:CI71" xr:uid="{6CD514C9-A9AA-49B3-9303-726165AE7A15}"/>
    <dataValidation allowBlank="1" showInputMessage="1" showErrorMessage="1" promptTitle="Required:" prompt="Enter the Cost Sharing Reduction for the benefit plan for the projection period as a dollar value with up to 16 characters including decimal place." sqref="E69:CI69" xr:uid="{0264C1B8-D004-41C4-AFCD-93B0D6013F93}"/>
    <dataValidation allowBlank="1" showInputMessage="1" showErrorMessage="1" promptTitle="Required:" prompt="Enter the Member Cost Sharing for the benefit plan for the projection period as a dollar value with up to 16 characters including decimal place." sqref="E68:CI68" xr:uid="{08E2A751-70A5-4114-A589-CF8948DA319C}"/>
    <dataValidation allowBlank="1" showInputMessage="1" showErrorMessage="1" promptTitle="Required:" prompt="Enter the Reinsurance for the benefit plan for the projection period as a dollar value with up to 16 characters including decimal place." sqref="E67:CI67" xr:uid="{EA9D01CF-1450-4D7C-817E-1FC0F9FAEFA0}"/>
    <dataValidation allowBlank="1" showInputMessage="1" showErrorMessage="1" promptTitle="Required:" prompt="Enter the total allowed claims for the benefit plan for the projection period as a dollar value with up to 16 characters including decimal place." sqref="E66:CI66" xr:uid="{0E9031D2-A9BE-4D87-880D-1F13E01935A9}"/>
    <dataValidation allowBlank="1" showInputMessage="1" showErrorMessage="1" promptTitle="Required:" prompt="Enter the Catastrophic Adjustment for each plan as a numeric value greater than or equal to 0 with up to 16 characters including decimal place." sqref="E56:CI56" xr:uid="{3E505B2A-CCB1-4CC7-86B6-E1AAECA82260}"/>
    <dataValidation allowBlank="1" showInputMessage="1" showErrorMessage="1" promptTitle="Required:" prompt="Enter the Profit and Risk Load as a percentage up to 16 characters including decimal place." sqref="E55:CI55" xr:uid="{EE376774-F4E8-43AB-9678-AB8F5AF8BC9E}"/>
    <dataValidation allowBlank="1" showInputMessage="1" showErrorMessage="1" promptTitle="Required:" prompt="Enter the Taxes and Fees as a percentage up to 16 characters including decimal place." sqref="E54:CI54" xr:uid="{7571A1D3-DE22-4E28-86BD-2A25F7CF6555}"/>
    <dataValidation allowBlank="1" showInputMessage="1" showErrorMessage="1" promptTitle="Required:" prompt="Enter the Administrative Expense as a percentage up to 16 characters including decimal place." sqref="E53:CI53" xr:uid="{2D932C83-FC32-4F3B-B696-4A5E14875DE7}"/>
    <dataValidation allowBlank="1" showInputMessage="1" showErrorMessage="1" promptTitle="Required:" prompt="Enter the Benefits in Addition to EHB as a numeric value up to 16 characters including decimal place." sqref="E51:CI51" xr:uid="{4A45774F-205F-4917-8E74-9DDDC8CFE4EB}"/>
    <dataValidation allowBlank="1" showInputMessage="1" showErrorMessage="1" promptTitle="Required:" prompt="Enter the Provider Network Adjustment as a numeric value up to 16 characters including decimal place." sqref="E50:CI50" xr:uid="{529E03EE-DD51-4D8F-8A67-A31FFBB3028E}"/>
    <dataValidation allowBlank="1" showInputMessage="1" showErrorMessage="1" promptTitle="Required:" prompt="Enter the AV Cost Sharing Design of Plan as a numeric value up to 16 characters including decimal place." sqref="E49:CI49" xr:uid="{888451EA-21D9-4325-AC21-17385F80433A}"/>
    <dataValidation allowBlank="1" showInputMessage="1" showErrorMessage="1" promptTitle="Required:" prompt="Enter the Current Premium PMPM as a dollar amount greater than or equal to 0, with up to 16 characters including decimal place." sqref="E35:CI35" xr:uid="{A8EB03AB-10CA-4AD5-AAB8-DBCDAADAF444}"/>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CI34" xr:uid="{80EF022A-AC54-49C4-A865-DD55C2F55701}">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CI33" xr:uid="{F7E95E66-8064-4911-9E2C-D7CF1375226E}">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CI32" xr:uid="{12FB03ED-949E-4FC4-8FAC-8BE3E2A7AFDA}"/>
    <dataValidation allowBlank="1" showInputMessage="1" showErrorMessage="1" promptTitle="Required:" prompt="Enter the Risk Adjustment Transfer Amount for the benefit plan with service dates within the experience period as a dollar value with up to 16 characters including decimal place." sqref="E31:CI31" xr:uid="{77D6B54F-42F4-47B3-B306-2B85778BA4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CI30" xr:uid="{6B68735D-D219-4EB5-B952-CBFCB5D4E0ED}">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CI29" xr:uid="{FAEF3729-028C-4C48-8D7C-57005DDC6C1B}"/>
    <dataValidation allowBlank="1" showInputMessage="1" showErrorMessage="1" promptTitle="Required:" prompt="Enter the Member Cost Sharing for the benefit plan with service dates within the experience period as a dollar value with up to 16 characters including decimal place." sqref="E28:CI28" xr:uid="{B0A2C931-9DA5-4B9F-BED6-0AAE0A1371DD}"/>
    <dataValidation allowBlank="1" showInputMessage="1" showErrorMessage="1" promptTitle="Required:" prompt="Enter Reinsurance for the benefit plan with service dates within the experience period as a dollar value with up to 16 characters including decimal place." sqref="E27:CI27" xr:uid="{E2A4B730-9B98-447C-AD12-8107E38B26B4}"/>
    <dataValidation allowBlank="1" showInputMessage="1" showErrorMessage="1" promptTitle="Required:" prompt="Enter the total allowed claims for the benefit plan with service dates within the experience period as a dollar value with up to 16 characters including decimal place." sqref="E26:CI26" xr:uid="{641B2616-CAD0-42F0-A557-652378F9F9CB}"/>
    <dataValidation allowBlank="1" showInputMessage="1" showErrorMessage="1" promptTitle="Required:" prompt="Enter the average change in premium rates over the twelve month period prior to the effective date for the plan as a percentage with up to 16 characters including decimal place." sqref="E20:CI20" xr:uid="{B7D472C7-116E-4032-BF69-BC64F226502B}"/>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CI19" xr:uid="{B5B4F623-4B8A-41C1-90B3-CDD09F73A6C1}">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CI18" xr:uid="{34DC0885-9E05-4737-98DB-E4D297CF2DD5}">
      <formula1>YesNo</formula1>
    </dataValidation>
    <dataValidation allowBlank="1" showInputMessage="1" showErrorMessage="1" promptTitle="Required:" prompt="Enter the AV Metal Value for the designated plan as a numeric value between 0 and 1, with up to 16 characters including decimal place." sqref="E15:CI15" xr:uid="{9387C9BD-1FE7-4B4F-A4F6-A9BF60074595}"/>
    <dataValidation type="list" operator="greaterThan" allowBlank="1" showInputMessage="1" showErrorMessage="1" errorTitle="Value not valid:" error="Select a value from the list." promptTitle="Required:" prompt="Select the Plan Category for the designated plan." sqref="E16:CI16" xr:uid="{285F8A57-F18E-4957-B7DA-737190138884}">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CI13" xr:uid="{F6D5CD59-13DC-4441-9124-A4929BC8747B}">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CI12" xr:uid="{EC111EE8-69A7-49F1-979C-000133EA2697}">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CI14" xr:uid="{4AA33E32-1B9A-4BFD-A2E9-BCFF1175F650}">
      <formula1>MetalLevels</formula1>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AX11" xr:uid="{4C2F7FF0-D8C4-442E-860E-0C5F0772D237}">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AX10" xr:uid="{BFA3F82A-487C-49F5-AB42-B51CDC520378}">
      <formula1>0</formula1>
      <formula2>100</formula2>
    </dataValidation>
    <dataValidation type="list" allowBlank="1" showInputMessage="1" showErrorMessage="1" errorTitle="Value not valid:" error="Select a value from the list." promptTitle="Required:" prompt="Select the Plan Type for the designated plan." sqref="E17:CI17" xr:uid="{88265A85-F7BB-40D9-8718-20B006D8B7FB}">
      <formula1>"HMO, PPO, Indemnity, EPO, POS"</formula1>
    </dataValidation>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990600</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114300</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152400</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57150</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25</xdr:col>
                    <xdr:colOff>28575</xdr:colOff>
                    <xdr:row>0</xdr:row>
                    <xdr:rowOff>0</xdr:rowOff>
                  </from>
                  <to>
                    <xdr:col>26</xdr:col>
                    <xdr:colOff>19050</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69</xdr:col>
                    <xdr:colOff>228600</xdr:colOff>
                    <xdr:row>0</xdr:row>
                    <xdr:rowOff>0</xdr:rowOff>
                  </from>
                  <to>
                    <xdr:col>70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18"/>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220</v>
      </c>
      <c r="B1"/>
      <c r="C1" s="99" t="s">
        <v>215</v>
      </c>
    </row>
    <row r="2" spans="1:3">
      <c r="A2" s="100" t="s">
        <v>225</v>
      </c>
      <c r="B2"/>
      <c r="C2" s="99" t="s">
        <v>216</v>
      </c>
    </row>
    <row r="3" spans="1:3">
      <c r="A3"/>
      <c r="B3"/>
      <c r="C3" s="99" t="s">
        <v>213</v>
      </c>
    </row>
    <row r="4" spans="1:3">
      <c r="A4"/>
      <c r="B4"/>
      <c r="C4" s="99" t="s">
        <v>214</v>
      </c>
    </row>
    <row r="5" spans="1:3">
      <c r="A5" s="79"/>
      <c r="B5" s="80"/>
      <c r="C5" s="99"/>
    </row>
    <row r="6" spans="1:3">
      <c r="A6" s="87" t="s">
        <v>398</v>
      </c>
      <c r="B6" s="91">
        <v>0.99524612695883097</v>
      </c>
    </row>
    <row r="7" spans="1:3">
      <c r="A7" s="87" t="s">
        <v>399</v>
      </c>
      <c r="B7" s="91">
        <v>1.21198244013739</v>
      </c>
    </row>
    <row r="8" spans="1:3">
      <c r="A8" s="87" t="s">
        <v>400</v>
      </c>
      <c r="B8" s="91">
        <v>1.3049461612153299</v>
      </c>
    </row>
    <row r="9" spans="1:3">
      <c r="A9" s="87" t="s">
        <v>401</v>
      </c>
      <c r="B9" s="91">
        <v>1.3392773973748899</v>
      </c>
    </row>
    <row r="10" spans="1:3">
      <c r="A10" s="87" t="s">
        <v>402</v>
      </c>
      <c r="B10" s="91">
        <v>1.1541418224656299</v>
      </c>
    </row>
    <row r="11" spans="1:3">
      <c r="A11" s="87" t="s">
        <v>404</v>
      </c>
      <c r="B11" s="91">
        <v>1.1348938228285701</v>
      </c>
    </row>
    <row r="12" spans="1:3">
      <c r="A12" s="87" t="s">
        <v>406</v>
      </c>
      <c r="B12" s="91">
        <v>1.13438581232739</v>
      </c>
    </row>
    <row r="13" spans="1:3">
      <c r="A13" s="87" t="s">
        <v>407</v>
      </c>
      <c r="B13" s="91">
        <v>0.933621873798131</v>
      </c>
    </row>
    <row r="14" spans="1:3">
      <c r="A14" s="87" t="s">
        <v>408</v>
      </c>
      <c r="B14" s="91">
        <v>0.91562814379290003</v>
      </c>
    </row>
    <row r="15" spans="1:3">
      <c r="A15" s="87" t="s">
        <v>409</v>
      </c>
      <c r="B15" s="91">
        <v>1.00489153975391</v>
      </c>
    </row>
    <row r="16" spans="1:3">
      <c r="A16" s="87" t="s">
        <v>410</v>
      </c>
      <c r="B16" s="91">
        <v>0.98219336210128605</v>
      </c>
    </row>
    <row r="17" spans="1:2">
      <c r="A17" s="87" t="s">
        <v>412</v>
      </c>
      <c r="B17" s="91">
        <v>0.93613005958194595</v>
      </c>
    </row>
    <row r="18" spans="1:2">
      <c r="A18" s="87" t="s">
        <v>413</v>
      </c>
      <c r="B18" s="91">
        <v>1.00489153975391</v>
      </c>
    </row>
  </sheetData>
  <sheetProtection algorithmName="SHA-512" hashValue="vn87mmWa4j4gSf1NNnIeIAj6xhqgrGIr/dFs7T675vOhfdnhYN3AaN7GvQgxkV5fnetpNCf83m74tANYlQEAsg==" saltValue="G3ajw3qFTEC7UR0ZYKs5bw==" spinCount="100000"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2:23" ht="18.75">
      <c r="C1" s="16" t="s">
        <v>13</v>
      </c>
      <c r="D1" s="16"/>
      <c r="E1" s="3"/>
      <c r="F1" s="3"/>
      <c r="G1" s="3"/>
      <c r="H1" s="3"/>
      <c r="I1" s="4"/>
      <c r="J1" s="1"/>
      <c r="K1" s="1"/>
      <c r="L1" s="1"/>
      <c r="M1" s="1"/>
      <c r="N1" s="1"/>
      <c r="O1" s="1"/>
      <c r="P1" s="1"/>
      <c r="Q1" s="1"/>
      <c r="R1" s="1"/>
      <c r="S1" s="1"/>
      <c r="T1" s="1"/>
      <c r="U1" s="1"/>
      <c r="V1" s="1"/>
    </row>
    <row r="2" spans="2:23" ht="18.75">
      <c r="C2" s="3"/>
      <c r="D2" s="3"/>
      <c r="E2" s="3"/>
      <c r="F2" s="3"/>
      <c r="G2" s="3"/>
      <c r="H2" s="3"/>
      <c r="I2" s="4"/>
      <c r="J2" s="1"/>
      <c r="K2" s="1"/>
      <c r="L2" s="1"/>
      <c r="M2" s="1"/>
      <c r="N2" s="1"/>
      <c r="O2" s="1"/>
      <c r="P2" s="1"/>
      <c r="Q2" s="1"/>
      <c r="R2" s="1"/>
      <c r="S2" s="1"/>
      <c r="T2" s="1"/>
      <c r="U2" s="1"/>
      <c r="V2" s="1"/>
    </row>
    <row r="3" spans="2:23" ht="18.75">
      <c r="C3" s="6" t="s">
        <v>5</v>
      </c>
      <c r="D3" s="3" t="str">
        <f>IF('Wksh 1 - Market Experience'!C3&lt;&gt;"", 'Wksh 1 - Market Experience'!C3,"")</f>
        <v>Alliant Health Plans</v>
      </c>
      <c r="F3" s="3"/>
      <c r="G3" s="21"/>
      <c r="J3" s="1"/>
      <c r="K3" s="1"/>
      <c r="N3" s="6" t="s">
        <v>7</v>
      </c>
      <c r="O3" s="74" t="str">
        <f>IF('Wksh 1 - Market Experience'!E4="","",'Wksh 1 - Market Experience'!E4)</f>
        <v>GA</v>
      </c>
      <c r="P3" s="1"/>
    </row>
    <row r="4" spans="2:23" ht="18.75">
      <c r="C4" s="7" t="s">
        <v>6</v>
      </c>
      <c r="D4" s="4">
        <f>IF('Wksh 1 - Market Experience'!C4&lt;&gt;"", 'Wksh 1 - Market Experience'!C4,"")</f>
        <v>83761</v>
      </c>
      <c r="F4" s="3"/>
      <c r="G4" s="68"/>
      <c r="J4" s="1"/>
      <c r="K4" s="1"/>
      <c r="N4" s="6" t="s">
        <v>9</v>
      </c>
      <c r="O4" s="74" t="str">
        <f>IF('Wksh 1 - Market Experience'!E5="","",'Wksh 1 - Market Experience'!E5)</f>
        <v>Individual</v>
      </c>
      <c r="P4" s="1"/>
    </row>
    <row r="5" spans="2:23" ht="18.75">
      <c r="C5" s="6" t="s">
        <v>14</v>
      </c>
      <c r="D5" s="83" t="e">
        <f>IF('Wksh 1 - Market Experience'!#REF!&lt;&gt;"", 'Wksh 1 - Market Experience'!#REF!,"")</f>
        <v>#REF!</v>
      </c>
      <c r="F5" s="3"/>
      <c r="G5" s="266"/>
      <c r="H5" s="266"/>
      <c r="I5" s="267"/>
      <c r="J5" s="1"/>
      <c r="K5" s="1"/>
      <c r="L5" s="1"/>
      <c r="M5" s="1"/>
      <c r="N5" s="1"/>
      <c r="O5" s="1"/>
      <c r="P5" s="1"/>
      <c r="Q5" s="1"/>
      <c r="R5" s="1"/>
      <c r="S5" s="1"/>
      <c r="T5" s="1"/>
      <c r="U5" s="1"/>
      <c r="V5" s="1"/>
    </row>
    <row r="6" spans="2:23">
      <c r="C6" s="1"/>
      <c r="D6" s="1"/>
      <c r="E6" s="1"/>
      <c r="F6" s="1"/>
      <c r="G6" s="1"/>
      <c r="H6" s="1"/>
      <c r="I6" s="2"/>
      <c r="J6" s="1"/>
      <c r="K6" s="1"/>
      <c r="L6" s="1"/>
      <c r="M6" s="1"/>
      <c r="N6" s="1"/>
      <c r="O6" s="1"/>
      <c r="P6" s="1"/>
      <c r="Q6" s="1"/>
      <c r="R6" s="1"/>
      <c r="S6" s="1"/>
      <c r="T6" s="1"/>
      <c r="U6" s="1"/>
      <c r="V6" s="1"/>
    </row>
    <row r="7" spans="2:23">
      <c r="C7" s="15" t="s">
        <v>15</v>
      </c>
      <c r="D7" s="23"/>
      <c r="E7" s="8"/>
      <c r="F7" s="8"/>
      <c r="G7" s="8"/>
      <c r="H7" s="8"/>
      <c r="I7" s="9"/>
      <c r="J7" s="8"/>
      <c r="K7" s="8"/>
      <c r="L7" s="8"/>
      <c r="M7" s="8"/>
      <c r="N7" s="8"/>
      <c r="O7" s="8"/>
      <c r="P7" s="8"/>
      <c r="Q7" s="8"/>
      <c r="R7" s="8"/>
      <c r="S7" s="8"/>
      <c r="T7" s="8"/>
      <c r="U7" s="8"/>
      <c r="V7" s="8"/>
      <c r="W7" s="10"/>
    </row>
    <row r="8" spans="2:23">
      <c r="C8" s="11"/>
      <c r="D8" s="12"/>
      <c r="E8" s="12"/>
      <c r="F8" s="12"/>
      <c r="G8" s="12"/>
      <c r="H8" s="12"/>
      <c r="I8" s="13"/>
      <c r="J8" s="12"/>
      <c r="K8" s="12"/>
      <c r="L8" s="12"/>
      <c r="M8" s="12"/>
      <c r="N8" s="12"/>
      <c r="O8" s="12"/>
      <c r="P8" s="12"/>
      <c r="Q8" s="12"/>
      <c r="R8" s="12"/>
      <c r="S8" s="12"/>
      <c r="T8" s="12"/>
      <c r="U8" s="12"/>
      <c r="V8" s="12"/>
      <c r="W8" s="14"/>
    </row>
    <row r="9" spans="2:23">
      <c r="B9" s="75" t="s">
        <v>103</v>
      </c>
      <c r="C9" s="19" t="s">
        <v>77</v>
      </c>
      <c r="D9" s="19"/>
      <c r="E9" s="17"/>
      <c r="F9" s="17"/>
      <c r="G9" s="17"/>
      <c r="H9" s="17"/>
      <c r="I9" s="18"/>
      <c r="J9" s="17"/>
      <c r="K9" s="17"/>
      <c r="L9" s="17"/>
      <c r="M9" s="17"/>
      <c r="N9" s="17"/>
      <c r="O9" s="17"/>
      <c r="P9" s="17"/>
      <c r="Q9" s="17"/>
      <c r="R9" s="17"/>
      <c r="S9" s="17"/>
      <c r="T9" s="17"/>
      <c r="U9" s="17"/>
      <c r="V9" s="17"/>
    </row>
    <row r="10" spans="2:23">
      <c r="B10" s="146" t="s">
        <v>153</v>
      </c>
      <c r="C10" s="147" t="s">
        <v>104</v>
      </c>
      <c r="D10" s="268"/>
      <c r="E10" s="177"/>
      <c r="I10" s="70"/>
      <c r="J10" s="70"/>
      <c r="K10" s="70" t="s">
        <v>398</v>
      </c>
      <c r="L10" s="67" t="s">
        <v>27</v>
      </c>
      <c r="M10" s="70" t="s">
        <v>81</v>
      </c>
      <c r="N10" s="70" t="s">
        <v>137</v>
      </c>
      <c r="O10" s="70" t="s">
        <v>143</v>
      </c>
    </row>
    <row r="11" spans="2:23">
      <c r="B11" s="146" t="s">
        <v>154</v>
      </c>
      <c r="C11" s="147" t="s">
        <v>105</v>
      </c>
      <c r="D11" s="269"/>
      <c r="E11" s="177"/>
      <c r="I11" s="70"/>
      <c r="J11" s="70"/>
      <c r="K11" s="70" t="s">
        <v>399</v>
      </c>
      <c r="L11" s="67" t="s">
        <v>28</v>
      </c>
      <c r="M11" s="70" t="s">
        <v>82</v>
      </c>
      <c r="N11" s="70" t="s">
        <v>138</v>
      </c>
      <c r="O11" s="70" t="s">
        <v>144</v>
      </c>
    </row>
    <row r="12" spans="2:23">
      <c r="B12" s="146" t="s">
        <v>155</v>
      </c>
      <c r="C12" s="147" t="s">
        <v>10</v>
      </c>
      <c r="D12" s="269"/>
      <c r="E12" s="179"/>
      <c r="I12" s="70"/>
      <c r="J12" s="70"/>
      <c r="K12" s="70" t="s">
        <v>400</v>
      </c>
      <c r="L12" s="67" t="s">
        <v>29</v>
      </c>
      <c r="M12" s="70" t="s">
        <v>83</v>
      </c>
      <c r="N12" s="70" t="s">
        <v>139</v>
      </c>
    </row>
    <row r="13" spans="2:23">
      <c r="B13" s="146" t="s">
        <v>156</v>
      </c>
      <c r="C13" s="147" t="s">
        <v>106</v>
      </c>
      <c r="D13" s="269"/>
      <c r="E13" s="180"/>
      <c r="I13" s="70"/>
      <c r="K13" s="70" t="s">
        <v>401</v>
      </c>
      <c r="L13" s="67" t="s">
        <v>30</v>
      </c>
      <c r="N13" s="70" t="s">
        <v>140</v>
      </c>
    </row>
    <row r="14" spans="2:23">
      <c r="B14" s="146" t="s">
        <v>157</v>
      </c>
      <c r="C14" s="147" t="s">
        <v>107</v>
      </c>
      <c r="D14" s="269"/>
      <c r="E14" s="181"/>
      <c r="K14" s="70" t="s">
        <v>402</v>
      </c>
      <c r="L14" s="67" t="s">
        <v>31</v>
      </c>
      <c r="N14" s="70" t="s">
        <v>141</v>
      </c>
    </row>
    <row r="15" spans="2:23">
      <c r="B15" s="146" t="s">
        <v>158</v>
      </c>
      <c r="C15" s="147" t="s">
        <v>26</v>
      </c>
      <c r="D15" s="269"/>
      <c r="E15" s="182"/>
      <c r="K15" s="70" t="s">
        <v>403</v>
      </c>
      <c r="L15" s="67" t="s">
        <v>32</v>
      </c>
      <c r="N15" s="70" t="s">
        <v>142</v>
      </c>
    </row>
    <row r="16" spans="2:23">
      <c r="B16" s="146" t="s">
        <v>159</v>
      </c>
      <c r="C16" s="147" t="s">
        <v>80</v>
      </c>
      <c r="D16" s="269"/>
      <c r="E16" s="179"/>
      <c r="K16" t="s">
        <v>404</v>
      </c>
      <c r="L16" s="67" t="s">
        <v>33</v>
      </c>
    </row>
    <row r="17" spans="1:12">
      <c r="B17" s="146" t="s">
        <v>152</v>
      </c>
      <c r="C17" s="147" t="s">
        <v>108</v>
      </c>
      <c r="D17" s="269"/>
      <c r="E17" s="179"/>
      <c r="K17" t="s">
        <v>405</v>
      </c>
      <c r="L17" s="67" t="s">
        <v>35</v>
      </c>
    </row>
    <row r="18" spans="1:12">
      <c r="B18" s="146" t="s">
        <v>151</v>
      </c>
      <c r="C18" s="147" t="s">
        <v>16</v>
      </c>
      <c r="D18" s="269"/>
      <c r="E18" s="183"/>
      <c r="K18" t="s">
        <v>406</v>
      </c>
      <c r="L18" s="67" t="s">
        <v>34</v>
      </c>
    </row>
    <row r="19" spans="1:12">
      <c r="B19" s="146" t="s">
        <v>147</v>
      </c>
      <c r="C19" s="147" t="s">
        <v>25</v>
      </c>
      <c r="D19" s="269"/>
      <c r="E19" s="184"/>
      <c r="K19" t="s">
        <v>407</v>
      </c>
      <c r="L19" s="67" t="s">
        <v>36</v>
      </c>
    </row>
    <row r="20" spans="1:12">
      <c r="B20" s="146" t="s">
        <v>148</v>
      </c>
      <c r="C20" s="147" t="s">
        <v>109</v>
      </c>
      <c r="D20" s="269"/>
      <c r="E20" s="185"/>
      <c r="K20" t="s">
        <v>408</v>
      </c>
      <c r="L20" s="67" t="s">
        <v>37</v>
      </c>
    </row>
    <row r="21" spans="1:12">
      <c r="B21" s="146" t="s">
        <v>149</v>
      </c>
      <c r="C21" s="147" t="s">
        <v>84</v>
      </c>
      <c r="D21" s="269"/>
      <c r="E21" s="178"/>
      <c r="K21" t="s">
        <v>409</v>
      </c>
      <c r="L21" s="67" t="s">
        <v>38</v>
      </c>
    </row>
    <row r="22" spans="1:12">
      <c r="B22" s="148" t="s">
        <v>150</v>
      </c>
      <c r="C22" s="138" t="s">
        <v>210</v>
      </c>
      <c r="D22" s="270"/>
      <c r="E22" s="178"/>
      <c r="K22" t="s">
        <v>410</v>
      </c>
      <c r="L22" s="67" t="s">
        <v>39</v>
      </c>
    </row>
    <row r="23" spans="1:12">
      <c r="E23" s="73"/>
      <c r="K23" t="s">
        <v>411</v>
      </c>
      <c r="L23" s="67" t="s">
        <v>40</v>
      </c>
    </row>
    <row r="24" spans="1:12" ht="18.75">
      <c r="A24" s="6"/>
      <c r="B24" s="75"/>
      <c r="C24" s="78" t="s">
        <v>110</v>
      </c>
      <c r="D24" s="1"/>
      <c r="E24" s="17"/>
      <c r="K24" t="s">
        <v>412</v>
      </c>
      <c r="L24" s="67" t="s">
        <v>41</v>
      </c>
    </row>
    <row r="25" spans="1:12" ht="18.75">
      <c r="A25" s="6"/>
      <c r="B25" s="146" t="s">
        <v>160</v>
      </c>
      <c r="C25" s="147" t="s">
        <v>106</v>
      </c>
      <c r="D25" s="186" t="s">
        <v>2</v>
      </c>
      <c r="E25" s="90" t="str">
        <f>IF(E13&lt;&gt;"",E13,"")</f>
        <v/>
      </c>
      <c r="K25" t="s">
        <v>413</v>
      </c>
      <c r="L25" s="67" t="s">
        <v>42</v>
      </c>
    </row>
    <row r="26" spans="1:12" ht="18.75">
      <c r="A26" s="6"/>
      <c r="B26" s="146" t="s">
        <v>161</v>
      </c>
      <c r="C26" s="147" t="s">
        <v>86</v>
      </c>
      <c r="D26" s="159">
        <f>SUM(E26:XFD26)</f>
        <v>0</v>
      </c>
      <c r="E26" s="187"/>
      <c r="L26" s="67" t="s">
        <v>43</v>
      </c>
    </row>
    <row r="27" spans="1:12" ht="18.75">
      <c r="A27" s="6"/>
      <c r="B27" s="146" t="s">
        <v>162</v>
      </c>
      <c r="C27" s="152" t="s">
        <v>87</v>
      </c>
      <c r="D27" s="159">
        <f>SUM(E27:XFD27)</f>
        <v>0</v>
      </c>
      <c r="E27" s="187"/>
      <c r="L27" s="67" t="s">
        <v>44</v>
      </c>
    </row>
    <row r="28" spans="1:12" ht="18.75">
      <c r="A28" s="6"/>
      <c r="B28" s="146" t="s">
        <v>163</v>
      </c>
      <c r="C28" s="152" t="s">
        <v>111</v>
      </c>
      <c r="D28" s="160">
        <f>SUM(E28:XFD28)</f>
        <v>0</v>
      </c>
      <c r="E28" s="187"/>
      <c r="L28" s="67" t="s">
        <v>45</v>
      </c>
    </row>
    <row r="29" spans="1:12" ht="18.75">
      <c r="A29" s="6"/>
      <c r="B29" s="146" t="s">
        <v>164</v>
      </c>
      <c r="C29" s="152" t="s">
        <v>112</v>
      </c>
      <c r="D29" s="160">
        <f>SUM(E29:XFD29)</f>
        <v>0</v>
      </c>
      <c r="E29" s="187"/>
      <c r="L29" s="67" t="s">
        <v>46</v>
      </c>
    </row>
    <row r="30" spans="1:12" ht="18.75">
      <c r="A30" s="6"/>
      <c r="B30" s="146" t="s">
        <v>165</v>
      </c>
      <c r="C30" s="152" t="s">
        <v>113</v>
      </c>
      <c r="D30" s="160">
        <f>D26-D27-D28-D29</f>
        <v>0</v>
      </c>
      <c r="E30" s="217">
        <f>E26-E27-E28-E29</f>
        <v>0</v>
      </c>
      <c r="L30" s="67" t="s">
        <v>47</v>
      </c>
    </row>
    <row r="31" spans="1:12" ht="18.75">
      <c r="A31" s="6"/>
      <c r="B31" s="146" t="s">
        <v>166</v>
      </c>
      <c r="C31" s="152" t="s">
        <v>114</v>
      </c>
      <c r="D31" s="160">
        <f>SUM(E31:XFD31)</f>
        <v>0</v>
      </c>
      <c r="E31" s="187"/>
      <c r="L31" s="67" t="s">
        <v>48</v>
      </c>
    </row>
    <row r="32" spans="1:12" ht="18.75">
      <c r="A32" s="6"/>
      <c r="B32" s="146" t="s">
        <v>167</v>
      </c>
      <c r="C32" s="152" t="s">
        <v>115</v>
      </c>
      <c r="D32" s="160">
        <f>SUM(E32:XFD32)</f>
        <v>0</v>
      </c>
      <c r="E32" s="187"/>
      <c r="L32" s="67" t="s">
        <v>49</v>
      </c>
    </row>
    <row r="33" spans="1:12" ht="18.75">
      <c r="A33" s="6"/>
      <c r="B33" s="146" t="s">
        <v>168</v>
      </c>
      <c r="C33" s="152" t="s">
        <v>22</v>
      </c>
      <c r="D33" s="161">
        <f>SUM(E33:XFD33)</f>
        <v>0</v>
      </c>
      <c r="E33" s="218"/>
      <c r="L33" s="67" t="s">
        <v>50</v>
      </c>
    </row>
    <row r="34" spans="1:12" ht="18.75">
      <c r="A34" s="6"/>
      <c r="B34" s="146" t="s">
        <v>169</v>
      </c>
      <c r="C34" s="152" t="s">
        <v>116</v>
      </c>
      <c r="D34" s="161">
        <f>SUM(E34:XFD34)</f>
        <v>0</v>
      </c>
      <c r="E34" s="218"/>
      <c r="L34" s="67" t="s">
        <v>51</v>
      </c>
    </row>
    <row r="35" spans="1:12" ht="18.75">
      <c r="A35" s="6"/>
      <c r="B35" s="146" t="s">
        <v>170</v>
      </c>
      <c r="C35" s="152" t="s">
        <v>117</v>
      </c>
      <c r="D35" s="162" t="e">
        <f>SUMPRODUCT(E35:XFD35,E34:XFD34)/D34</f>
        <v>#DIV/0!</v>
      </c>
      <c r="E35" s="188"/>
      <c r="L35" s="67" t="s">
        <v>52</v>
      </c>
    </row>
    <row r="36" spans="1:12" ht="18.75">
      <c r="A36" s="6"/>
      <c r="B36" s="148" t="s">
        <v>171</v>
      </c>
      <c r="C36" s="170" t="s">
        <v>118</v>
      </c>
      <c r="D36" s="88" t="e">
        <f>D30/(D31+D32)</f>
        <v>#DIV/0!</v>
      </c>
      <c r="E36" s="88" t="e">
        <f>E30/(E31+E32)</f>
        <v>#DIV/0!</v>
      </c>
      <c r="L36" s="67" t="s">
        <v>53</v>
      </c>
    </row>
    <row r="37" spans="1:12" ht="18.75">
      <c r="A37" s="6"/>
      <c r="B37" s="75"/>
      <c r="C37" s="78" t="s">
        <v>120</v>
      </c>
      <c r="D37" s="6"/>
      <c r="L37" s="67" t="s">
        <v>54</v>
      </c>
    </row>
    <row r="38" spans="1:12" ht="18.75">
      <c r="A38" s="6"/>
      <c r="B38" s="146" t="s">
        <v>172</v>
      </c>
      <c r="C38" s="152" t="s">
        <v>86</v>
      </c>
      <c r="D38" s="86" t="e">
        <f>D26/D33</f>
        <v>#DIV/0!</v>
      </c>
      <c r="E38" s="86" t="e">
        <f>E26/E33</f>
        <v>#DIV/0!</v>
      </c>
      <c r="L38" s="67" t="s">
        <v>55</v>
      </c>
    </row>
    <row r="39" spans="1:12" ht="18.75">
      <c r="A39" s="6"/>
      <c r="B39" s="146" t="s">
        <v>173</v>
      </c>
      <c r="C39" s="152" t="s">
        <v>87</v>
      </c>
      <c r="D39" s="86" t="e">
        <f>D27/D33</f>
        <v>#DIV/0!</v>
      </c>
      <c r="E39" s="86" t="e">
        <f>E27/E33</f>
        <v>#DIV/0!</v>
      </c>
      <c r="L39" s="67" t="s">
        <v>56</v>
      </c>
    </row>
    <row r="40" spans="1:12" ht="18.75">
      <c r="A40" s="6"/>
      <c r="B40" s="146" t="s">
        <v>174</v>
      </c>
      <c r="C40" s="152" t="s">
        <v>111</v>
      </c>
      <c r="D40" s="86" t="e">
        <f>D28/D33</f>
        <v>#DIV/0!</v>
      </c>
      <c r="E40" s="86" t="e">
        <f>E28/E33</f>
        <v>#DIV/0!</v>
      </c>
      <c r="L40" s="67" t="s">
        <v>57</v>
      </c>
    </row>
    <row r="41" spans="1:12" ht="18.75">
      <c r="A41" s="6"/>
      <c r="B41" s="146" t="s">
        <v>175</v>
      </c>
      <c r="C41" s="152" t="s">
        <v>112</v>
      </c>
      <c r="D41" s="86" t="e">
        <f>D29/D33</f>
        <v>#DIV/0!</v>
      </c>
      <c r="E41" s="86" t="e">
        <f>E29/E33</f>
        <v>#DIV/0!</v>
      </c>
      <c r="L41" s="67" t="s">
        <v>58</v>
      </c>
    </row>
    <row r="42" spans="1:12" ht="18.75">
      <c r="A42" s="6"/>
      <c r="B42" s="146" t="s">
        <v>176</v>
      </c>
      <c r="C42" s="152" t="s">
        <v>113</v>
      </c>
      <c r="D42" s="86" t="e">
        <f>D30/D33</f>
        <v>#DIV/0!</v>
      </c>
      <c r="E42" s="86" t="e">
        <f>E30/E33</f>
        <v>#DIV/0!</v>
      </c>
      <c r="L42" s="67" t="s">
        <v>59</v>
      </c>
    </row>
    <row r="43" spans="1:12" ht="18.75">
      <c r="A43" s="6"/>
      <c r="B43" s="146" t="s">
        <v>177</v>
      </c>
      <c r="C43" s="152" t="s">
        <v>114</v>
      </c>
      <c r="D43" s="86" t="e">
        <f>D31/D33</f>
        <v>#DIV/0!</v>
      </c>
      <c r="E43" s="86" t="e">
        <f>E31/E33</f>
        <v>#DIV/0!</v>
      </c>
      <c r="G43" s="5"/>
      <c r="L43" s="67" t="s">
        <v>60</v>
      </c>
    </row>
    <row r="44" spans="1:12" ht="18.75">
      <c r="A44" s="6"/>
      <c r="B44" s="148" t="s">
        <v>178</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179</v>
      </c>
      <c r="C47" s="189" t="s">
        <v>106</v>
      </c>
      <c r="D47" s="271"/>
      <c r="E47" s="191" t="str">
        <f>IF(E13&lt;&gt;"",E13,"")</f>
        <v/>
      </c>
      <c r="L47" s="67" t="s">
        <v>64</v>
      </c>
    </row>
    <row r="48" spans="1:12" ht="18.75">
      <c r="A48" s="6"/>
      <c r="B48" s="146" t="s">
        <v>180</v>
      </c>
      <c r="C48" s="189" t="s">
        <v>122</v>
      </c>
      <c r="D48" s="272"/>
      <c r="E48" s="192">
        <f>'Wksh 1 - Market Experience'!F46</f>
        <v>601.75353611833407</v>
      </c>
      <c r="L48" s="67" t="s">
        <v>65</v>
      </c>
    </row>
    <row r="49" spans="1:12" ht="18.75">
      <c r="A49" s="6"/>
      <c r="B49" s="146" t="s">
        <v>181</v>
      </c>
      <c r="C49" s="189" t="s">
        <v>123</v>
      </c>
      <c r="D49" s="272"/>
      <c r="E49" s="193"/>
      <c r="L49" s="67" t="s">
        <v>66</v>
      </c>
    </row>
    <row r="50" spans="1:12" ht="18.75">
      <c r="A50" s="6"/>
      <c r="B50" s="146" t="s">
        <v>182</v>
      </c>
      <c r="C50" s="189" t="s">
        <v>124</v>
      </c>
      <c r="D50" s="272"/>
      <c r="E50" s="193"/>
      <c r="L50" s="67" t="s">
        <v>67</v>
      </c>
    </row>
    <row r="51" spans="1:12" ht="18.75">
      <c r="A51" s="6"/>
      <c r="B51" s="148" t="s">
        <v>183</v>
      </c>
      <c r="C51" s="190" t="s">
        <v>125</v>
      </c>
      <c r="D51" s="273"/>
      <c r="E51" s="193"/>
      <c r="L51" s="67" t="s">
        <v>68</v>
      </c>
    </row>
    <row r="52" spans="1:12" ht="18.75">
      <c r="A52" s="6"/>
      <c r="C52" s="82" t="s">
        <v>131</v>
      </c>
      <c r="D52" s="6"/>
      <c r="L52" s="67" t="s">
        <v>69</v>
      </c>
    </row>
    <row r="53" spans="1:12" ht="18.75">
      <c r="A53" s="6"/>
      <c r="B53" s="146" t="s">
        <v>184</v>
      </c>
      <c r="C53" s="172" t="s">
        <v>132</v>
      </c>
      <c r="D53" s="271"/>
      <c r="E53" s="196"/>
      <c r="F53" s="5"/>
      <c r="L53" s="67" t="s">
        <v>70</v>
      </c>
    </row>
    <row r="54" spans="1:12" ht="18.75">
      <c r="A54" s="6"/>
      <c r="B54" s="146" t="s">
        <v>185</v>
      </c>
      <c r="C54" s="172" t="s">
        <v>133</v>
      </c>
      <c r="D54" s="272"/>
      <c r="E54" s="196"/>
      <c r="F54" s="5"/>
      <c r="L54" s="67" t="s">
        <v>71</v>
      </c>
    </row>
    <row r="55" spans="1:12" ht="18.75">
      <c r="A55" s="6"/>
      <c r="B55" s="146" t="s">
        <v>186</v>
      </c>
      <c r="C55" s="172" t="s">
        <v>12</v>
      </c>
      <c r="D55" s="272"/>
      <c r="E55" s="196"/>
      <c r="F55" s="5"/>
      <c r="L55" s="67" t="s">
        <v>72</v>
      </c>
    </row>
    <row r="56" spans="1:12" ht="18.75">
      <c r="A56" s="6"/>
      <c r="B56" s="146" t="s">
        <v>187</v>
      </c>
      <c r="C56" s="189" t="s">
        <v>126</v>
      </c>
      <c r="D56" s="272"/>
      <c r="E56" s="193"/>
      <c r="F56" s="5"/>
      <c r="L56" s="67" t="s">
        <v>73</v>
      </c>
    </row>
    <row r="57" spans="1:12" ht="18.75">
      <c r="A57" s="6"/>
      <c r="B57" s="148" t="s">
        <v>188</v>
      </c>
      <c r="C57" s="194" t="s">
        <v>79</v>
      </c>
      <c r="D57" s="273"/>
      <c r="E57" s="195">
        <f>($E$48*PRODUCT(E49:E51)*E56)/(1-SUM(E53:E55))</f>
        <v>0</v>
      </c>
      <c r="F57" s="5"/>
      <c r="L57" s="67" t="s">
        <v>74</v>
      </c>
    </row>
    <row r="58" spans="1:12" ht="17.25" customHeight="1">
      <c r="A58" s="6"/>
      <c r="C58" s="6"/>
      <c r="D58" s="6"/>
      <c r="F58" s="5"/>
      <c r="L58" s="67" t="s">
        <v>75</v>
      </c>
    </row>
    <row r="59" spans="1:12" ht="18.75">
      <c r="A59" s="6"/>
      <c r="B59" s="146" t="s">
        <v>189</v>
      </c>
      <c r="C59" s="189" t="s">
        <v>127</v>
      </c>
      <c r="D59" s="209"/>
      <c r="E59" s="206" t="str">
        <f>IF(D59&lt;&gt;"", D59, "")</f>
        <v/>
      </c>
      <c r="F59" s="5"/>
      <c r="L59" s="67" t="s">
        <v>8</v>
      </c>
    </row>
    <row r="60" spans="1:12" ht="18.75">
      <c r="A60" s="6"/>
      <c r="B60" s="146" t="s">
        <v>190</v>
      </c>
      <c r="C60" s="189" t="s">
        <v>128</v>
      </c>
      <c r="D60" s="209"/>
      <c r="E60" s="206" t="str">
        <f>IF(D60&lt;&gt;"", D60, "")</f>
        <v/>
      </c>
      <c r="F60" s="5"/>
      <c r="L60" s="67" t="s">
        <v>76</v>
      </c>
    </row>
    <row r="61" spans="1:12" ht="18.75">
      <c r="A61" s="6"/>
      <c r="B61" s="146" t="s">
        <v>191</v>
      </c>
      <c r="C61" s="189" t="s">
        <v>129</v>
      </c>
      <c r="D61" s="209"/>
      <c r="E61" s="206" t="str">
        <f>IF(D61&lt;&gt;"", D61, "")</f>
        <v/>
      </c>
      <c r="F61" s="5"/>
      <c r="L61" s="31"/>
    </row>
    <row r="62" spans="1:12">
      <c r="B62" s="148" t="s">
        <v>192</v>
      </c>
      <c r="C62" s="194" t="s">
        <v>134</v>
      </c>
      <c r="D62" s="197"/>
      <c r="E62" s="195">
        <f>E57*(PRODUCT($E$59:$E$61))</f>
        <v>0</v>
      </c>
      <c r="F62" s="5"/>
      <c r="L62" s="31"/>
    </row>
    <row r="63" spans="1:12" ht="18.75">
      <c r="B63" s="75"/>
      <c r="C63" s="6"/>
      <c r="D63" s="6"/>
      <c r="F63" s="5"/>
      <c r="L63" s="31"/>
    </row>
    <row r="64" spans="1:12" ht="18.75">
      <c r="C64" s="30" t="s">
        <v>130</v>
      </c>
      <c r="D64" s="6"/>
      <c r="F64" s="5"/>
      <c r="L64" s="31"/>
    </row>
    <row r="65" spans="2:12">
      <c r="B65" s="146" t="s">
        <v>193</v>
      </c>
      <c r="C65" s="152" t="s">
        <v>106</v>
      </c>
      <c r="D65" s="174" t="s">
        <v>2</v>
      </c>
      <c r="E65" s="90" t="str">
        <f>IF(E13&lt;&gt;"",E13,"")</f>
        <v/>
      </c>
      <c r="F65" s="5"/>
      <c r="L65" s="31"/>
    </row>
    <row r="66" spans="2:12">
      <c r="B66" s="146" t="s">
        <v>194</v>
      </c>
      <c r="C66" s="152" t="s">
        <v>86</v>
      </c>
      <c r="D66" s="198">
        <f>SUM(E66:XFD66)</f>
        <v>0</v>
      </c>
      <c r="E66" s="187"/>
      <c r="F66" s="5"/>
    </row>
    <row r="67" spans="2:12">
      <c r="B67" s="146" t="s">
        <v>195</v>
      </c>
      <c r="C67" s="152" t="s">
        <v>87</v>
      </c>
      <c r="D67" s="198">
        <f>SUM(E67:XFD67)</f>
        <v>0</v>
      </c>
      <c r="E67" s="187"/>
      <c r="F67" s="5"/>
    </row>
    <row r="68" spans="2:12">
      <c r="B68" s="146" t="s">
        <v>196</v>
      </c>
      <c r="C68" s="152" t="s">
        <v>111</v>
      </c>
      <c r="D68" s="198">
        <f>SUM(E68:XFD68)</f>
        <v>0</v>
      </c>
      <c r="E68" s="187"/>
      <c r="F68" s="5"/>
    </row>
    <row r="69" spans="2:12">
      <c r="B69" s="146" t="s">
        <v>197</v>
      </c>
      <c r="C69" s="152" t="s">
        <v>112</v>
      </c>
      <c r="D69" s="198">
        <f>SUM(E69:XFD69)</f>
        <v>0</v>
      </c>
      <c r="E69" s="187"/>
      <c r="F69" s="5"/>
    </row>
    <row r="70" spans="2:12">
      <c r="B70" s="146" t="s">
        <v>198</v>
      </c>
      <c r="C70" s="152" t="s">
        <v>113</v>
      </c>
      <c r="D70" s="198">
        <f>D66-D67-D68-D69</f>
        <v>0</v>
      </c>
      <c r="E70" s="159">
        <f>E66-E67-E68-E69</f>
        <v>0</v>
      </c>
      <c r="F70" s="5"/>
    </row>
    <row r="71" spans="2:12">
      <c r="B71" s="146" t="s">
        <v>199</v>
      </c>
      <c r="C71" s="152" t="s">
        <v>114</v>
      </c>
      <c r="D71" s="198">
        <f>SUM(E71:XFD71)</f>
        <v>0</v>
      </c>
      <c r="E71" s="187"/>
      <c r="F71" s="5"/>
    </row>
    <row r="72" spans="2:12">
      <c r="B72" s="146" t="s">
        <v>200</v>
      </c>
      <c r="C72" s="152" t="s">
        <v>115</v>
      </c>
      <c r="D72" s="198">
        <f>SUM(E72:XFD72)</f>
        <v>0</v>
      </c>
      <c r="E72" s="187"/>
      <c r="F72" s="5"/>
    </row>
    <row r="73" spans="2:12">
      <c r="B73" s="146" t="s">
        <v>201</v>
      </c>
      <c r="C73" s="152" t="s">
        <v>4</v>
      </c>
      <c r="D73" s="199">
        <f>SUM(E73:XFD73)</f>
        <v>0</v>
      </c>
      <c r="E73" s="218"/>
      <c r="F73" s="5"/>
    </row>
    <row r="74" spans="2:12">
      <c r="B74" s="148" t="s">
        <v>202</v>
      </c>
      <c r="C74" s="170" t="s">
        <v>118</v>
      </c>
      <c r="D74" s="175" t="e">
        <f>D70/(D71+D72)</f>
        <v>#DIV/0!</v>
      </c>
      <c r="E74" s="89" t="e">
        <f>E70/(E71+E72)</f>
        <v>#DIV/0!</v>
      </c>
      <c r="F74" s="5"/>
    </row>
    <row r="75" spans="2:12" ht="18.75">
      <c r="C75" s="78" t="s">
        <v>120</v>
      </c>
      <c r="D75" s="6"/>
      <c r="F75" s="5"/>
    </row>
    <row r="76" spans="2:12">
      <c r="B76" s="146" t="s">
        <v>203</v>
      </c>
      <c r="C76" s="152" t="s">
        <v>86</v>
      </c>
      <c r="D76" s="107" t="e">
        <f>D66/D73</f>
        <v>#DIV/0!</v>
      </c>
      <c r="E76" s="107" t="e">
        <f>E66/E73</f>
        <v>#DIV/0!</v>
      </c>
      <c r="F76" s="5"/>
    </row>
    <row r="77" spans="2:12">
      <c r="B77" s="146" t="s">
        <v>204</v>
      </c>
      <c r="C77" s="152" t="s">
        <v>87</v>
      </c>
      <c r="D77" s="86" t="e">
        <f>D67/D73</f>
        <v>#DIV/0!</v>
      </c>
      <c r="E77" s="86" t="e">
        <f>E67/E73</f>
        <v>#DIV/0!</v>
      </c>
      <c r="F77" s="5"/>
    </row>
    <row r="78" spans="2:12">
      <c r="B78" s="146" t="s">
        <v>205</v>
      </c>
      <c r="C78" s="152" t="s">
        <v>111</v>
      </c>
      <c r="D78" s="107" t="e">
        <f>D68/D73</f>
        <v>#DIV/0!</v>
      </c>
      <c r="E78" s="107" t="e">
        <f>E68/E73</f>
        <v>#DIV/0!</v>
      </c>
      <c r="F78" s="5"/>
    </row>
    <row r="79" spans="2:12">
      <c r="B79" s="146" t="s">
        <v>206</v>
      </c>
      <c r="C79" s="152" t="s">
        <v>112</v>
      </c>
      <c r="D79" s="107" t="e">
        <f>D69/D73</f>
        <v>#DIV/0!</v>
      </c>
      <c r="E79" s="107" t="e">
        <f>E69/E73</f>
        <v>#DIV/0!</v>
      </c>
      <c r="F79" s="5"/>
    </row>
    <row r="80" spans="2:12">
      <c r="B80" s="146" t="s">
        <v>207</v>
      </c>
      <c r="C80" s="147" t="s">
        <v>113</v>
      </c>
      <c r="D80" s="107" t="e">
        <f>D70/D73</f>
        <v>#DIV/0!</v>
      </c>
      <c r="E80" s="107" t="e">
        <f>E70/E73</f>
        <v>#DIV/0!</v>
      </c>
      <c r="F80" s="5"/>
    </row>
    <row r="81" spans="2:6">
      <c r="B81" s="146" t="s">
        <v>208</v>
      </c>
      <c r="C81" s="147" t="s">
        <v>114</v>
      </c>
      <c r="D81" s="107" t="e">
        <f>D71/D73</f>
        <v>#DIV/0!</v>
      </c>
      <c r="E81" s="107" t="e">
        <f>E71/E73</f>
        <v>#DIV/0!</v>
      </c>
      <c r="F81" s="5"/>
    </row>
    <row r="82" spans="2:6">
      <c r="B82" s="148" t="s">
        <v>209</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Yk7cwQk/rNx0rMLuVaSl3MR5XRYzHJoLPO//PmZN0fZNou042lnZ6RY83HAv5zPS7nCBjBVlxG9lU7eENDnqwQ==" saltValue="dB1+aw/9k3IetBsLLQ5deQ=="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A5F6A6EA-A566-43A9-9E5C-4A69CBEC21CD}"/>
</file>

<file path=customXml/itemProps3.xml><?xml version="1.0" encoding="utf-8"?>
<ds:datastoreItem xmlns:ds="http://schemas.openxmlformats.org/officeDocument/2006/customXml" ds:itemID="{8BA26A6A-6337-4ED7-A649-960EFD22D054}">
  <ds:schemaRefs>
    <ds:schemaRef ds:uri="http://schemas.microsoft.com/office/infopath/2007/PartnerControls"/>
    <ds:schemaRef ds:uri="http://purl.org/dc/elements/1.1/"/>
    <ds:schemaRef ds:uri="http://schemas.microsoft.com/office/2006/documentManagement/types"/>
    <ds:schemaRef ds:uri="a1027b0e-b76a-4f87-8a3e-5c0955473ea1"/>
    <ds:schemaRef ds:uri="http://purl.org/dc/terms/"/>
    <ds:schemaRef ds:uri="http://schemas.openxmlformats.org/package/2006/metadata/core-properties"/>
    <ds:schemaRef ds:uri="a7eddb22-ec30-47fe-81c9-a147b8ade4a5"/>
    <ds:schemaRef ds:uri="http://purl.org/dc/dcmitype/"/>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Andrea Benz</cp:lastModifiedBy>
  <dcterms:created xsi:type="dcterms:W3CDTF">2013-12-09T20:12:41Z</dcterms:created>
  <dcterms:modified xsi:type="dcterms:W3CDTF">2023-05-31T02:30:29Z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ies>
</file>