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R:\Life and Health\2023 Filings for 2024 Plan Year\URRT SG\"/>
    </mc:Choice>
  </mc:AlternateContent>
  <xr:revisionPtr revIDLastSave="0" documentId="8_{167E1909-D927-4FAF-857C-B5E1D18F42FE}" xr6:coauthVersionLast="47" xr6:coauthVersionMax="47" xr10:uidLastSave="{00000000-0000-0000-0000-000000000000}"/>
  <workbookProtection workbookAlgorithmName="SHA-512" workbookHashValue="TR9YmNdp63ViCiNOPSvDswK1AgEzrQXRlSh09fLK5xqnwvi6yg4Qq2NEomAvZrgjVpYEv+mxRMEh9IkyUEY0iA==" workbookSaltValue="RR8gVfJR+G44zqUExRi3Yg==" workbookSpinCount="100000" lockStructure="1"/>
  <bookViews>
    <workbookView xWindow="-22245" yWindow="1740" windowWidth="15375" windowHeight="7875"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35" i="13"/>
  <c r="D34" i="13"/>
  <c r="D33" i="13"/>
  <c r="D32" i="13"/>
  <c r="D31" i="13"/>
  <c r="D29" i="13"/>
  <c r="D28" i="13"/>
  <c r="D27" i="13"/>
  <c r="D26" i="13"/>
  <c r="D82" i="13" l="1"/>
  <c r="D79" i="13"/>
  <c r="D38" i="13"/>
  <c r="D39" i="13"/>
  <c r="D81" i="13"/>
  <c r="D40" i="13"/>
  <c r="D44" i="13"/>
  <c r="D78" i="13"/>
  <c r="D76" i="13"/>
  <c r="D77" i="13"/>
  <c r="D30" i="13"/>
  <c r="D41" i="13"/>
  <c r="D43" i="13"/>
  <c r="D70" i="13"/>
  <c r="C5" i="1"/>
  <c r="D74" i="13" l="1"/>
  <c r="D80" i="13"/>
  <c r="D36" i="13"/>
  <c r="D42"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 r="BH82" i="13"/>
  <c r="BG82" i="13"/>
  <c r="BF82" i="13"/>
  <c r="BE82" i="13"/>
  <c r="BD82" i="13"/>
  <c r="BC82" i="13"/>
  <c r="BB82" i="13"/>
  <c r="BA82" i="13"/>
  <c r="AZ82" i="13"/>
  <c r="AY82" i="13"/>
  <c r="AX82" i="13"/>
  <c r="AW82" i="13"/>
  <c r="AV82" i="13"/>
  <c r="AU82" i="13"/>
  <c r="AT82" i="13"/>
  <c r="AS82" i="13"/>
  <c r="AR82" i="13"/>
  <c r="AQ82"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F82" i="13"/>
  <c r="E82" i="13"/>
  <c r="BH81" i="13"/>
  <c r="BG81" i="13"/>
  <c r="BF81" i="13"/>
  <c r="BE81" i="13"/>
  <c r="BD81" i="13"/>
  <c r="BC81" i="13"/>
  <c r="BB81" i="13"/>
  <c r="BA81" i="13"/>
  <c r="AZ81" i="13"/>
  <c r="AY81" i="13"/>
  <c r="AX81" i="13"/>
  <c r="AW81" i="13"/>
  <c r="AV81" i="13"/>
  <c r="AU81" i="13"/>
  <c r="AT81" i="13"/>
  <c r="AS81" i="13"/>
  <c r="AR81" i="13"/>
  <c r="AQ81" i="13"/>
  <c r="AP81" i="13"/>
  <c r="AO81" i="13"/>
  <c r="AN81" i="13"/>
  <c r="AM81" i="13"/>
  <c r="AL81" i="13"/>
  <c r="AK81" i="13"/>
  <c r="AJ81" i="13"/>
  <c r="AI81" i="13"/>
  <c r="AH81" i="13"/>
  <c r="AG81" i="13"/>
  <c r="AF81" i="13"/>
  <c r="AE81" i="13"/>
  <c r="AD81" i="13"/>
  <c r="AC81" i="13"/>
  <c r="AB81" i="13"/>
  <c r="AA81" i="13"/>
  <c r="Z81" i="13"/>
  <c r="Y81" i="13"/>
  <c r="X81" i="13"/>
  <c r="W81" i="13"/>
  <c r="V81" i="13"/>
  <c r="U81" i="13"/>
  <c r="T81" i="13"/>
  <c r="S81" i="13"/>
  <c r="R81" i="13"/>
  <c r="Q81" i="13"/>
  <c r="P81" i="13"/>
  <c r="O81" i="13"/>
  <c r="N81" i="13"/>
  <c r="M81" i="13"/>
  <c r="L81" i="13"/>
  <c r="K81" i="13"/>
  <c r="J81" i="13"/>
  <c r="I81" i="13"/>
  <c r="H81" i="13"/>
  <c r="G81" i="13"/>
  <c r="F81" i="13"/>
  <c r="E81" i="13"/>
  <c r="BH80" i="13"/>
  <c r="BG80" i="13"/>
  <c r="BF80" i="13"/>
  <c r="BE80" i="13"/>
  <c r="BD80" i="13"/>
  <c r="BC80" i="13"/>
  <c r="BB80" i="13"/>
  <c r="BA80" i="13"/>
  <c r="AZ80" i="13"/>
  <c r="AY80" i="13"/>
  <c r="AX80" i="13"/>
  <c r="AW80" i="13"/>
  <c r="AV80" i="13"/>
  <c r="AU80" i="13"/>
  <c r="AT80" i="13"/>
  <c r="AS80" i="13"/>
  <c r="AR80" i="13"/>
  <c r="AQ80" i="13"/>
  <c r="AP80" i="13"/>
  <c r="AO80" i="13"/>
  <c r="AN80" i="13"/>
  <c r="AM80" i="13"/>
  <c r="AL80" i="13"/>
  <c r="AK80" i="13"/>
  <c r="AJ80" i="13"/>
  <c r="AI80" i="13"/>
  <c r="AH80" i="13"/>
  <c r="AG80" i="13"/>
  <c r="AF80" i="13"/>
  <c r="AE80" i="13"/>
  <c r="AD80" i="13"/>
  <c r="AC80" i="13"/>
  <c r="AB80" i="13"/>
  <c r="AA80" i="13"/>
  <c r="Z80" i="13"/>
  <c r="Y80" i="13"/>
  <c r="X80" i="13"/>
  <c r="W80" i="13"/>
  <c r="V80" i="13"/>
  <c r="U80" i="13"/>
  <c r="T80" i="13"/>
  <c r="S80" i="13"/>
  <c r="R80" i="13"/>
  <c r="Q80" i="13"/>
  <c r="P80" i="13"/>
  <c r="O80" i="13"/>
  <c r="N80" i="13"/>
  <c r="M80" i="13"/>
  <c r="L80" i="13"/>
  <c r="K80" i="13"/>
  <c r="J80" i="13"/>
  <c r="I80" i="13"/>
  <c r="H80" i="13"/>
  <c r="G80" i="13"/>
  <c r="F80" i="13"/>
  <c r="E80" i="13"/>
  <c r="BH79" i="13"/>
  <c r="BG79" i="13"/>
  <c r="BF79" i="13"/>
  <c r="BE79" i="13"/>
  <c r="BD79" i="13"/>
  <c r="BC79" i="13"/>
  <c r="BB79" i="13"/>
  <c r="BA79" i="13"/>
  <c r="AZ79" i="13"/>
  <c r="AY79" i="13"/>
  <c r="AX79" i="13"/>
  <c r="AW79" i="13"/>
  <c r="AV79" i="13"/>
  <c r="AU79" i="13"/>
  <c r="AT79" i="13"/>
  <c r="AS79" i="13"/>
  <c r="AR79" i="13"/>
  <c r="AQ79" i="13"/>
  <c r="AP79" i="13"/>
  <c r="AO79" i="13"/>
  <c r="AN79" i="13"/>
  <c r="AM79" i="13"/>
  <c r="AL79" i="13"/>
  <c r="AK79" i="13"/>
  <c r="AJ79" i="13"/>
  <c r="AI79" i="13"/>
  <c r="AH79" i="13"/>
  <c r="AG79" i="13"/>
  <c r="AF79" i="13"/>
  <c r="AE79" i="13"/>
  <c r="AD79" i="13"/>
  <c r="AC79" i="13"/>
  <c r="AB79" i="13"/>
  <c r="AA79" i="13"/>
  <c r="Z79" i="13"/>
  <c r="Y79" i="13"/>
  <c r="X79" i="13"/>
  <c r="W79" i="13"/>
  <c r="V79" i="13"/>
  <c r="U79" i="13"/>
  <c r="T79" i="13"/>
  <c r="S79" i="13"/>
  <c r="R79" i="13"/>
  <c r="Q79" i="13"/>
  <c r="P79" i="13"/>
  <c r="O79" i="13"/>
  <c r="N79" i="13"/>
  <c r="M79" i="13"/>
  <c r="L79" i="13"/>
  <c r="K79" i="13"/>
  <c r="J79" i="13"/>
  <c r="I79" i="13"/>
  <c r="H79" i="13"/>
  <c r="G79" i="13"/>
  <c r="F79" i="13"/>
  <c r="E79" i="13"/>
  <c r="BH78" i="13"/>
  <c r="BG78" i="13"/>
  <c r="BF78" i="13"/>
  <c r="BE78" i="13"/>
  <c r="BD78" i="13"/>
  <c r="BC78" i="13"/>
  <c r="BB78" i="13"/>
  <c r="BA78" i="13"/>
  <c r="AZ78" i="13"/>
  <c r="AY78" i="13"/>
  <c r="AX78" i="13"/>
  <c r="AW78" i="13"/>
  <c r="AV78" i="13"/>
  <c r="AU78" i="13"/>
  <c r="AT78"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E78" i="13"/>
  <c r="BH77" i="13"/>
  <c r="BG77" i="13"/>
  <c r="BF77" i="13"/>
  <c r="BE77" i="13"/>
  <c r="BD77" i="13"/>
  <c r="BC77" i="13"/>
  <c r="BB77" i="13"/>
  <c r="BA77" i="13"/>
  <c r="AZ77" i="13"/>
  <c r="AY77" i="13"/>
  <c r="AX77" i="13"/>
  <c r="AW77" i="13"/>
  <c r="AV77" i="13"/>
  <c r="AU77" i="13"/>
  <c r="AT77" i="13"/>
  <c r="AS77" i="13"/>
  <c r="AR77" i="13"/>
  <c r="AQ77" i="13"/>
  <c r="AP77" i="13"/>
  <c r="AO77" i="13"/>
  <c r="AN77" i="13"/>
  <c r="AM77" i="13"/>
  <c r="AL77" i="13"/>
  <c r="AK77" i="13"/>
  <c r="AJ77" i="13"/>
  <c r="AI77" i="13"/>
  <c r="AH77" i="13"/>
  <c r="AG77" i="13"/>
  <c r="AF77" i="13"/>
  <c r="AE77" i="13"/>
  <c r="AD77" i="13"/>
  <c r="AC77" i="13"/>
  <c r="AB77" i="13"/>
  <c r="AA77" i="13"/>
  <c r="Z77" i="13"/>
  <c r="Y77" i="13"/>
  <c r="X77" i="13"/>
  <c r="W77" i="13"/>
  <c r="V77" i="13"/>
  <c r="U77" i="13"/>
  <c r="T77" i="13"/>
  <c r="S77" i="13"/>
  <c r="R77" i="13"/>
  <c r="Q77" i="13"/>
  <c r="P77" i="13"/>
  <c r="O77" i="13"/>
  <c r="N77" i="13"/>
  <c r="M77" i="13"/>
  <c r="L77" i="13"/>
  <c r="K77" i="13"/>
  <c r="J77" i="13"/>
  <c r="I77" i="13"/>
  <c r="H77" i="13"/>
  <c r="G77" i="13"/>
  <c r="F77" i="13"/>
  <c r="E77" i="13"/>
  <c r="BH76" i="13"/>
  <c r="BG76" i="13"/>
  <c r="BF76" i="13"/>
  <c r="BE76" i="13"/>
  <c r="BD76" i="13"/>
  <c r="BC76" i="13"/>
  <c r="BB76" i="13"/>
  <c r="BA76" i="13"/>
  <c r="AZ76" i="13"/>
  <c r="AY76" i="13"/>
  <c r="AX76" i="13"/>
  <c r="AW76" i="13"/>
  <c r="AV76" i="13"/>
  <c r="AU76" i="13"/>
  <c r="AT76" i="13"/>
  <c r="AS76" i="13"/>
  <c r="AR76" i="13"/>
  <c r="AQ76" i="13"/>
  <c r="AP76" i="13"/>
  <c r="AO76" i="13"/>
  <c r="AN76" i="13"/>
  <c r="AM76" i="13"/>
  <c r="AL76" i="13"/>
  <c r="AK76" i="13"/>
  <c r="AJ76" i="13"/>
  <c r="AI76" i="13"/>
  <c r="AH76" i="13"/>
  <c r="AG76" i="13"/>
  <c r="AF76" i="13"/>
  <c r="AE76" i="13"/>
  <c r="AD76" i="13"/>
  <c r="AC76" i="13"/>
  <c r="AB76" i="13"/>
  <c r="AA76" i="13"/>
  <c r="Z76" i="13"/>
  <c r="Y76" i="13"/>
  <c r="X76" i="13"/>
  <c r="W76" i="13"/>
  <c r="V76" i="13"/>
  <c r="U76" i="13"/>
  <c r="T76" i="13"/>
  <c r="S76" i="13"/>
  <c r="R76" i="13"/>
  <c r="Q76" i="13"/>
  <c r="P76" i="13"/>
  <c r="O76" i="13"/>
  <c r="N76" i="13"/>
  <c r="M76" i="13"/>
  <c r="L76" i="13"/>
  <c r="K76" i="13"/>
  <c r="J76" i="13"/>
  <c r="I76" i="13"/>
  <c r="H76" i="13"/>
  <c r="G76" i="13"/>
  <c r="F76" i="13"/>
  <c r="E76" i="13"/>
  <c r="BH74" i="13"/>
  <c r="BG74" i="13"/>
  <c r="BF74" i="13"/>
  <c r="BE74" i="13"/>
  <c r="BD74" i="13"/>
  <c r="BC74" i="13"/>
  <c r="BB74" i="13"/>
  <c r="BA74" i="13"/>
  <c r="AZ74" i="13"/>
  <c r="AY74" i="13"/>
  <c r="AX74" i="13"/>
  <c r="AW74" i="13"/>
  <c r="AV74" i="13"/>
  <c r="AU74" i="13"/>
  <c r="AT74" i="13"/>
  <c r="AS74" i="13"/>
  <c r="AR74" i="13"/>
  <c r="AQ74" i="13"/>
  <c r="AP74" i="13"/>
  <c r="AO74" i="13"/>
  <c r="AN74" i="13"/>
  <c r="AM74" i="13"/>
  <c r="AL74" i="13"/>
  <c r="AK74" i="13"/>
  <c r="AJ74" i="13"/>
  <c r="AI74" i="13"/>
  <c r="AH74" i="13"/>
  <c r="AG74" i="13"/>
  <c r="AF74" i="13"/>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BH73" i="13"/>
  <c r="BG73" i="13"/>
  <c r="BF73" i="13"/>
  <c r="BE73" i="13"/>
  <c r="BD73" i="13"/>
  <c r="BC73" i="13"/>
  <c r="BB73" i="13"/>
  <c r="BA73" i="13"/>
  <c r="AZ73" i="13"/>
  <c r="AY73" i="13"/>
  <c r="AX73" i="13"/>
  <c r="AW73" i="13"/>
  <c r="AV73" i="13"/>
  <c r="AU73" i="13"/>
  <c r="AT73" i="13"/>
  <c r="AS73" i="13"/>
  <c r="AR73" i="13"/>
  <c r="AQ73" i="13"/>
  <c r="AP73" i="13"/>
  <c r="AO73" i="13"/>
  <c r="AN73" i="13"/>
  <c r="AM73" i="13"/>
  <c r="AL73" i="13"/>
  <c r="AK73" i="13"/>
  <c r="AJ73" i="13"/>
  <c r="AI73" i="13"/>
  <c r="AH73" i="13"/>
  <c r="AG73" i="13"/>
  <c r="AF73" i="13"/>
  <c r="AE73" i="13"/>
  <c r="AD73" i="13"/>
  <c r="AC73" i="13"/>
  <c r="AB73" i="13"/>
  <c r="AA73" i="13"/>
  <c r="Z73" i="13"/>
  <c r="Y73" i="13"/>
  <c r="X73" i="13"/>
  <c r="W73" i="13"/>
  <c r="V73" i="13"/>
  <c r="U73" i="13"/>
  <c r="T73" i="13"/>
  <c r="S73" i="13"/>
  <c r="R73" i="13"/>
  <c r="Q73" i="13"/>
  <c r="P73" i="13"/>
  <c r="O73" i="13"/>
  <c r="N73" i="13"/>
  <c r="M73" i="13"/>
  <c r="L73" i="13"/>
  <c r="K73" i="13"/>
  <c r="J73" i="13"/>
  <c r="I73" i="13"/>
  <c r="H73" i="13"/>
  <c r="G73" i="13"/>
  <c r="F73" i="13"/>
  <c r="E73" i="13"/>
  <c r="BH72" i="13"/>
  <c r="BG72" i="13"/>
  <c r="BF72" i="13"/>
  <c r="BE72" i="13"/>
  <c r="BD72" i="13"/>
  <c r="BC72" i="13"/>
  <c r="BB72" i="13"/>
  <c r="BA72" i="13"/>
  <c r="AZ72" i="13"/>
  <c r="AY72" i="13"/>
  <c r="AX72" i="13"/>
  <c r="AW72" i="13"/>
  <c r="AV72" i="13"/>
  <c r="AU72" i="13"/>
  <c r="AT72" i="13"/>
  <c r="AS72" i="13"/>
  <c r="AR72" i="13"/>
  <c r="AQ72" i="13"/>
  <c r="AP72" i="13"/>
  <c r="AO72" i="13"/>
  <c r="AN72" i="13"/>
  <c r="AM72" i="13"/>
  <c r="AL72" i="13"/>
  <c r="AK72" i="13"/>
  <c r="AJ72" i="13"/>
  <c r="AI72" i="13"/>
  <c r="AH72" i="13"/>
  <c r="AG72" i="13"/>
  <c r="AF72" i="13"/>
  <c r="AE72" i="13"/>
  <c r="AD72" i="13"/>
  <c r="AC72" i="13"/>
  <c r="AB72" i="13"/>
  <c r="AA72" i="13"/>
  <c r="Z72" i="13"/>
  <c r="Y72" i="13"/>
  <c r="X72" i="13"/>
  <c r="W72" i="13"/>
  <c r="V72" i="13"/>
  <c r="U72" i="13"/>
  <c r="T72" i="13"/>
  <c r="S72" i="13"/>
  <c r="R72" i="13"/>
  <c r="Q72" i="13"/>
  <c r="P72" i="13"/>
  <c r="O72" i="13"/>
  <c r="N72" i="13"/>
  <c r="M72" i="13"/>
  <c r="L72" i="13"/>
  <c r="K72" i="13"/>
  <c r="J72" i="13"/>
  <c r="I72" i="13"/>
  <c r="H72" i="13"/>
  <c r="G72" i="13"/>
  <c r="F72" i="13"/>
  <c r="E72" i="13"/>
  <c r="BH71" i="13"/>
  <c r="BG71" i="13"/>
  <c r="BF71" i="13"/>
  <c r="BE71" i="13"/>
  <c r="BD71" i="13"/>
  <c r="BC71" i="13"/>
  <c r="BB71" i="13"/>
  <c r="BA71" i="13"/>
  <c r="AZ71" i="13"/>
  <c r="AY71" i="13"/>
  <c r="AX71" i="13"/>
  <c r="AW71" i="13"/>
  <c r="AV71" i="13"/>
  <c r="AU71" i="13"/>
  <c r="AT71" i="13"/>
  <c r="AS71" i="13"/>
  <c r="AR71" i="13"/>
  <c r="AQ71" i="13"/>
  <c r="AP71" i="13"/>
  <c r="AO71" i="13"/>
  <c r="AN71" i="13"/>
  <c r="AM71" i="13"/>
  <c r="AL71" i="13"/>
  <c r="AK71" i="13"/>
  <c r="AJ71" i="13"/>
  <c r="AI71" i="13"/>
  <c r="AH71" i="13"/>
  <c r="AG71" i="13"/>
  <c r="AF71" i="13"/>
  <c r="AE71" i="13"/>
  <c r="AD71" i="13"/>
  <c r="AC71" i="13"/>
  <c r="AB71" i="13"/>
  <c r="AA71" i="13"/>
  <c r="Z71" i="13"/>
  <c r="Y71" i="13"/>
  <c r="X71" i="13"/>
  <c r="W71" i="13"/>
  <c r="V71" i="13"/>
  <c r="U71" i="13"/>
  <c r="T71" i="13"/>
  <c r="S71" i="13"/>
  <c r="R71" i="13"/>
  <c r="Q71" i="13"/>
  <c r="P71" i="13"/>
  <c r="O71" i="13"/>
  <c r="N71" i="13"/>
  <c r="M71" i="13"/>
  <c r="L71" i="13"/>
  <c r="K71" i="13"/>
  <c r="J71" i="13"/>
  <c r="I71" i="13"/>
  <c r="H71" i="13"/>
  <c r="G71" i="13"/>
  <c r="F71" i="13"/>
  <c r="E71" i="13"/>
  <c r="BH70" i="13"/>
  <c r="BG70" i="13"/>
  <c r="BF70" i="13"/>
  <c r="BE70" i="13"/>
  <c r="BD70" i="13"/>
  <c r="BC70" i="13"/>
  <c r="BB70" i="13"/>
  <c r="BA70" i="13"/>
  <c r="AZ70" i="13"/>
  <c r="AY70" i="13"/>
  <c r="AX70" i="13"/>
  <c r="AW70" i="13"/>
  <c r="AV70" i="13"/>
  <c r="AU70" i="13"/>
  <c r="AT70" i="13"/>
  <c r="AS70" i="13"/>
  <c r="AR70" i="13"/>
  <c r="AQ70"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Q70" i="13"/>
  <c r="P70" i="13"/>
  <c r="O70" i="13"/>
  <c r="N70" i="13"/>
  <c r="M70" i="13"/>
  <c r="L70" i="13"/>
  <c r="K70" i="13"/>
  <c r="J70" i="13"/>
  <c r="I70" i="13"/>
  <c r="H70" i="13"/>
  <c r="G70" i="13"/>
  <c r="F70" i="13"/>
  <c r="E70" i="13"/>
  <c r="BH69" i="13"/>
  <c r="BG69" i="13"/>
  <c r="BF69" i="13"/>
  <c r="BE69" i="13"/>
  <c r="BD69" i="13"/>
  <c r="BC69" i="13"/>
  <c r="BB69" i="13"/>
  <c r="BA69" i="13"/>
  <c r="AZ69" i="13"/>
  <c r="AY69" i="13"/>
  <c r="AX69" i="13"/>
  <c r="AW69" i="13"/>
  <c r="AV69" i="13"/>
  <c r="AU69" i="13"/>
  <c r="AT69" i="13"/>
  <c r="AS69" i="13"/>
  <c r="AR69" i="13"/>
  <c r="AQ69" i="13"/>
  <c r="AP69" i="13"/>
  <c r="AO69" i="13"/>
  <c r="AN69" i="13"/>
  <c r="AM69" i="13"/>
  <c r="AL69" i="13"/>
  <c r="AK69" i="13"/>
  <c r="AJ69" i="13"/>
  <c r="AI69" i="13"/>
  <c r="AH69" i="13"/>
  <c r="AG69" i="13"/>
  <c r="AF69" i="13"/>
  <c r="AE69" i="13"/>
  <c r="AD69" i="13"/>
  <c r="AC69" i="13"/>
  <c r="AB69" i="13"/>
  <c r="AA69" i="13"/>
  <c r="Z69" i="13"/>
  <c r="Y69" i="13"/>
  <c r="X69" i="13"/>
  <c r="W69" i="13"/>
  <c r="V69" i="13"/>
  <c r="U69" i="13"/>
  <c r="T69" i="13"/>
  <c r="S69" i="13"/>
  <c r="R69" i="13"/>
  <c r="Q69" i="13"/>
  <c r="P69" i="13"/>
  <c r="O69" i="13"/>
  <c r="N69" i="13"/>
  <c r="M69" i="13"/>
  <c r="L69" i="13"/>
  <c r="K69" i="13"/>
  <c r="J69" i="13"/>
  <c r="I69" i="13"/>
  <c r="H69" i="13"/>
  <c r="G69" i="13"/>
  <c r="F69" i="13"/>
  <c r="E69" i="13"/>
  <c r="BH68" i="13"/>
  <c r="BG68" i="13"/>
  <c r="BF68" i="13"/>
  <c r="BE68" i="13"/>
  <c r="BD68" i="13"/>
  <c r="BC68" i="13"/>
  <c r="BB68" i="13"/>
  <c r="BA68" i="13"/>
  <c r="AZ68" i="13"/>
  <c r="AY68" i="13"/>
  <c r="AX68" i="13"/>
  <c r="AW68" i="13"/>
  <c r="AV68" i="13"/>
  <c r="AU68" i="13"/>
  <c r="AT68" i="13"/>
  <c r="AS68" i="13"/>
  <c r="AR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J68" i="13"/>
  <c r="I68" i="13"/>
  <c r="H68" i="13"/>
  <c r="G68" i="13"/>
  <c r="F68" i="13"/>
  <c r="E68" i="13"/>
  <c r="BH67" i="13"/>
  <c r="BG67" i="13"/>
  <c r="BF67" i="13"/>
  <c r="BE67" i="13"/>
  <c r="BD67" i="13"/>
  <c r="BC67" i="13"/>
  <c r="BB67" i="13"/>
  <c r="BA67" i="13"/>
  <c r="AZ67" i="13"/>
  <c r="AY67" i="13"/>
  <c r="AX67" i="13"/>
  <c r="AW67" i="13"/>
  <c r="AV67" i="13"/>
  <c r="AU67" i="13"/>
  <c r="AT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E67" i="13"/>
  <c r="BH66" i="13"/>
  <c r="BG66" i="13"/>
  <c r="BF66" i="13"/>
  <c r="BE66" i="13"/>
  <c r="BD66" i="13"/>
  <c r="BC66" i="13"/>
  <c r="BB66" i="13"/>
  <c r="BA66" i="13"/>
  <c r="AZ66" i="13"/>
  <c r="AY66" i="13"/>
  <c r="AX66" i="13"/>
  <c r="AW66" i="13"/>
  <c r="AV66" i="13"/>
  <c r="AU66" i="13"/>
  <c r="AT66" i="13"/>
  <c r="AS66" i="13"/>
  <c r="AR66" i="13"/>
  <c r="AQ66" i="13"/>
  <c r="AP66" i="13"/>
  <c r="AO66" i="13"/>
  <c r="AN66" i="13"/>
  <c r="AM66" i="13"/>
  <c r="AL66" i="13"/>
  <c r="AK66" i="13"/>
  <c r="AJ66" i="13"/>
  <c r="AI66" i="13"/>
  <c r="AH66" i="13"/>
  <c r="AG66" i="13"/>
  <c r="AF66" i="13"/>
  <c r="AE66" i="13"/>
  <c r="AD66" i="13"/>
  <c r="AC66" i="13"/>
  <c r="AB66" i="13"/>
  <c r="AA66" i="13"/>
  <c r="Z66" i="13"/>
  <c r="Y66" i="13"/>
  <c r="X66" i="13"/>
  <c r="W66" i="13"/>
  <c r="V66" i="13"/>
  <c r="U66" i="13"/>
  <c r="T66" i="13"/>
  <c r="S66" i="13"/>
  <c r="R66" i="13"/>
  <c r="Q66" i="13"/>
  <c r="P66" i="13"/>
  <c r="O66" i="13"/>
  <c r="N66" i="13"/>
  <c r="M66" i="13"/>
  <c r="L66" i="13"/>
  <c r="K66" i="13"/>
  <c r="J66" i="13"/>
  <c r="I66" i="13"/>
  <c r="H66" i="13"/>
  <c r="G66" i="13"/>
  <c r="F66" i="13"/>
  <c r="E66" i="13"/>
  <c r="BH65" i="13"/>
  <c r="BG65" i="13"/>
  <c r="BF65" i="13"/>
  <c r="BE65" i="13"/>
  <c r="BD65" i="13"/>
  <c r="BC65" i="13"/>
  <c r="BB65" i="13"/>
  <c r="BA65" i="13"/>
  <c r="AZ65" i="13"/>
  <c r="AY65" i="13"/>
  <c r="AX65" i="13"/>
  <c r="AW65" i="13"/>
  <c r="AV65" i="13"/>
  <c r="AU65" i="13"/>
  <c r="AT65" i="13"/>
  <c r="AS65" i="13"/>
  <c r="AR65" i="13"/>
  <c r="AQ65" i="13"/>
  <c r="AP65" i="13"/>
  <c r="AO65" i="13"/>
  <c r="AN65" i="13"/>
  <c r="AM65" i="13"/>
  <c r="AL65" i="13"/>
  <c r="AK65" i="13"/>
  <c r="AJ65" i="13"/>
  <c r="AI65" i="13"/>
  <c r="AH65" i="13"/>
  <c r="AG65" i="13"/>
  <c r="AF65" i="13"/>
  <c r="AE65" i="13"/>
  <c r="AD65" i="13"/>
  <c r="AC65" i="13"/>
  <c r="AB65" i="13"/>
  <c r="AA65" i="13"/>
  <c r="Z65" i="13"/>
  <c r="Y65" i="13"/>
  <c r="X65" i="13"/>
  <c r="W65" i="13"/>
  <c r="V65" i="13"/>
  <c r="U65" i="13"/>
  <c r="T65" i="13"/>
  <c r="S65" i="13"/>
  <c r="R65" i="13"/>
  <c r="Q65" i="13"/>
  <c r="P65" i="13"/>
  <c r="O65" i="13"/>
  <c r="N65" i="13"/>
  <c r="M65" i="13"/>
  <c r="L65" i="13"/>
  <c r="K65" i="13"/>
  <c r="J65" i="13"/>
  <c r="I65" i="13"/>
  <c r="H65" i="13"/>
  <c r="G65" i="13"/>
  <c r="F65" i="13"/>
  <c r="E65" i="13"/>
  <c r="BH62" i="13"/>
  <c r="BG62" i="13"/>
  <c r="BF62" i="13"/>
  <c r="BE62" i="13"/>
  <c r="BD62" i="13"/>
  <c r="BC62" i="13"/>
  <c r="BB62" i="13"/>
  <c r="BA62" i="13"/>
  <c r="AZ62" i="13"/>
  <c r="AY62" i="13"/>
  <c r="AX62" i="13"/>
  <c r="AW62" i="13"/>
  <c r="AV62" i="13"/>
  <c r="AU62" i="13"/>
  <c r="AT62" i="13"/>
  <c r="AS62" i="13"/>
  <c r="AR62" i="13"/>
  <c r="AQ62" i="13"/>
  <c r="AP62" i="13"/>
  <c r="AO62" i="13"/>
  <c r="AN62" i="13"/>
  <c r="AM62" i="13"/>
  <c r="AL62" i="13"/>
  <c r="AK62" i="13"/>
  <c r="AJ62" i="13"/>
  <c r="AI62" i="13"/>
  <c r="AH62" i="13"/>
  <c r="AG62" i="13"/>
  <c r="AF62" i="13"/>
  <c r="AE62" i="13"/>
  <c r="AD62" i="13"/>
  <c r="AC62" i="13"/>
  <c r="AB62" i="13"/>
  <c r="AA62" i="13"/>
  <c r="Z62" i="13"/>
  <c r="Y62" i="13"/>
  <c r="X62" i="13"/>
  <c r="W62" i="13"/>
  <c r="V62" i="13"/>
  <c r="U62" i="13"/>
  <c r="T62" i="13"/>
  <c r="S62" i="13"/>
  <c r="R62" i="13"/>
  <c r="Q62" i="13"/>
  <c r="P62" i="13"/>
  <c r="O62" i="13"/>
  <c r="N62" i="13"/>
  <c r="M62" i="13"/>
  <c r="L62" i="13"/>
  <c r="K62" i="13"/>
  <c r="J62" i="13"/>
  <c r="I62" i="13"/>
  <c r="H62" i="13"/>
  <c r="G62" i="13"/>
  <c r="F62" i="13"/>
  <c r="E62" i="13"/>
  <c r="E61" i="13"/>
  <c r="E60" i="13"/>
  <c r="E59" i="13"/>
  <c r="BH57" i="13"/>
  <c r="BG57" i="13"/>
  <c r="BF57" i="13"/>
  <c r="BE57" i="13"/>
  <c r="BD57" i="13"/>
  <c r="BC57" i="13"/>
  <c r="BB57" i="13"/>
  <c r="BA57" i="13"/>
  <c r="AZ57" i="13"/>
  <c r="AY57" i="13"/>
  <c r="AX57" i="13"/>
  <c r="AW57" i="13"/>
  <c r="AV57" i="13"/>
  <c r="AU57" i="13"/>
  <c r="AT57" i="13"/>
  <c r="AS57" i="13"/>
  <c r="AR57" i="13"/>
  <c r="AQ57" i="13"/>
  <c r="AP57" i="13"/>
  <c r="AO57" i="13"/>
  <c r="AN57" i="13"/>
  <c r="AM57" i="13"/>
  <c r="AL57" i="13"/>
  <c r="AK57" i="13"/>
  <c r="AJ57" i="13"/>
  <c r="AI57" i="13"/>
  <c r="AH57" i="13"/>
  <c r="AG57" i="13"/>
  <c r="AF57" i="13"/>
  <c r="AE57" i="13"/>
  <c r="AD57" i="13"/>
  <c r="AC57" i="13"/>
  <c r="AB57" i="13"/>
  <c r="AA57" i="13"/>
  <c r="Z57" i="13"/>
  <c r="Y57" i="13"/>
  <c r="X57" i="13"/>
  <c r="W57" i="13"/>
  <c r="V57" i="13"/>
  <c r="U57" i="13"/>
  <c r="T57" i="13"/>
  <c r="S57" i="13"/>
  <c r="R57" i="13"/>
  <c r="Q57" i="13"/>
  <c r="P57" i="13"/>
  <c r="O57" i="13"/>
  <c r="N57" i="13"/>
  <c r="M57" i="13"/>
  <c r="L57" i="13"/>
  <c r="K57" i="13"/>
  <c r="J57" i="13"/>
  <c r="I57" i="13"/>
  <c r="H57" i="13"/>
  <c r="G57" i="13"/>
  <c r="F57" i="13"/>
  <c r="E57" i="13"/>
  <c r="E48" i="13"/>
  <c r="BH47" i="13"/>
  <c r="BG47" i="13"/>
  <c r="BF47" i="13"/>
  <c r="BE47" i="13"/>
  <c r="BD47" i="13"/>
  <c r="BC47" i="13"/>
  <c r="BB47" i="13"/>
  <c r="BA47" i="13"/>
  <c r="AZ47" i="13"/>
  <c r="AY47" i="13"/>
  <c r="AX47" i="13"/>
  <c r="AW47" i="13"/>
  <c r="AV47" i="13"/>
  <c r="AU47" i="13"/>
  <c r="AT47" i="13"/>
  <c r="AS47" i="13"/>
  <c r="AR47" i="13"/>
  <c r="AQ47" i="13"/>
  <c r="AP47" i="13"/>
  <c r="AO47" i="13"/>
  <c r="AN47" i="13"/>
  <c r="AM47" i="13"/>
  <c r="AL47" i="13"/>
  <c r="AK47" i="13"/>
  <c r="AJ47" i="13"/>
  <c r="AI47" i="13"/>
  <c r="AH47" i="13"/>
  <c r="AG47" i="13"/>
  <c r="AF47" i="13"/>
  <c r="AE47" i="13"/>
  <c r="AD47" i="13"/>
  <c r="AC47" i="13"/>
  <c r="AB47" i="13"/>
  <c r="AA47" i="13"/>
  <c r="Z47" i="13"/>
  <c r="Y47" i="13"/>
  <c r="X47" i="13"/>
  <c r="W47" i="13"/>
  <c r="V47" i="13"/>
  <c r="U47" i="13"/>
  <c r="T47" i="13"/>
  <c r="S47" i="13"/>
  <c r="R47" i="13"/>
  <c r="Q47" i="13"/>
  <c r="P47" i="13"/>
  <c r="O47" i="13"/>
  <c r="N47" i="13"/>
  <c r="M47" i="13"/>
  <c r="L47" i="13"/>
  <c r="K47" i="13"/>
  <c r="J47" i="13"/>
  <c r="I47" i="13"/>
  <c r="H47" i="13"/>
  <c r="G47" i="13"/>
  <c r="F47" i="13"/>
  <c r="E47" i="13"/>
  <c r="BH44" i="13"/>
  <c r="BG44" i="13"/>
  <c r="BF44" i="13"/>
  <c r="BE44" i="13"/>
  <c r="BD44" i="13"/>
  <c r="BC44" i="13"/>
  <c r="BB44" i="13"/>
  <c r="BA44" i="13"/>
  <c r="AZ44" i="13"/>
  <c r="AY44" i="13"/>
  <c r="AX44" i="13"/>
  <c r="AW44" i="13"/>
  <c r="AV44" i="13"/>
  <c r="AU44" i="13"/>
  <c r="AT44" i="13"/>
  <c r="AS44" i="13"/>
  <c r="AR44" i="13"/>
  <c r="AQ44" i="13"/>
  <c r="AP44" i="13"/>
  <c r="AO44" i="13"/>
  <c r="AN44" i="13"/>
  <c r="AM44" i="13"/>
  <c r="AL44" i="13"/>
  <c r="AK44" i="13"/>
  <c r="AJ44" i="13"/>
  <c r="AI44" i="13"/>
  <c r="AH44" i="13"/>
  <c r="AG44" i="13"/>
  <c r="AF44" i="13"/>
  <c r="AE44" i="13"/>
  <c r="AD44" i="13"/>
  <c r="AC44" i="13"/>
  <c r="AB44" i="13"/>
  <c r="AA44" i="13"/>
  <c r="Z44" i="13"/>
  <c r="Y44" i="13"/>
  <c r="X44" i="13"/>
  <c r="W44" i="13"/>
  <c r="V44" i="13"/>
  <c r="U44" i="13"/>
  <c r="T44" i="13"/>
  <c r="S44" i="13"/>
  <c r="R44" i="13"/>
  <c r="Q44" i="13"/>
  <c r="P44" i="13"/>
  <c r="O44" i="13"/>
  <c r="N44" i="13"/>
  <c r="M44" i="13"/>
  <c r="L44" i="13"/>
  <c r="K44" i="13"/>
  <c r="J44" i="13"/>
  <c r="I44" i="13"/>
  <c r="H44" i="13"/>
  <c r="G44" i="13"/>
  <c r="F44" i="13"/>
  <c r="E44" i="13"/>
  <c r="BH43" i="13"/>
  <c r="BG43" i="13"/>
  <c r="BF43" i="13"/>
  <c r="BE43" i="13"/>
  <c r="BD43" i="13"/>
  <c r="BC43" i="13"/>
  <c r="BB43" i="13"/>
  <c r="BA43" i="13"/>
  <c r="AZ43" i="13"/>
  <c r="AY43" i="13"/>
  <c r="AX43" i="13"/>
  <c r="AW43" i="13"/>
  <c r="AV43" i="13"/>
  <c r="AU43" i="13"/>
  <c r="AT43" i="13"/>
  <c r="AS43" i="13"/>
  <c r="AR43" i="13"/>
  <c r="AQ43" i="13"/>
  <c r="AP43" i="13"/>
  <c r="AO43" i="13"/>
  <c r="AN43" i="13"/>
  <c r="AM43" i="13"/>
  <c r="AL43" i="13"/>
  <c r="AK43" i="13"/>
  <c r="AJ43" i="13"/>
  <c r="AI43" i="13"/>
  <c r="AH43" i="13"/>
  <c r="AG43" i="13"/>
  <c r="AF43" i="13"/>
  <c r="AE43" i="13"/>
  <c r="AD43" i="13"/>
  <c r="AC43" i="13"/>
  <c r="AB43" i="13"/>
  <c r="AA43" i="13"/>
  <c r="Z43" i="13"/>
  <c r="Y43" i="13"/>
  <c r="X43" i="13"/>
  <c r="W43" i="13"/>
  <c r="V43" i="13"/>
  <c r="U43" i="13"/>
  <c r="T43" i="13"/>
  <c r="S43" i="13"/>
  <c r="R43" i="13"/>
  <c r="Q43" i="13"/>
  <c r="P43" i="13"/>
  <c r="O43" i="13"/>
  <c r="N43" i="13"/>
  <c r="M43" i="13"/>
  <c r="L43" i="13"/>
  <c r="K43" i="13"/>
  <c r="J43" i="13"/>
  <c r="I43" i="13"/>
  <c r="H43" i="13"/>
  <c r="G43" i="13"/>
  <c r="F43" i="13"/>
  <c r="E43" i="13"/>
  <c r="BH42" i="13"/>
  <c r="BG42" i="13"/>
  <c r="BF42" i="13"/>
  <c r="BE42" i="13"/>
  <c r="BD42" i="13"/>
  <c r="BC42" i="13"/>
  <c r="BB42" i="13"/>
  <c r="BA42" i="13"/>
  <c r="AZ42" i="13"/>
  <c r="AY42" i="13"/>
  <c r="AX42" i="13"/>
  <c r="AW42" i="13"/>
  <c r="AV42" i="13"/>
  <c r="AU42" i="13"/>
  <c r="AT42" i="13"/>
  <c r="AS42" i="13"/>
  <c r="AR42" i="13"/>
  <c r="AQ42" i="13"/>
  <c r="AP42" i="13"/>
  <c r="AO42" i="13"/>
  <c r="AN42" i="13"/>
  <c r="AM42" i="13"/>
  <c r="AL42" i="13"/>
  <c r="AK42" i="13"/>
  <c r="AJ42" i="13"/>
  <c r="AI42" i="13"/>
  <c r="AH42" i="13"/>
  <c r="AG42" i="13"/>
  <c r="AF42" i="13"/>
  <c r="AE42" i="13"/>
  <c r="AD42" i="13"/>
  <c r="AC42" i="13"/>
  <c r="AB42" i="13"/>
  <c r="AA42" i="13"/>
  <c r="Z42" i="13"/>
  <c r="Y42" i="13"/>
  <c r="X42" i="13"/>
  <c r="W42" i="13"/>
  <c r="V42" i="13"/>
  <c r="U42" i="13"/>
  <c r="T42" i="13"/>
  <c r="S42" i="13"/>
  <c r="R42" i="13"/>
  <c r="Q42" i="13"/>
  <c r="P42" i="13"/>
  <c r="O42" i="13"/>
  <c r="N42" i="13"/>
  <c r="M42" i="13"/>
  <c r="L42" i="13"/>
  <c r="K42" i="13"/>
  <c r="J42" i="13"/>
  <c r="I42" i="13"/>
  <c r="H42" i="13"/>
  <c r="G42" i="13"/>
  <c r="F42" i="13"/>
  <c r="E42" i="13"/>
  <c r="BH41" i="13"/>
  <c r="BG41" i="13"/>
  <c r="BF41" i="13"/>
  <c r="BE41" i="13"/>
  <c r="BD41" i="13"/>
  <c r="BC41" i="13"/>
  <c r="BB41" i="13"/>
  <c r="BA41" i="13"/>
  <c r="AZ41" i="13"/>
  <c r="AY41" i="13"/>
  <c r="AX41" i="13"/>
  <c r="AW41" i="13"/>
  <c r="AV41" i="13"/>
  <c r="AU41" i="13"/>
  <c r="AT41" i="13"/>
  <c r="AS41" i="13"/>
  <c r="AR41" i="13"/>
  <c r="AQ41"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F41" i="13"/>
  <c r="E41" i="13"/>
  <c r="BH40" i="13"/>
  <c r="BG40" i="13"/>
  <c r="BF40" i="13"/>
  <c r="BE40" i="13"/>
  <c r="BD40" i="13"/>
  <c r="BC40" i="13"/>
  <c r="BB40" i="13"/>
  <c r="BA40" i="13"/>
  <c r="AZ40" i="13"/>
  <c r="AY40" i="13"/>
  <c r="AX40" i="13"/>
  <c r="AW40" i="13"/>
  <c r="AV40" i="13"/>
  <c r="AU40" i="13"/>
  <c r="AT40" i="13"/>
  <c r="AS40" i="13"/>
  <c r="AR40" i="13"/>
  <c r="AQ40" i="13"/>
  <c r="AP40" i="13"/>
  <c r="AO40" i="13"/>
  <c r="AN40" i="13"/>
  <c r="AM40" i="13"/>
  <c r="AL40" i="13"/>
  <c r="AK40" i="13"/>
  <c r="AJ40" i="13"/>
  <c r="AI40" i="13"/>
  <c r="AH40" i="13"/>
  <c r="AG40" i="13"/>
  <c r="AF40" i="13"/>
  <c r="AE40" i="13"/>
  <c r="AD40" i="13"/>
  <c r="AC40" i="13"/>
  <c r="AB40" i="13"/>
  <c r="AA40" i="13"/>
  <c r="Z40" i="13"/>
  <c r="Y40" i="13"/>
  <c r="X40" i="13"/>
  <c r="W40" i="13"/>
  <c r="V40" i="13"/>
  <c r="U40" i="13"/>
  <c r="T40" i="13"/>
  <c r="S40" i="13"/>
  <c r="R40" i="13"/>
  <c r="Q40" i="13"/>
  <c r="P40" i="13"/>
  <c r="O40" i="13"/>
  <c r="N40" i="13"/>
  <c r="M40" i="13"/>
  <c r="L40" i="13"/>
  <c r="K40" i="13"/>
  <c r="J40" i="13"/>
  <c r="I40" i="13"/>
  <c r="H40" i="13"/>
  <c r="G40" i="13"/>
  <c r="F40" i="13"/>
  <c r="E40" i="13"/>
  <c r="BH39" i="13"/>
  <c r="BG39" i="13"/>
  <c r="BF39" i="13"/>
  <c r="BE39" i="13"/>
  <c r="BD39" i="13"/>
  <c r="BC39" i="13"/>
  <c r="BB39" i="13"/>
  <c r="BA39" i="13"/>
  <c r="AZ39" i="13"/>
  <c r="AY39" i="13"/>
  <c r="AX39" i="13"/>
  <c r="AW39" i="13"/>
  <c r="AV39" i="13"/>
  <c r="AU39" i="13"/>
  <c r="AT39" i="13"/>
  <c r="AS39" i="13"/>
  <c r="AR39" i="13"/>
  <c r="AQ39" i="13"/>
  <c r="AP39" i="13"/>
  <c r="AO39" i="13"/>
  <c r="AN39" i="13"/>
  <c r="AM39" i="13"/>
  <c r="AL39" i="13"/>
  <c r="AK39" i="13"/>
  <c r="AJ39" i="13"/>
  <c r="AI39" i="13"/>
  <c r="AH39" i="13"/>
  <c r="AG39" i="13"/>
  <c r="AF39" i="13"/>
  <c r="AE39" i="13"/>
  <c r="AD39" i="13"/>
  <c r="AC39" i="13"/>
  <c r="AB39" i="13"/>
  <c r="AA39" i="13"/>
  <c r="Z39" i="13"/>
  <c r="Y39" i="13"/>
  <c r="X39" i="13"/>
  <c r="W39" i="13"/>
  <c r="V39" i="13"/>
  <c r="U39" i="13"/>
  <c r="T39" i="13"/>
  <c r="S39" i="13"/>
  <c r="R39" i="13"/>
  <c r="Q39" i="13"/>
  <c r="P39" i="13"/>
  <c r="O39" i="13"/>
  <c r="N39" i="13"/>
  <c r="M39" i="13"/>
  <c r="L39" i="13"/>
  <c r="K39" i="13"/>
  <c r="J39" i="13"/>
  <c r="I39" i="13"/>
  <c r="H39" i="13"/>
  <c r="G39" i="13"/>
  <c r="F39" i="13"/>
  <c r="E39" i="13"/>
  <c r="BH38" i="13"/>
  <c r="BG38" i="13"/>
  <c r="BF38" i="13"/>
  <c r="BE38" i="13"/>
  <c r="BD38" i="13"/>
  <c r="BC38" i="13"/>
  <c r="BB38" i="13"/>
  <c r="BA38" i="13"/>
  <c r="AZ38" i="13"/>
  <c r="AY38" i="13"/>
  <c r="AX38" i="13"/>
  <c r="AW38" i="13"/>
  <c r="AV38" i="13"/>
  <c r="AU38" i="13"/>
  <c r="AT38" i="13"/>
  <c r="AS38" i="13"/>
  <c r="AR38" i="13"/>
  <c r="AQ38" i="13"/>
  <c r="AP38" i="13"/>
  <c r="AO38" i="13"/>
  <c r="AN38" i="13"/>
  <c r="AM38" i="13"/>
  <c r="AL38" i="13"/>
  <c r="AK38" i="13"/>
  <c r="AJ38" i="13"/>
  <c r="AI38" i="13"/>
  <c r="AH38" i="13"/>
  <c r="AG38" i="13"/>
  <c r="AF38" i="13"/>
  <c r="AE38" i="13"/>
  <c r="AD38" i="13"/>
  <c r="AC38" i="13"/>
  <c r="AB38" i="13"/>
  <c r="AA38" i="13"/>
  <c r="Z38" i="13"/>
  <c r="Y38" i="13"/>
  <c r="X38" i="13"/>
  <c r="W38" i="13"/>
  <c r="V38" i="13"/>
  <c r="U38" i="13"/>
  <c r="T38" i="13"/>
  <c r="S38" i="13"/>
  <c r="R38" i="13"/>
  <c r="Q38" i="13"/>
  <c r="P38" i="13"/>
  <c r="O38" i="13"/>
  <c r="N38" i="13"/>
  <c r="M38" i="13"/>
  <c r="L38" i="13"/>
  <c r="K38" i="13"/>
  <c r="J38" i="13"/>
  <c r="I38" i="13"/>
  <c r="H38" i="13"/>
  <c r="G38" i="13"/>
  <c r="F38" i="13"/>
  <c r="E38" i="13"/>
  <c r="BH36" i="13"/>
  <c r="BG36" i="13"/>
  <c r="BF36" i="13"/>
  <c r="BE36" i="13"/>
  <c r="BD36" i="13"/>
  <c r="BC36" i="13"/>
  <c r="BB36" i="13"/>
  <c r="BA36" i="13"/>
  <c r="AZ36" i="13"/>
  <c r="AY36" i="13"/>
  <c r="AX36" i="13"/>
  <c r="AW36" i="13"/>
  <c r="AV36" i="13"/>
  <c r="AU36" i="13"/>
  <c r="AT36" i="13"/>
  <c r="AS36" i="13"/>
  <c r="AR36" i="13"/>
  <c r="AQ36" i="13"/>
  <c r="AP36" i="13"/>
  <c r="AO36" i="13"/>
  <c r="AN36" i="13"/>
  <c r="AM36" i="13"/>
  <c r="AL36" i="13"/>
  <c r="AK36" i="13"/>
  <c r="AJ36" i="13"/>
  <c r="AI36" i="13"/>
  <c r="AH36" i="13"/>
  <c r="AG36" i="13"/>
  <c r="AF36" i="13"/>
  <c r="AE36" i="13"/>
  <c r="AD36" i="13"/>
  <c r="AC36" i="13"/>
  <c r="AB36" i="13"/>
  <c r="AA36" i="13"/>
  <c r="Z36" i="13"/>
  <c r="Y36" i="13"/>
  <c r="X36" i="13"/>
  <c r="W36" i="13"/>
  <c r="V36" i="13"/>
  <c r="U36" i="13"/>
  <c r="T36" i="13"/>
  <c r="S36" i="13"/>
  <c r="R36" i="13"/>
  <c r="Q36" i="13"/>
  <c r="P36" i="13"/>
  <c r="O36" i="13"/>
  <c r="N36" i="13"/>
  <c r="M36" i="13"/>
  <c r="L36" i="13"/>
  <c r="K36" i="13"/>
  <c r="J36" i="13"/>
  <c r="I36" i="13"/>
  <c r="H36" i="13"/>
  <c r="G36" i="13"/>
  <c r="F36" i="13"/>
  <c r="E36" i="13"/>
  <c r="BH35" i="13"/>
  <c r="BG35" i="13"/>
  <c r="BF35" i="13"/>
  <c r="BE35" i="13"/>
  <c r="BD35" i="13"/>
  <c r="BC35" i="13"/>
  <c r="BB35" i="13"/>
  <c r="BA35" i="13"/>
  <c r="AZ35" i="13"/>
  <c r="AY35" i="13"/>
  <c r="AX35" i="13"/>
  <c r="AW35" i="13"/>
  <c r="AV35" i="13"/>
  <c r="AU35" i="13"/>
  <c r="AT35" i="13"/>
  <c r="AS35" i="13"/>
  <c r="AR35" i="13"/>
  <c r="AQ35" i="13"/>
  <c r="AP35" i="13"/>
  <c r="AO35" i="13"/>
  <c r="AN35" i="13"/>
  <c r="AM35" i="13"/>
  <c r="AL35" i="13"/>
  <c r="AK35" i="13"/>
  <c r="AJ35" i="13"/>
  <c r="AI35" i="13"/>
  <c r="AH35" i="13"/>
  <c r="AG35" i="13"/>
  <c r="AF35" i="13"/>
  <c r="AE35" i="13"/>
  <c r="AD35" i="13"/>
  <c r="AC35" i="13"/>
  <c r="AB35" i="13"/>
  <c r="AA35" i="13"/>
  <c r="Z35" i="13"/>
  <c r="Y35" i="13"/>
  <c r="X35" i="13"/>
  <c r="W35" i="13"/>
  <c r="V35" i="13"/>
  <c r="U35" i="13"/>
  <c r="T35" i="13"/>
  <c r="S35" i="13"/>
  <c r="R35" i="13"/>
  <c r="Q35" i="13"/>
  <c r="P35" i="13"/>
  <c r="O35" i="13"/>
  <c r="N35" i="13"/>
  <c r="M35" i="13"/>
  <c r="L35" i="13"/>
  <c r="K35" i="13"/>
  <c r="J35" i="13"/>
  <c r="I35" i="13"/>
  <c r="H35" i="13"/>
  <c r="G35" i="13"/>
  <c r="F35" i="13"/>
  <c r="E35" i="13"/>
  <c r="BH34" i="13"/>
  <c r="BG34" i="13"/>
  <c r="BF34" i="13"/>
  <c r="BE34" i="13"/>
  <c r="BD34" i="13"/>
  <c r="BC34" i="13"/>
  <c r="BB34" i="13"/>
  <c r="BA34" i="13"/>
  <c r="AZ34" i="13"/>
  <c r="AY34" i="13"/>
  <c r="AX34" i="13"/>
  <c r="AW34" i="13"/>
  <c r="AV34" i="13"/>
  <c r="AU34" i="13"/>
  <c r="AT34" i="13"/>
  <c r="AS34" i="13"/>
  <c r="AR34" i="13"/>
  <c r="AQ34" i="13"/>
  <c r="AP34" i="13"/>
  <c r="AO34" i="13"/>
  <c r="AN34" i="13"/>
  <c r="AM34" i="13"/>
  <c r="AL34" i="13"/>
  <c r="AK34" i="13"/>
  <c r="AJ34" i="13"/>
  <c r="AI34" i="13"/>
  <c r="AH34" i="13"/>
  <c r="AG34" i="13"/>
  <c r="AF34" i="13"/>
  <c r="AE34" i="13"/>
  <c r="AD34" i="13"/>
  <c r="AC34" i="13"/>
  <c r="AB34" i="13"/>
  <c r="AA34" i="13"/>
  <c r="Z34" i="13"/>
  <c r="Y34" i="13"/>
  <c r="X34" i="13"/>
  <c r="W34" i="13"/>
  <c r="V34" i="13"/>
  <c r="U34" i="13"/>
  <c r="T34" i="13"/>
  <c r="S34" i="13"/>
  <c r="R34" i="13"/>
  <c r="Q34" i="13"/>
  <c r="P34" i="13"/>
  <c r="O34" i="13"/>
  <c r="N34" i="13"/>
  <c r="M34" i="13"/>
  <c r="L34" i="13"/>
  <c r="K34" i="13"/>
  <c r="J34" i="13"/>
  <c r="I34" i="13"/>
  <c r="H34" i="13"/>
  <c r="G34" i="13"/>
  <c r="F34" i="13"/>
  <c r="E34" i="13"/>
  <c r="BH33" i="13"/>
  <c r="BG33" i="13"/>
  <c r="BF33" i="13"/>
  <c r="BE33" i="13"/>
  <c r="BD33" i="13"/>
  <c r="BC33" i="13"/>
  <c r="BB33" i="13"/>
  <c r="BA33" i="13"/>
  <c r="AZ33" i="13"/>
  <c r="AY33" i="13"/>
  <c r="AX33" i="13"/>
  <c r="AW33" i="13"/>
  <c r="AV33" i="13"/>
  <c r="AU33" i="13"/>
  <c r="AT33" i="13"/>
  <c r="AS33" i="13"/>
  <c r="AR33" i="13"/>
  <c r="AQ33" i="13"/>
  <c r="AP33" i="13"/>
  <c r="AO33" i="13"/>
  <c r="AN33" i="13"/>
  <c r="AM33" i="13"/>
  <c r="AL33" i="13"/>
  <c r="AK33" i="13"/>
  <c r="AJ33" i="13"/>
  <c r="AI33" i="13"/>
  <c r="AH33" i="13"/>
  <c r="AG33" i="13"/>
  <c r="AF33" i="13"/>
  <c r="AE33" i="13"/>
  <c r="AD33" i="13"/>
  <c r="AC33" i="13"/>
  <c r="AB33" i="13"/>
  <c r="AA33" i="13"/>
  <c r="Z33" i="13"/>
  <c r="Y33" i="13"/>
  <c r="X33" i="13"/>
  <c r="W33" i="13"/>
  <c r="V33" i="13"/>
  <c r="U33" i="13"/>
  <c r="T33" i="13"/>
  <c r="S33" i="13"/>
  <c r="R33" i="13"/>
  <c r="Q33" i="13"/>
  <c r="P33" i="13"/>
  <c r="O33" i="13"/>
  <c r="N33" i="13"/>
  <c r="M33" i="13"/>
  <c r="L33" i="13"/>
  <c r="K33" i="13"/>
  <c r="J33" i="13"/>
  <c r="I33" i="13"/>
  <c r="H33" i="13"/>
  <c r="G33" i="13"/>
  <c r="F33" i="13"/>
  <c r="E33" i="13"/>
  <c r="BH32" i="13"/>
  <c r="BG32" i="13"/>
  <c r="BF32" i="13"/>
  <c r="BE32" i="13"/>
  <c r="BD32" i="13"/>
  <c r="BC32" i="13"/>
  <c r="BB32" i="13"/>
  <c r="BA32" i="13"/>
  <c r="AZ32" i="13"/>
  <c r="AY32" i="13"/>
  <c r="AX32" i="13"/>
  <c r="AW32" i="13"/>
  <c r="AV32" i="13"/>
  <c r="AU32" i="13"/>
  <c r="AT32" i="13"/>
  <c r="AS32" i="13"/>
  <c r="AR32" i="13"/>
  <c r="AQ32" i="13"/>
  <c r="AP32" i="13"/>
  <c r="AO32" i="13"/>
  <c r="AN32" i="13"/>
  <c r="AM32" i="13"/>
  <c r="AL32" i="13"/>
  <c r="AK32" i="13"/>
  <c r="AJ32" i="13"/>
  <c r="AI32" i="13"/>
  <c r="AH32" i="13"/>
  <c r="AG32" i="13"/>
  <c r="AF32" i="13"/>
  <c r="AE32" i="13"/>
  <c r="AD32" i="13"/>
  <c r="AC32" i="13"/>
  <c r="AB32" i="13"/>
  <c r="AA32" i="13"/>
  <c r="Z32" i="13"/>
  <c r="Y32" i="13"/>
  <c r="X32" i="13"/>
  <c r="W32" i="13"/>
  <c r="V32" i="13"/>
  <c r="U32" i="13"/>
  <c r="T32" i="13"/>
  <c r="S32" i="13"/>
  <c r="R32" i="13"/>
  <c r="Q32" i="13"/>
  <c r="P32" i="13"/>
  <c r="O32" i="13"/>
  <c r="N32" i="13"/>
  <c r="M32" i="13"/>
  <c r="L32" i="13"/>
  <c r="K32" i="13"/>
  <c r="J32" i="13"/>
  <c r="I32" i="13"/>
  <c r="H32" i="13"/>
  <c r="G32" i="13"/>
  <c r="F32" i="13"/>
  <c r="E32" i="13"/>
  <c r="BH31" i="13"/>
  <c r="BG31" i="13"/>
  <c r="BF31" i="13"/>
  <c r="BE31" i="13"/>
  <c r="BD31" i="13"/>
  <c r="BC31" i="13"/>
  <c r="BB31" i="13"/>
  <c r="BA31" i="13"/>
  <c r="AZ31" i="13"/>
  <c r="AY31" i="13"/>
  <c r="AX31" i="13"/>
  <c r="AW31" i="13"/>
  <c r="AV31" i="13"/>
  <c r="AU31" i="13"/>
  <c r="AT31" i="13"/>
  <c r="AS31" i="13"/>
  <c r="AR31" i="13"/>
  <c r="AQ31" i="13"/>
  <c r="AP31" i="13"/>
  <c r="AO31" i="13"/>
  <c r="AN31" i="13"/>
  <c r="AM31" i="13"/>
  <c r="AL31" i="13"/>
  <c r="AK31" i="13"/>
  <c r="AJ31" i="13"/>
  <c r="AI31" i="13"/>
  <c r="AH31" i="13"/>
  <c r="AG31" i="13"/>
  <c r="AF31" i="13"/>
  <c r="AE31" i="13"/>
  <c r="AD31" i="13"/>
  <c r="AC31" i="13"/>
  <c r="AB31" i="13"/>
  <c r="AA31" i="13"/>
  <c r="Z31" i="13"/>
  <c r="Y31" i="13"/>
  <c r="X31" i="13"/>
  <c r="W31" i="13"/>
  <c r="V31" i="13"/>
  <c r="U31" i="13"/>
  <c r="T31" i="13"/>
  <c r="S31" i="13"/>
  <c r="R31" i="13"/>
  <c r="Q31" i="13"/>
  <c r="P31" i="13"/>
  <c r="O31" i="13"/>
  <c r="N31" i="13"/>
  <c r="M31" i="13"/>
  <c r="L31" i="13"/>
  <c r="K31" i="13"/>
  <c r="J31" i="13"/>
  <c r="I31" i="13"/>
  <c r="H31" i="13"/>
  <c r="G31" i="13"/>
  <c r="F31" i="13"/>
  <c r="E31" i="13"/>
  <c r="BH30" i="13"/>
  <c r="BG30" i="13"/>
  <c r="BF30" i="13"/>
  <c r="BE30" i="13"/>
  <c r="BD30" i="13"/>
  <c r="BC30" i="13"/>
  <c r="BB30" i="13"/>
  <c r="BA30" i="13"/>
  <c r="AZ30" i="13"/>
  <c r="AY30" i="13"/>
  <c r="AX30" i="13"/>
  <c r="AW30" i="13"/>
  <c r="AV30" i="13"/>
  <c r="AU30" i="13"/>
  <c r="AT30" i="13"/>
  <c r="AS30" i="13"/>
  <c r="AR30" i="13"/>
  <c r="AQ30" i="13"/>
  <c r="AP30" i="13"/>
  <c r="AO30" i="13"/>
  <c r="AN30" i="13"/>
  <c r="AM30" i="13"/>
  <c r="AL30" i="13"/>
  <c r="AK30" i="13"/>
  <c r="AJ30" i="13"/>
  <c r="AI30" i="13"/>
  <c r="AH30" i="13"/>
  <c r="AG30" i="13"/>
  <c r="AF30" i="13"/>
  <c r="AE30" i="13"/>
  <c r="AD30" i="13"/>
  <c r="AC30" i="13"/>
  <c r="AB30" i="13"/>
  <c r="AA30" i="13"/>
  <c r="Z30" i="13"/>
  <c r="Y30" i="13"/>
  <c r="X30" i="13"/>
  <c r="W30" i="13"/>
  <c r="V30" i="13"/>
  <c r="U30" i="13"/>
  <c r="T30" i="13"/>
  <c r="S30" i="13"/>
  <c r="R30" i="13"/>
  <c r="Q30" i="13"/>
  <c r="P30" i="13"/>
  <c r="O30" i="13"/>
  <c r="N30" i="13"/>
  <c r="M30" i="13"/>
  <c r="L30" i="13"/>
  <c r="K30" i="13"/>
  <c r="J30" i="13"/>
  <c r="I30" i="13"/>
  <c r="H30" i="13"/>
  <c r="G30" i="13"/>
  <c r="F30" i="13"/>
  <c r="E30" i="13"/>
  <c r="BH29" i="13"/>
  <c r="BG29" i="13"/>
  <c r="BF29" i="13"/>
  <c r="BE29" i="13"/>
  <c r="BD29" i="13"/>
  <c r="BC29" i="13"/>
  <c r="BB29" i="13"/>
  <c r="BA29" i="13"/>
  <c r="AZ29" i="13"/>
  <c r="AY29" i="13"/>
  <c r="AX29" i="13"/>
  <c r="AW29" i="13"/>
  <c r="AV29" i="13"/>
  <c r="AU29" i="13"/>
  <c r="AT29" i="13"/>
  <c r="AS29" i="13"/>
  <c r="AR29" i="13"/>
  <c r="AQ29" i="13"/>
  <c r="AP29" i="13"/>
  <c r="AO29" i="13"/>
  <c r="AN29" i="13"/>
  <c r="AM29" i="13"/>
  <c r="AL29" i="13"/>
  <c r="AK29" i="13"/>
  <c r="AJ29" i="13"/>
  <c r="AI29" i="13"/>
  <c r="AH29" i="13"/>
  <c r="AG29" i="13"/>
  <c r="AF29" i="13"/>
  <c r="AE29" i="13"/>
  <c r="AD29" i="13"/>
  <c r="AC29" i="13"/>
  <c r="AB29" i="13"/>
  <c r="AA29" i="13"/>
  <c r="Z29" i="13"/>
  <c r="Y29" i="13"/>
  <c r="X29" i="13"/>
  <c r="W29" i="13"/>
  <c r="V29" i="13"/>
  <c r="U29" i="13"/>
  <c r="T29" i="13"/>
  <c r="S29" i="13"/>
  <c r="R29" i="13"/>
  <c r="Q29" i="13"/>
  <c r="P29" i="13"/>
  <c r="O29" i="13"/>
  <c r="N29" i="13"/>
  <c r="M29" i="13"/>
  <c r="L29" i="13"/>
  <c r="K29" i="13"/>
  <c r="J29" i="13"/>
  <c r="I29" i="13"/>
  <c r="H29" i="13"/>
  <c r="G29" i="13"/>
  <c r="F29" i="13"/>
  <c r="E29" i="13"/>
  <c r="BH28" i="13"/>
  <c r="BG28" i="13"/>
  <c r="BF28" i="13"/>
  <c r="BE28" i="13"/>
  <c r="BD28" i="13"/>
  <c r="BC28" i="13"/>
  <c r="BB28" i="13"/>
  <c r="BA28" i="13"/>
  <c r="AZ28" i="13"/>
  <c r="AY28" i="13"/>
  <c r="AX28" i="13"/>
  <c r="AW28" i="13"/>
  <c r="AV28" i="13"/>
  <c r="AU28" i="13"/>
  <c r="AT28" i="13"/>
  <c r="AS28" i="13"/>
  <c r="AR28" i="13"/>
  <c r="AQ28" i="13"/>
  <c r="AP28" i="13"/>
  <c r="AO28" i="13"/>
  <c r="AN28" i="13"/>
  <c r="AM28" i="13"/>
  <c r="AL28" i="13"/>
  <c r="AK28" i="13"/>
  <c r="AJ28" i="13"/>
  <c r="AI28" i="13"/>
  <c r="AH28" i="13"/>
  <c r="AG28" i="13"/>
  <c r="AF28" i="13"/>
  <c r="AE28" i="13"/>
  <c r="AD28" i="13"/>
  <c r="AC28" i="13"/>
  <c r="AB28" i="13"/>
  <c r="AA28" i="13"/>
  <c r="Z28" i="13"/>
  <c r="Y28" i="13"/>
  <c r="X28" i="13"/>
  <c r="W28" i="13"/>
  <c r="V28" i="13"/>
  <c r="U28" i="13"/>
  <c r="T28" i="13"/>
  <c r="S28" i="13"/>
  <c r="R28" i="13"/>
  <c r="Q28" i="13"/>
  <c r="P28" i="13"/>
  <c r="O28" i="13"/>
  <c r="N28" i="13"/>
  <c r="M28" i="13"/>
  <c r="L28" i="13"/>
  <c r="K28" i="13"/>
  <c r="J28" i="13"/>
  <c r="I28" i="13"/>
  <c r="H28" i="13"/>
  <c r="G28" i="13"/>
  <c r="F28" i="13"/>
  <c r="E28" i="13"/>
  <c r="BH27" i="13"/>
  <c r="BG27" i="13"/>
  <c r="BF27" i="13"/>
  <c r="BE27" i="13"/>
  <c r="BD27" i="13"/>
  <c r="BC27" i="13"/>
  <c r="BB27" i="13"/>
  <c r="BA27" i="13"/>
  <c r="AZ27" i="13"/>
  <c r="AY27" i="13"/>
  <c r="AX27" i="13"/>
  <c r="AW27" i="13"/>
  <c r="AV27" i="13"/>
  <c r="AU27" i="13"/>
  <c r="AT27" i="13"/>
  <c r="AS27" i="13"/>
  <c r="AR27" i="13"/>
  <c r="AQ27" i="13"/>
  <c r="AP27" i="13"/>
  <c r="AO27" i="13"/>
  <c r="AN27" i="13"/>
  <c r="AM27" i="13"/>
  <c r="AL27" i="13"/>
  <c r="AK27" i="13"/>
  <c r="AJ27" i="13"/>
  <c r="AI27" i="13"/>
  <c r="AH27" i="13"/>
  <c r="AG27" i="13"/>
  <c r="AF27" i="13"/>
  <c r="AE27" i="13"/>
  <c r="AD27" i="13"/>
  <c r="AC27" i="13"/>
  <c r="AB27" i="13"/>
  <c r="AA27" i="13"/>
  <c r="Z27" i="13"/>
  <c r="Y27" i="13"/>
  <c r="X27" i="13"/>
  <c r="W27" i="13"/>
  <c r="V27" i="13"/>
  <c r="U27" i="13"/>
  <c r="T27" i="13"/>
  <c r="S27" i="13"/>
  <c r="R27" i="13"/>
  <c r="Q27" i="13"/>
  <c r="P27" i="13"/>
  <c r="O27" i="13"/>
  <c r="N27" i="13"/>
  <c r="M27" i="13"/>
  <c r="L27" i="13"/>
  <c r="K27" i="13"/>
  <c r="J27" i="13"/>
  <c r="I27" i="13"/>
  <c r="H27" i="13"/>
  <c r="G27" i="13"/>
  <c r="F27" i="13"/>
  <c r="E27" i="13"/>
  <c r="BH26" i="13"/>
  <c r="BG26" i="13"/>
  <c r="BF26" i="13"/>
  <c r="BE26" i="13"/>
  <c r="BD26" i="13"/>
  <c r="BC26" i="13"/>
  <c r="BB26" i="13"/>
  <c r="BA26" i="13"/>
  <c r="AZ26" i="13"/>
  <c r="AY26" i="13"/>
  <c r="AX26" i="13"/>
  <c r="AW26" i="13"/>
  <c r="AV26" i="13"/>
  <c r="AU26" i="13"/>
  <c r="AT26" i="13"/>
  <c r="AS26" i="13"/>
  <c r="AR26" i="13"/>
  <c r="AQ26" i="13"/>
  <c r="AP26" i="13"/>
  <c r="AO26" i="13"/>
  <c r="AN26" i="13"/>
  <c r="AM26" i="13"/>
  <c r="AL26" i="13"/>
  <c r="AK26" i="13"/>
  <c r="AJ26" i="13"/>
  <c r="AI26" i="13"/>
  <c r="AH26" i="13"/>
  <c r="AG26" i="13"/>
  <c r="AF26" i="13"/>
  <c r="AE26" i="13"/>
  <c r="AD26" i="13"/>
  <c r="AC26" i="13"/>
  <c r="AB26" i="13"/>
  <c r="AA26" i="13"/>
  <c r="Z26" i="13"/>
  <c r="Y26" i="13"/>
  <c r="X26" i="13"/>
  <c r="W26" i="13"/>
  <c r="V26" i="13"/>
  <c r="U26" i="13"/>
  <c r="T26" i="13"/>
  <c r="S26" i="13"/>
  <c r="R26" i="13"/>
  <c r="Q26" i="13"/>
  <c r="P26" i="13"/>
  <c r="O26" i="13"/>
  <c r="N26" i="13"/>
  <c r="M26" i="13"/>
  <c r="L26" i="13"/>
  <c r="K26" i="13"/>
  <c r="J26" i="13"/>
  <c r="I26" i="13"/>
  <c r="H26" i="13"/>
  <c r="G26" i="13"/>
  <c r="F26" i="13"/>
  <c r="E26" i="13"/>
  <c r="BH25" i="13"/>
  <c r="BG25" i="13"/>
  <c r="BF25" i="13"/>
  <c r="BE25" i="13"/>
  <c r="BD25" i="13"/>
  <c r="BC25" i="13"/>
  <c r="BB25" i="13"/>
  <c r="BA25" i="13"/>
  <c r="AZ25" i="13"/>
  <c r="AY25" i="13"/>
  <c r="AX25" i="13"/>
  <c r="AW25" i="13"/>
  <c r="AV25" i="13"/>
  <c r="AU25" i="13"/>
  <c r="AT25" i="13"/>
  <c r="AS25" i="13"/>
  <c r="AR25" i="13"/>
  <c r="AQ25" i="13"/>
  <c r="AP25" i="13"/>
  <c r="AO25" i="13"/>
  <c r="AN25" i="13"/>
  <c r="AM25" i="13"/>
  <c r="AL25" i="13"/>
  <c r="AK25" i="13"/>
  <c r="AJ25" i="13"/>
  <c r="AI25" i="13"/>
  <c r="AH25" i="13"/>
  <c r="AG25" i="13"/>
  <c r="AF25" i="13"/>
  <c r="AE25" i="13"/>
  <c r="AD25" i="13"/>
  <c r="AC25" i="13"/>
  <c r="AB25" i="13"/>
  <c r="AA25" i="13"/>
  <c r="Z25" i="13"/>
  <c r="Y25" i="13"/>
  <c r="X25" i="13"/>
  <c r="W25" i="13"/>
  <c r="V25" i="13"/>
  <c r="U25" i="13"/>
  <c r="T25" i="13"/>
  <c r="S25" i="13"/>
  <c r="R25" i="13"/>
  <c r="Q25" i="13"/>
  <c r="P25" i="13"/>
  <c r="O25" i="13"/>
  <c r="N25" i="13"/>
  <c r="M25" i="13"/>
  <c r="L25" i="13"/>
  <c r="K25" i="13"/>
  <c r="J25" i="13"/>
  <c r="I25" i="13"/>
  <c r="H25" i="13"/>
  <c r="G25" i="13"/>
  <c r="F25" i="13"/>
  <c r="E25" i="13"/>
  <c r="E22" i="13"/>
  <c r="E21" i="13"/>
</calcChain>
</file>

<file path=xl/sharedStrings.xml><?xml version="1.0" encoding="utf-8"?>
<sst xmlns="http://schemas.openxmlformats.org/spreadsheetml/2006/main" count="737" uniqueCount="307">
  <si>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</si>
  <si>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</si>
  <si>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</si>
  <si>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</si>
  <si>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</si>
  <si>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</si>
  <si>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</si>
  <si>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</si>
  <si>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</si>
  <si>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</si>
  <si>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</si>
  <si>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</si>
  <si>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</si>
  <si>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</si>
  <si>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</si>
  <si>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</si>
  <si>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</si>
  <si>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</si>
  <si>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</si>
  <si>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</si>
  <si>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</si>
  <si>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</si>
  <si>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</si>
  <si>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</si>
  <si>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</si>
  <si>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</si>
  <si>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</si>
  <si>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</si>
  <si>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</si>
  <si>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</si>
  <si>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</si>
  <si>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</si>
  <si>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</si>
  <si>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</si>
  <si>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</si>
  <si>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</si>
  <si>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</si>
  <si>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</si>
  <si>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</si>
  <si>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</si>
  <si>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</si>
  <si>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</si>
  <si>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</si>
  <si>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</si>
  <si>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</si>
  <si>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</si>
  <si>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</si>
  <si>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</si>
  <si>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</si>
  <si>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</si>
  <si>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</si>
  <si>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</si>
  <si>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</si>
  <si>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</si>
  <si>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</si>
  <si>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</si>
  <si>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</si>
  <si>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</si>
  <si>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</si>
  <si>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</si>
  <si>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</si>
  <si>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</si>
  <si>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</si>
  <si>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</si>
  <si>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</si>
  <si>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</si>
  <si>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</si>
  <si>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</si>
  <si>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</si>
  <si>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</si>
  <si>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</si>
  <si>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</si>
  <si>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</si>
  <si>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</si>
  <si>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</si>
  <si>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</si>
  <si>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</si>
  <si>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</si>
  <si>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</si>
  <si>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</si>
  <si>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</si>
  <si>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</si>
  <si>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</si>
  <si>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</si>
  <si>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</si>
  <si>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</si>
  <si>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</si>
  <si>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</si>
  <si>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</si>
  <si>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</si>
  <si>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</si>
  <si>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</si>
  <si>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</si>
  <si>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</si>
  <si>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</si>
  <si>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</si>
  <si>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</si>
  <si>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</si>
  <si>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</si>
  <si>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</si>
  <si>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</si>
  <si>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</si>
  <si>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</si>
  <si>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</si>
  <si>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</si>
  <si>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</si>
  <si>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</si>
  <si>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</si>
  <si>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</si>
  <si>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</si>
  <si>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</si>
  <si>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</si>
  <si>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</si>
  <si>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</si>
  <si>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</si>
  <si>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</si>
  <si>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</si>
  <si>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</si>
  <si>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</si>
  <si>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</si>
  <si>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</si>
  <si>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</si>
  <si>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</si>
  <si>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</si>
  <si>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</si>
  <si>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</si>
  <si>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</si>
  <si>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</si>
  <si>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</si>
  <si>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</si>
  <si>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</si>
  <si>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</si>
  <si>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</si>
  <si>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</si>
  <si>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</si>
  <si>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</si>
  <si>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</si>
  <si>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</si>
  <si>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</si>
  <si>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</si>
  <si>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</si>
  <si>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</si>
  <si>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</si>
  <si>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</si>
  <si>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</si>
  <si>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</si>
  <si>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</si>
  <si>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</si>
  <si>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</si>
  <si>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</si>
  <si>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</si>
  <si>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</si>
  <si>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</si>
  <si>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</si>
  <si>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</si>
  <si>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</si>
  <si>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</si>
  <si>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</si>
  <si>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</si>
  <si>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</si>
  <si>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</si>
  <si>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</si>
  <si>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</si>
  <si>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</si>
  <si>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</si>
  <si>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</si>
  <si>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</si>
  <si>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</si>
  <si>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</si>
  <si>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</si>
  <si>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</si>
  <si>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</si>
  <si>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</si>
  <si>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</si>
  <si>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</si>
  <si>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</si>
  <si>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</si>
  <si>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</si>
  <si>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</si>
  <si>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</si>
  <si>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</si>
  <si>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</si>
  <si>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</si>
  <si>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</si>
  <si>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</si>
  <si>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</si>
  <si>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</si>
  <si>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</si>
  <si>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</si>
  <si>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</si>
  <si>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</si>
  <si>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</si>
  <si>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</si>
  <si>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</si>
  <si>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</si>
  <si>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</si>
  <si>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</si>
  <si>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</si>
  <si>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</si>
  <si>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</si>
  <si>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</si>
  <si>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</si>
  <si>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</si>
  <si>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</si>
  <si>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</si>
  <si>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</si>
  <si>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</si>
  <si>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</si>
  <si>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</si>
  <si>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</si>
  <si>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</si>
  <si>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</si>
  <si>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</si>
  <si>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</si>
  <si>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</si>
  <si>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</si>
  <si>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</si>
  <si>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</si>
  <si>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</si>
  <si>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</si>
  <si>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</si>
  <si>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</si>
  <si>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</si>
  <si>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</si>
  <si>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</si>
  <si>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</si>
  <si>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</si>
  <si>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</si>
  <si>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</si>
  <si>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Cigna Health and Life Insurance Company</t>
  </si>
  <si>
    <t>Small Group</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</si>
  <si>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</si>
  <si>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</si>
  <si>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</si>
  <si>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</si>
  <si>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</si>
  <si>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</si>
  <si>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</si>
  <si>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</si>
  <si>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</si>
  <si>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</si>
  <si>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</si>
  <si>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</si>
  <si>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</si>
  <si>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</si>
  <si>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</si>
  <si>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</si>
  <si>
    <t>50491GA006</t>
  </si>
  <si>
    <t>GA SG Off Exchange - PPO</t>
  </si>
  <si>
    <t>50491GA0060038</t>
  </si>
  <si>
    <t>PPO</t>
  </si>
  <si>
    <t>50491GA0060017</t>
  </si>
  <si>
    <t>50491GA0060003</t>
  </si>
  <si>
    <t>50491GA0060039</t>
  </si>
  <si>
    <t>50491GA0060013</t>
  </si>
  <si>
    <t>50491GA0060004</t>
  </si>
  <si>
    <t>50491GA0060001</t>
  </si>
  <si>
    <t>50491GA0060059</t>
  </si>
  <si>
    <t>50491GA0060061</t>
  </si>
  <si>
    <t>50491GA0060062</t>
  </si>
  <si>
    <t>50491GA0060034</t>
  </si>
  <si>
    <t>50491GA0060063</t>
  </si>
  <si>
    <t>50491GA0060036</t>
  </si>
  <si>
    <t>50491GA0060014</t>
  </si>
  <si>
    <t>50491GA0060005</t>
  </si>
  <si>
    <t>50491GA0060037</t>
  </si>
  <si>
    <t>50491GA0060033</t>
  </si>
  <si>
    <t>50491GA0060023</t>
  </si>
  <si>
    <t>50491GA0060009</t>
  </si>
  <si>
    <t>50491GA0060026</t>
  </si>
  <si>
    <t>50491GA0060018</t>
  </si>
  <si>
    <t>50491GA0060010</t>
  </si>
  <si>
    <t>50491GA0060007</t>
  </si>
  <si>
    <t>50491GA0060053</t>
  </si>
  <si>
    <t>50491GA0060055</t>
  </si>
  <si>
    <t>50491GA0060056</t>
  </si>
  <si>
    <t>50491GA0060029</t>
  </si>
  <si>
    <t>50491GA0060057</t>
  </si>
  <si>
    <t>50491GA0060031</t>
  </si>
  <si>
    <t>50491GA0060020</t>
  </si>
  <si>
    <t>50491GA0060011</t>
  </si>
  <si>
    <t>50491GA0060032</t>
  </si>
  <si>
    <t>50491GA0060016</t>
  </si>
  <si>
    <t>50491GA0060022</t>
  </si>
  <si>
    <t>50491GA0060052</t>
  </si>
  <si>
    <t>50491GA0060051</t>
  </si>
  <si>
    <t>50491GA0060064</t>
  </si>
  <si>
    <t>50491GA0060058</t>
  </si>
  <si>
    <t>50491GA0060060</t>
  </si>
  <si>
    <t>50491GA0060054</t>
  </si>
  <si>
    <t>50491GA0060002</t>
  </si>
  <si>
    <t>50491GA0060024</t>
  </si>
  <si>
    <t>50491GA0060015</t>
  </si>
  <si>
    <t>50491GA0060035</t>
  </si>
  <si>
    <t>50491GA0060008</t>
  </si>
  <si>
    <t>50491GA0060025</t>
  </si>
  <si>
    <t>50491GA0060021</t>
  </si>
  <si>
    <t>50491GA0060030</t>
  </si>
  <si>
    <t>50491GA0060041</t>
  </si>
  <si>
    <t>50491GA0060028</t>
  </si>
  <si>
    <t>50491GA0060006</t>
  </si>
  <si>
    <t>50491GA0060012</t>
  </si>
  <si>
    <t>50491GA0060027</t>
  </si>
  <si>
    <t>50491GA0060040</t>
  </si>
  <si>
    <t>50491GA0060042</t>
  </si>
  <si>
    <t>50491GA0060043</t>
  </si>
  <si>
    <t>REBUILD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</si>
</sst>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98">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0" borderId="0" xfId="0" applyProtection="1">
      <protection locked="0"/>
    </xf>
    <xf numFmtId="170" fontId="0" fillId="0" borderId="0" xfId="0" applyNumberFormat="1" applyProtection="1">
      <protection locked="0"/>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168" fontId="0" fillId="0" borderId="11" xfId="0" applyNumberFormat="1" applyBorder="1" applyAlignment="1">
      <alignment horizontal="center"/>
    </xf>
    <xf numFmtId="170" fontId="0" fillId="0" borderId="7" xfId="0" applyNumberFormat="1" applyBorder="1" applyAlignment="1">
      <alignment horizontal="center"/>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57150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276225</xdr:colOff>
          <xdr:row>0</xdr:row>
          <xdr:rowOff>0</xdr:rowOff>
        </xdr:from>
        <xdr:to>
          <xdr:col>6</xdr:col>
          <xdr:colOff>1333500</xdr:colOff>
          <xdr:row>1</xdr:row>
          <xdr:rowOff>57150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1381125</xdr:colOff>
          <xdr:row>0</xdr:row>
          <xdr:rowOff>0</xdr:rowOff>
        </xdr:from>
        <xdr:to>
          <xdr:col>7</xdr:col>
          <xdr:colOff>504825</xdr:colOff>
          <xdr:row>1</xdr:row>
          <xdr:rowOff>57150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0</xdr:row>
          <xdr:rowOff>0</xdr:rowOff>
        </xdr:from>
        <xdr:to>
          <xdr:col>6</xdr:col>
          <xdr:colOff>209550</xdr:colOff>
          <xdr:row>1</xdr:row>
          <xdr:rowOff>57150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5</xdr:col>
          <xdr:colOff>1038225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0</xdr:rowOff>
        </xdr:from>
        <xdr:to>
          <xdr:col>8</xdr:col>
          <xdr:colOff>104775</xdr:colOff>
          <xdr:row>1</xdr:row>
          <xdr:rowOff>47625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171450</xdr:colOff>
          <xdr:row>0</xdr:row>
          <xdr:rowOff>0</xdr:rowOff>
        </xdr:from>
        <xdr:to>
          <xdr:col>9</xdr:col>
          <xdr:colOff>161925</xdr:colOff>
          <xdr:row>1</xdr:row>
          <xdr:rowOff>47625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0</xdr:rowOff>
        </xdr:from>
        <xdr:to>
          <xdr:col>7</xdr:col>
          <xdr:colOff>47625</xdr:colOff>
          <xdr:row>1</xdr:row>
          <xdr:rowOff>47625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219075</xdr:colOff>
          <xdr:row>1</xdr:row>
          <xdr:rowOff>47625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0</xdr:rowOff>
        </xdr:from>
        <xdr:to>
          <xdr:col>10</xdr:col>
          <xdr:colOff>209550</xdr:colOff>
          <xdr:row>1</xdr:row>
          <xdr:rowOff>47625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1438275</xdr:colOff>
          <xdr:row>1</xdr:row>
          <xdr:rowOff>57150</xdr:rowOff>
        </xdr:from>
        <xdr:to>
          <xdr:col>1</xdr:col>
          <xdr:colOff>561975</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1647825</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heetViews>
  <sheetFormatPr defaultColWidth="0" defaultRowHeight="15" zeroHeight="1"/>
  <cols>
    <col min="1" max="1" width="3" style="1" customWidth="1"/>
    <col min="2" max="2" width="32" style="1" customWidth="1"/>
    <col min="3" max="3" width="23.42578125" style="1" customWidth="1"/>
    <col min="4" max="7" width="29" style="1" customWidth="1"/>
    <col min="8" max="8" width="27.42578125" style="1" customWidth="1"/>
    <col min="9" max="9" width="10.5703125" style="1" customWidth="1"/>
    <col min="10" max="10" width="15.7109375" style="1" customWidth="1"/>
    <col min="11" max="20" width="9.140625" style="1" customWidth="1"/>
    <col min="21" max="16384" width="9.140625" style="1" hidden="1"/>
  </cols>
  <sheetData>
    <row r="1" spans="1:29" ht="18.600000000000001" customHeight="1">
      <c r="A1" s="92" t="s">
        <v>225</v>
      </c>
      <c r="B1" s="4" t="s">
        <v>228</v>
      </c>
      <c r="C1" s="3"/>
      <c r="D1" s="3"/>
      <c r="E1" s="3"/>
      <c r="F1" s="4"/>
      <c r="K1" s="98" t="s">
        <v>213</v>
      </c>
    </row>
    <row r="2" spans="1:29" ht="18.75">
      <c r="B2" s="3"/>
      <c r="C2" s="3"/>
      <c r="D2" s="3"/>
      <c r="E2" s="3"/>
      <c r="F2" s="4"/>
      <c r="K2" s="98" t="s">
        <v>214</v>
      </c>
    </row>
    <row r="3" spans="1:29" ht="15.75">
      <c r="B3" s="96" t="s">
        <v>5</v>
      </c>
      <c r="C3" s="210" t="s">
        <v>229</v>
      </c>
      <c r="D3" s="211"/>
      <c r="E3" s="211"/>
      <c r="F3" s="211"/>
      <c r="G3" s="211"/>
      <c r="H3" s="212"/>
      <c r="K3" s="98" t="s">
        <v>215</v>
      </c>
    </row>
    <row r="4" spans="1:29" ht="18.75">
      <c r="B4" s="97" t="s">
        <v>6</v>
      </c>
      <c r="C4" s="213">
        <v>50491</v>
      </c>
      <c r="D4" s="207" t="s">
        <v>7</v>
      </c>
      <c r="E4" s="213" t="s">
        <v>37</v>
      </c>
      <c r="F4" s="4"/>
      <c r="G4" s="4"/>
      <c r="H4" s="4"/>
      <c r="K4" s="98" t="s">
        <v>216</v>
      </c>
    </row>
    <row r="5" spans="1:29" ht="15.75">
      <c r="B5" s="96" t="s">
        <v>14</v>
      </c>
      <c r="C5" s="219">
        <f>MAX('Wksh 2 - Plan Product Info'!E19:BH19)</f>
        <v>0</v>
      </c>
      <c r="D5" s="207" t="s">
        <v>9</v>
      </c>
      <c r="E5" s="213" t="s">
        <v>230</v>
      </c>
    </row>
    <row r="6" spans="1:29" ht="18.75">
      <c r="B6" s="3"/>
      <c r="C6" s="3"/>
      <c r="D6" s="3"/>
      <c r="E6" s="3"/>
      <c r="F6" s="4"/>
    </row>
    <row r="7" spans="1:29">
      <c r="F7" s="2"/>
    </row>
    <row r="8" spans="1:29">
      <c r="B8" s="267" t="s">
        <v>3</v>
      </c>
      <c r="C8" s="268"/>
      <c r="D8" s="268"/>
      <c r="E8" s="268"/>
      <c r="F8" s="268"/>
      <c r="G8" s="268"/>
      <c r="H8" s="268"/>
      <c r="I8" s="268"/>
      <c r="J8" s="268"/>
      <c r="K8" s="268"/>
      <c r="L8" s="268"/>
      <c r="M8" s="268"/>
      <c r="N8" s="268"/>
      <c r="O8" s="268"/>
      <c r="P8" s="268"/>
      <c r="Q8" s="269"/>
      <c r="R8"/>
      <c r="S8"/>
      <c r="T8"/>
      <c r="U8"/>
      <c r="V8"/>
      <c r="W8"/>
      <c r="X8"/>
      <c r="Y8"/>
    </row>
    <row r="9" spans="1:29">
      <c r="B9" s="270"/>
      <c r="C9" s="271"/>
      <c r="D9" s="271"/>
      <c r="E9" s="271"/>
      <c r="F9" s="271"/>
      <c r="G9" s="271"/>
      <c r="H9" s="271"/>
      <c r="I9" s="271"/>
      <c r="J9" s="271"/>
      <c r="K9" s="271"/>
      <c r="L9" s="271"/>
      <c r="M9" s="271"/>
      <c r="N9" s="271"/>
      <c r="O9" s="271"/>
      <c r="P9" s="271"/>
      <c r="Q9" s="272"/>
      <c r="R9"/>
      <c r="S9"/>
      <c r="T9"/>
      <c r="U9"/>
      <c r="V9"/>
      <c r="W9"/>
      <c r="X9"/>
      <c r="Y9"/>
    </row>
    <row r="10" spans="1:29">
      <c r="B10" s="19"/>
      <c r="F10" s="2"/>
    </row>
    <row r="11" spans="1:29">
      <c r="B11" s="28" t="s">
        <v>85</v>
      </c>
      <c r="E11" s="29"/>
      <c r="F11" s="2"/>
    </row>
    <row r="12" spans="1:29">
      <c r="B12" s="75" t="s">
        <v>21</v>
      </c>
      <c r="D12" s="214">
        <v>44562</v>
      </c>
      <c r="E12" s="31" t="s">
        <v>11</v>
      </c>
      <c r="F12" s="84" t="str">
        <f>EDATE(D12,12)-1</f>
        <v>12/31/2022</v>
      </c>
      <c r="H12" s="33"/>
      <c r="I12" s="32"/>
    </row>
    <row r="13" spans="1:29">
      <c r="B13" s="30"/>
      <c r="E13" s="69" t="s">
        <v>2</v>
      </c>
      <c r="F13" s="34" t="s">
        <v>23</v>
      </c>
      <c r="G13"/>
      <c r="J13"/>
      <c r="P13"/>
      <c r="Q13"/>
      <c r="U13"/>
      <c r="V13"/>
      <c r="W13"/>
      <c r="X13"/>
      <c r="Y13"/>
      <c r="AC13" s="35"/>
    </row>
    <row r="14" spans="1:29">
      <c r="B14" s="276" t="s">
        <v>86</v>
      </c>
      <c r="C14" s="277"/>
      <c r="D14" s="278"/>
      <c r="E14" s="102">
        <v>126213402.777495</v>
      </c>
      <c r="F14" s="103">
        <f>E14/E19</f>
        <v>692.80269999999996</v>
      </c>
      <c r="G14" s="36"/>
      <c r="J14"/>
      <c r="P14"/>
      <c r="Q14"/>
      <c r="U14"/>
      <c r="V14"/>
      <c r="W14"/>
      <c r="X14"/>
      <c r="Y14"/>
      <c r="AC14" s="35"/>
    </row>
    <row r="15" spans="1:29">
      <c r="B15" s="279" t="s">
        <v>87</v>
      </c>
      <c r="C15" s="279"/>
      <c r="D15" s="279"/>
      <c r="E15" s="102">
        <v>0</v>
      </c>
      <c r="F15" s="104">
        <f>E15/E19</f>
        <v>0</v>
      </c>
      <c r="G15" s="36"/>
      <c r="J15"/>
      <c r="P15"/>
      <c r="Q15"/>
      <c r="U15"/>
      <c r="V15"/>
      <c r="W15"/>
      <c r="X15"/>
      <c r="Y15"/>
      <c r="AC15" s="35"/>
    </row>
    <row r="16" spans="1:29">
      <c r="B16" s="279" t="s">
        <v>88</v>
      </c>
      <c r="C16" s="279"/>
      <c r="D16" s="279"/>
      <c r="E16" s="102">
        <v>103339476.158583</v>
      </c>
      <c r="F16" s="104">
        <f>E16/E19</f>
        <v>567.24450000000002</v>
      </c>
      <c r="G16" s="36"/>
      <c r="J16"/>
      <c r="P16"/>
      <c r="Q16"/>
      <c r="U16"/>
      <c r="V16"/>
      <c r="W16"/>
      <c r="X16"/>
      <c r="Y16"/>
      <c r="AC16" s="35"/>
    </row>
    <row r="17" spans="2:31">
      <c r="B17" s="279" t="s">
        <v>89</v>
      </c>
      <c r="C17" s="279"/>
      <c r="D17" s="279"/>
      <c r="E17" s="105">
        <v>-11836659.779999999</v>
      </c>
      <c r="F17" s="106">
        <f>E17/E19</f>
        <v>-64.972999999999999</v>
      </c>
      <c r="G17" s="37"/>
      <c r="H17" s="38"/>
      <c r="I17" s="32"/>
      <c r="J17"/>
      <c r="O17" s="39"/>
      <c r="P17"/>
      <c r="Q17"/>
      <c r="U17"/>
      <c r="V17"/>
      <c r="W17"/>
      <c r="X17"/>
      <c r="Y17"/>
      <c r="AC17" s="35"/>
    </row>
    <row r="18" spans="2:31">
      <c r="B18" s="279" t="s">
        <v>90</v>
      </c>
      <c r="C18" s="279"/>
      <c r="D18" s="279"/>
      <c r="E18" s="105">
        <v>113412116.564272</v>
      </c>
      <c r="F18" s="107">
        <f>E18/E19</f>
        <v>622.53459999999995</v>
      </c>
      <c r="G18" s="40"/>
      <c r="H18" s="38"/>
      <c r="I18" s="32"/>
      <c r="J18"/>
      <c r="P18"/>
      <c r="Q18"/>
      <c r="U18"/>
      <c r="V18"/>
      <c r="W18"/>
      <c r="X18"/>
      <c r="Y18"/>
      <c r="AC18" s="35"/>
    </row>
    <row r="19" spans="2:31">
      <c r="B19" s="279" t="s">
        <v>22</v>
      </c>
      <c r="C19" s="279"/>
      <c r="D19" s="279"/>
      <c r="E19" s="215">
        <f>'Wksh 2 - Plan Product Info'!D33</f>
        <v>182178</v>
      </c>
      <c r="F19" s="108"/>
      <c r="G19" s="38"/>
      <c r="H19" s="38"/>
      <c r="I19" s="32"/>
      <c r="J19" s="38"/>
      <c r="K19"/>
      <c r="Q19"/>
      <c r="R19"/>
      <c r="V19"/>
      <c r="W19"/>
      <c r="X19"/>
      <c r="Y19"/>
      <c r="Z19"/>
      <c r="AD19" s="35"/>
    </row>
    <row r="20" spans="2:31">
      <c r="B20" s="30"/>
      <c r="F20"/>
      <c r="G20" s="40"/>
      <c r="H20" s="38"/>
      <c r="I20" s="38"/>
      <c r="J20" s="32"/>
      <c r="K20" s="38"/>
      <c r="L20"/>
      <c r="R20"/>
      <c r="S20"/>
      <c r="W20"/>
      <c r="X20"/>
      <c r="Y20"/>
      <c r="Z20"/>
      <c r="AA20"/>
      <c r="AE20" s="35"/>
    </row>
    <row r="21" spans="2:31" ht="15.75" thickBot="1">
      <c r="B21" s="41" t="s">
        <v>91</v>
      </c>
      <c r="F21"/>
      <c r="G21" s="40"/>
      <c r="H21" s="38"/>
      <c r="I21" s="38"/>
      <c r="J21" s="32"/>
      <c r="K21" s="38"/>
      <c r="L21"/>
      <c r="R21"/>
      <c r="S21"/>
      <c r="W21"/>
      <c r="X21"/>
      <c r="Y21"/>
      <c r="Z21"/>
      <c r="AA21"/>
      <c r="AE21" s="35"/>
    </row>
    <row r="22" spans="2:31" ht="15" customHeight="1">
      <c r="B22" s="226"/>
      <c r="C22" s="227"/>
      <c r="D22" s="273" t="s">
        <v>92</v>
      </c>
      <c r="E22" s="274"/>
      <c r="F22" s="275" t="s">
        <v>93</v>
      </c>
      <c r="G22" s="275"/>
      <c r="H22" s="228"/>
      <c r="I22" s="38"/>
      <c r="J22" s="32"/>
      <c r="K22" s="38"/>
      <c r="L22"/>
      <c r="R22"/>
      <c r="S22"/>
      <c r="W22"/>
      <c r="X22"/>
      <c r="Y22"/>
      <c r="Z22"/>
      <c r="AA22"/>
      <c r="AE22" s="35"/>
    </row>
    <row r="23" spans="2:31" ht="30.75" thickBot="1">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c r="B24" s="111" t="s">
        <v>78</v>
      </c>
      <c r="C24" s="129">
        <v>119.76</v>
      </c>
      <c r="D24" s="122">
        <v>1.0457345199038901</v>
      </c>
      <c r="E24" s="125">
        <v>1.0437211227684</v>
      </c>
      <c r="F24" s="122">
        <v>1.0457345199038901</v>
      </c>
      <c r="G24" s="127">
        <v>1.0437211227684</v>
      </c>
      <c r="H24" s="131">
        <f t="shared" ref="H24:H29" si="0">PRODUCT(C24:G24)</f>
        <v>142.667</v>
      </c>
      <c r="I24" s="38"/>
      <c r="J24" s="32"/>
      <c r="K24" s="38"/>
      <c r="L24"/>
      <c r="R24"/>
      <c r="S24"/>
      <c r="W24"/>
      <c r="X24"/>
      <c r="Y24"/>
      <c r="Z24"/>
      <c r="AA24"/>
      <c r="AE24" s="35"/>
    </row>
    <row r="25" spans="2:31">
      <c r="B25" s="111" t="s">
        <v>19</v>
      </c>
      <c r="C25" s="130">
        <v>214.14</v>
      </c>
      <c r="D25" s="123">
        <v>1.0456993669433201</v>
      </c>
      <c r="E25" s="124">
        <v>1.0437311885614</v>
      </c>
      <c r="F25" s="123">
        <v>1.0456993669433201</v>
      </c>
      <c r="G25" s="126">
        <v>1.0437311885614</v>
      </c>
      <c r="H25" s="132">
        <f t="shared" si="0"/>
        <v>255.0873</v>
      </c>
      <c r="I25" s="38"/>
      <c r="J25" s="32"/>
      <c r="K25" s="38"/>
      <c r="L25"/>
      <c r="R25"/>
      <c r="S25"/>
      <c r="W25"/>
      <c r="X25"/>
      <c r="Y25"/>
      <c r="Z25"/>
      <c r="AA25"/>
      <c r="AE25" s="35"/>
    </row>
    <row r="26" spans="2:31">
      <c r="B26" s="111" t="s">
        <v>0</v>
      </c>
      <c r="C26" s="130">
        <v>164.49</v>
      </c>
      <c r="D26" s="123">
        <v>1.04574107115152</v>
      </c>
      <c r="E26" s="124">
        <v>1.04373606362826</v>
      </c>
      <c r="F26" s="123">
        <v>1.04574107115152</v>
      </c>
      <c r="G26" s="128">
        <v>1.04373606362826</v>
      </c>
      <c r="H26" s="132">
        <f t="shared" si="0"/>
        <v>195.96080000000001</v>
      </c>
      <c r="I26" s="38"/>
      <c r="J26" s="32"/>
      <c r="K26" s="38"/>
      <c r="L26"/>
      <c r="R26"/>
      <c r="S26"/>
      <c r="W26"/>
      <c r="X26"/>
      <c r="Y26"/>
      <c r="Z26"/>
      <c r="AA26"/>
      <c r="AE26" s="35"/>
    </row>
    <row r="27" spans="2:31">
      <c r="B27" s="111" t="s">
        <v>18</v>
      </c>
      <c r="C27" s="130">
        <v>20.47</v>
      </c>
      <c r="D27" s="123">
        <v>1.04578620690436</v>
      </c>
      <c r="E27" s="124">
        <v>1.04374376030827</v>
      </c>
      <c r="F27" s="123">
        <v>1.04578620690436</v>
      </c>
      <c r="G27" s="126">
        <v>1.04374376030827</v>
      </c>
      <c r="H27" s="132">
        <f t="shared" si="0"/>
        <v>24.3889</v>
      </c>
      <c r="I27" s="38"/>
      <c r="J27" s="32"/>
      <c r="K27" s="38"/>
      <c r="L27"/>
      <c r="R27"/>
      <c r="S27"/>
      <c r="W27"/>
      <c r="X27"/>
      <c r="Y27"/>
      <c r="Z27"/>
      <c r="AA27"/>
      <c r="AE27" s="35"/>
    </row>
    <row r="28" spans="2:31">
      <c r="B28" s="111" t="s">
        <v>1</v>
      </c>
      <c r="C28" s="130">
        <v>0</v>
      </c>
      <c r="D28" s="120">
        <v>1</v>
      </c>
      <c r="E28" s="121">
        <v>1</v>
      </c>
      <c r="F28" s="123">
        <v>1</v>
      </c>
      <c r="G28" s="126">
        <v>1</v>
      </c>
      <c r="H28" s="132">
        <f t="shared" si="0"/>
        <v>0</v>
      </c>
      <c r="I28" s="38"/>
      <c r="J28" s="32"/>
      <c r="K28" s="38"/>
      <c r="L28"/>
      <c r="R28"/>
      <c r="S28"/>
      <c r="W28"/>
      <c r="X28"/>
      <c r="Y28"/>
      <c r="Z28"/>
      <c r="AA28"/>
      <c r="AE28" s="35"/>
    </row>
    <row r="29" spans="2:31" ht="15.75" thickBot="1">
      <c r="B29" s="111" t="s">
        <v>20</v>
      </c>
      <c r="C29" s="114">
        <v>169.019358770732</v>
      </c>
      <c r="D29" s="119">
        <v>1.07099384617959</v>
      </c>
      <c r="E29" s="118">
        <v>1.04869068533471</v>
      </c>
      <c r="F29" s="119">
        <v>1.07099384617959</v>
      </c>
      <c r="G29" s="85">
        <v>1.04869068533471</v>
      </c>
      <c r="H29" s="116">
        <f t="shared" si="0"/>
        <v>213.2088</v>
      </c>
      <c r="I29" s="38"/>
      <c r="J29" s="32"/>
      <c r="K29" s="38"/>
      <c r="L29"/>
      <c r="R29"/>
      <c r="S29"/>
      <c r="W29"/>
      <c r="X29"/>
      <c r="Y29"/>
      <c r="Z29"/>
      <c r="AA29"/>
      <c r="AE29" s="35"/>
    </row>
    <row r="30" spans="2:31" ht="15.75" thickBot="1">
      <c r="B30" s="112" t="s">
        <v>2</v>
      </c>
      <c r="C30" s="113">
        <f>SUM(C24:C29)</f>
        <v>687.87940000000003</v>
      </c>
      <c r="D30" s="264"/>
      <c r="E30" s="265"/>
      <c r="F30" s="265"/>
      <c r="G30" s="265"/>
      <c r="H30" s="144">
        <f>SUM(H24:H29)</f>
        <v>831.31280000000004</v>
      </c>
      <c r="I30" s="38"/>
      <c r="J30" s="32"/>
      <c r="K30" s="38"/>
      <c r="L30"/>
      <c r="R30"/>
      <c r="S30"/>
      <c r="W30"/>
      <c r="X30"/>
      <c r="Y30"/>
      <c r="Z30"/>
      <c r="AA30"/>
      <c r="AE30" s="35"/>
    </row>
    <row r="31" spans="2:31">
      <c r="B31" s="41"/>
      <c r="F31"/>
      <c r="G31" s="40"/>
      <c r="H31" s="38"/>
      <c r="I31" s="38"/>
      <c r="J31" s="32"/>
      <c r="K31" s="38"/>
      <c r="L31"/>
      <c r="R31"/>
      <c r="S31"/>
      <c r="W31"/>
      <c r="X31"/>
      <c r="Y31"/>
      <c r="Z31"/>
      <c r="AA31"/>
      <c r="AE31" s="35"/>
    </row>
    <row r="32" spans="2:31">
      <c r="B32" s="223" t="s">
        <v>98</v>
      </c>
      <c r="C32" s="224"/>
      <c r="D32" s="224"/>
      <c r="E32" s="225"/>
      <c r="F32" s="136">
        <v>1.04599886601346</v>
      </c>
      <c r="G32" s="40"/>
      <c r="H32" s="38"/>
      <c r="I32" s="38"/>
      <c r="J32" s="32"/>
      <c r="K32" s="38"/>
      <c r="L32"/>
      <c r="R32"/>
      <c r="S32"/>
      <c r="W32"/>
      <c r="X32"/>
      <c r="Y32"/>
      <c r="Z32"/>
      <c r="AA32"/>
      <c r="AE32" s="35"/>
    </row>
    <row r="33" spans="2:31">
      <c r="B33" s="223" t="s">
        <v>99</v>
      </c>
      <c r="C33" s="224"/>
      <c r="D33" s="224"/>
      <c r="E33" s="225"/>
      <c r="F33" s="136">
        <v>0.978053097950071</v>
      </c>
      <c r="G33" s="40"/>
      <c r="H33" s="38"/>
      <c r="I33" s="38"/>
      <c r="J33" s="32"/>
      <c r="K33" s="38"/>
      <c r="L33"/>
      <c r="R33"/>
      <c r="S33"/>
      <c r="W33"/>
      <c r="X33"/>
      <c r="Y33"/>
      <c r="Z33"/>
      <c r="AA33"/>
      <c r="AE33" s="35"/>
    </row>
    <row r="34" spans="2:31">
      <c r="B34" s="223" t="s">
        <v>100</v>
      </c>
      <c r="C34" s="224"/>
      <c r="D34" s="224"/>
      <c r="E34" s="225"/>
      <c r="F34" s="136">
        <v>0.99175491494855395</v>
      </c>
      <c r="G34" s="40"/>
      <c r="H34" s="38"/>
      <c r="I34" s="38"/>
      <c r="J34" s="32"/>
      <c r="K34" s="38"/>
      <c r="L34"/>
      <c r="R34"/>
      <c r="S34"/>
      <c r="W34"/>
      <c r="X34"/>
      <c r="Y34"/>
      <c r="Z34"/>
      <c r="AA34"/>
      <c r="AE34" s="35"/>
    </row>
    <row r="35" spans="2:31">
      <c r="B35" s="223" t="s">
        <v>17</v>
      </c>
      <c r="C35" s="224"/>
      <c r="D35" s="224"/>
      <c r="E35" s="225"/>
      <c r="F35" s="136">
        <v>1.0028728862080101</v>
      </c>
      <c r="G35" s="40"/>
      <c r="H35" s="38"/>
      <c r="I35" s="38"/>
      <c r="J35" s="32"/>
      <c r="K35" s="38"/>
      <c r="L35"/>
      <c r="R35"/>
      <c r="S35"/>
      <c r="W35"/>
      <c r="X35"/>
      <c r="Y35"/>
      <c r="Z35"/>
      <c r="AA35"/>
      <c r="AE35" s="35"/>
    </row>
    <row r="36" spans="2:31">
      <c r="B36" s="223" t="s">
        <v>220</v>
      </c>
      <c r="C36" s="224"/>
      <c r="D36" s="137" t="str">
        <f>IF(C5&lt;&gt;"",C5,"")</f>
        <v>1/1/2024</v>
      </c>
      <c r="E36" s="138"/>
      <c r="F36" s="135">
        <f>H30*PRODUCT(F32:F35)</f>
        <v>845.87929999999994</v>
      </c>
      <c r="G36" s="40"/>
      <c r="H36" s="38"/>
      <c r="I36" s="38"/>
      <c r="J36" s="32"/>
      <c r="K36" s="38"/>
      <c r="L36"/>
      <c r="R36"/>
      <c r="S36"/>
      <c r="W36"/>
      <c r="X36"/>
      <c r="Y36"/>
      <c r="Z36"/>
      <c r="AA36"/>
      <c r="AE36" s="35"/>
    </row>
    <row r="37" spans="2:31">
      <c r="B37" s="41"/>
      <c r="F37"/>
      <c r="G37" s="40"/>
      <c r="H37" s="38"/>
      <c r="I37" s="38"/>
      <c r="J37" s="32"/>
      <c r="K37" s="38"/>
      <c r="L37"/>
      <c r="R37"/>
      <c r="S37"/>
      <c r="W37"/>
      <c r="X37"/>
      <c r="Y37"/>
      <c r="Z37"/>
      <c r="AA37"/>
      <c r="AE37" s="35"/>
    </row>
    <row r="38" spans="2:31">
      <c r="B38" s="223" t="s">
        <v>97</v>
      </c>
      <c r="C38" s="224"/>
      <c r="D38" s="224"/>
      <c r="E38" s="225"/>
      <c r="F38" s="133">
        <v>843.83022267526599</v>
      </c>
      <c r="G38" s="40"/>
      <c r="H38" s="38"/>
      <c r="I38" s="38"/>
      <c r="J38" s="32"/>
      <c r="K38" s="38"/>
      <c r="L38"/>
      <c r="R38"/>
      <c r="S38"/>
      <c r="W38"/>
      <c r="X38"/>
      <c r="Y38"/>
      <c r="Z38"/>
      <c r="AA38"/>
      <c r="AE38" s="35"/>
    </row>
    <row r="39" spans="2:31">
      <c r="B39" s="223" t="s">
        <v>219</v>
      </c>
      <c r="C39" s="224"/>
      <c r="D39" s="224"/>
      <c r="E39" s="225"/>
      <c r="F39" s="134">
        <v>1</v>
      </c>
      <c r="G39" s="40"/>
      <c r="H39" s="38"/>
      <c r="I39" s="38"/>
      <c r="J39" s="32"/>
      <c r="K39" s="38"/>
      <c r="L39"/>
      <c r="R39"/>
      <c r="S39"/>
      <c r="W39"/>
      <c r="X39"/>
      <c r="Y39"/>
      <c r="Z39"/>
      <c r="AA39"/>
      <c r="AE39" s="35"/>
    </row>
    <row r="40" spans="2:31">
      <c r="B40" s="41"/>
      <c r="F40"/>
      <c r="G40"/>
      <c r="H40" s="38"/>
      <c r="I40" s="38"/>
      <c r="J40" s="32"/>
      <c r="K40" s="38"/>
      <c r="L40"/>
      <c r="R40"/>
      <c r="S40"/>
      <c r="W40"/>
      <c r="X40"/>
      <c r="Y40"/>
      <c r="Z40"/>
      <c r="AA40"/>
      <c r="AE40" s="35"/>
    </row>
    <row r="41" spans="2:31" ht="17.25">
      <c r="B41" s="41"/>
      <c r="F41"/>
      <c r="G41" s="145" t="s">
        <v>24</v>
      </c>
      <c r="H41" s="38"/>
      <c r="I41" s="38"/>
      <c r="J41" s="32"/>
      <c r="K41" s="38"/>
      <c r="L41"/>
      <c r="R41"/>
      <c r="S41"/>
      <c r="W41"/>
      <c r="X41"/>
      <c r="Y41"/>
      <c r="Z41"/>
      <c r="AA41"/>
      <c r="AE41" s="35"/>
    </row>
    <row r="42" spans="2:31">
      <c r="B42" s="223" t="s">
        <v>101</v>
      </c>
      <c r="C42" s="224"/>
      <c r="D42" s="137" t="str">
        <f>IF(C5&lt;&gt;"",C5,"")</f>
        <v>1/1/2024</v>
      </c>
      <c r="E42" s="139"/>
      <c r="F42" s="135">
        <f>ROUND(F39*F36+(1-F39)*F38,2)</f>
        <v>845.88</v>
      </c>
      <c r="G42" s="140">
        <f>F42*F48</f>
        <v>231756740.03999999</v>
      </c>
      <c r="H42" s="38"/>
      <c r="I42" s="38"/>
      <c r="J42" s="32"/>
      <c r="K42" s="38"/>
      <c r="L42"/>
      <c r="R42"/>
      <c r="S42"/>
      <c r="W42"/>
      <c r="X42"/>
      <c r="Y42"/>
      <c r="Z42"/>
      <c r="AA42"/>
      <c r="AE42" s="35"/>
    </row>
    <row r="43" spans="2:31">
      <c r="B43" s="223" t="s">
        <v>87</v>
      </c>
      <c r="C43" s="224"/>
      <c r="D43" s="224"/>
      <c r="E43" s="225"/>
      <c r="F43" s="133">
        <v>0</v>
      </c>
      <c r="G43" s="140">
        <f>F43*F48</f>
        <v>0</v>
      </c>
      <c r="H43" s="38"/>
      <c r="I43" s="38"/>
      <c r="J43" s="32"/>
      <c r="K43" s="38"/>
      <c r="L43"/>
      <c r="R43"/>
      <c r="S43"/>
      <c r="W43"/>
      <c r="X43"/>
      <c r="Y43"/>
      <c r="Z43"/>
      <c r="AA43"/>
      <c r="AE43" s="35"/>
    </row>
    <row r="44" spans="2:31">
      <c r="B44" s="223" t="s">
        <v>138</v>
      </c>
      <c r="C44" s="224"/>
      <c r="D44" s="224"/>
      <c r="E44" s="225"/>
      <c r="F44" s="133">
        <v>-49</v>
      </c>
      <c r="G44" s="140">
        <f>F44*F48</f>
        <v>-13425167</v>
      </c>
      <c r="H44" s="38"/>
      <c r="I44" s="38"/>
      <c r="J44" s="32"/>
      <c r="K44" s="38"/>
      <c r="L44"/>
      <c r="R44"/>
      <c r="S44"/>
      <c r="W44"/>
      <c r="X44"/>
      <c r="Y44"/>
      <c r="Z44"/>
      <c r="AA44"/>
      <c r="AE44" s="35"/>
    </row>
    <row r="45" spans="2:31">
      <c r="B45" s="223" t="s">
        <v>102</v>
      </c>
      <c r="C45" s="224"/>
      <c r="D45" s="224"/>
      <c r="E45" s="225"/>
      <c r="F45" s="142">
        <v>0</v>
      </c>
      <c r="G45" s="141">
        <f>F45*F46*F48</f>
        <v>0</v>
      </c>
      <c r="H45" s="38"/>
      <c r="I45" s="38"/>
      <c r="J45" s="32"/>
      <c r="K45" s="38"/>
      <c r="L45"/>
      <c r="R45"/>
      <c r="S45"/>
      <c r="W45"/>
      <c r="X45"/>
      <c r="Y45"/>
      <c r="Z45"/>
      <c r="AA45"/>
      <c r="AE45" s="35"/>
    </row>
    <row r="46" spans="2:31">
      <c r="B46" s="223" t="s">
        <v>122</v>
      </c>
      <c r="C46" s="224"/>
      <c r="D46" s="224"/>
      <c r="E46" s="225"/>
      <c r="F46" s="135">
        <f>(F42-F43-F44)/(1-F45)</f>
        <v>894.88</v>
      </c>
      <c r="G46" s="143">
        <f>F46*F48</f>
        <v>245181907.03999999</v>
      </c>
      <c r="H46" s="38"/>
      <c r="I46" s="38"/>
      <c r="J46" s="32"/>
      <c r="K46" s="38"/>
      <c r="L46"/>
      <c r="R46"/>
      <c r="S46"/>
      <c r="W46"/>
      <c r="X46"/>
      <c r="Y46"/>
      <c r="Z46"/>
      <c r="AA46"/>
      <c r="AE46" s="35"/>
    </row>
    <row r="47" spans="2:31">
      <c r="B47" s="75"/>
      <c r="F47"/>
      <c r="G47" s="40"/>
      <c r="H47" s="38"/>
      <c r="I47" s="38"/>
      <c r="J47" s="32"/>
      <c r="K47" s="38"/>
      <c r="L47"/>
      <c r="R47"/>
      <c r="S47"/>
      <c r="W47"/>
      <c r="X47"/>
      <c r="Y47"/>
      <c r="Z47"/>
      <c r="AA47"/>
      <c r="AE47" s="35"/>
    </row>
    <row r="48" spans="2:31">
      <c r="B48" s="223" t="s">
        <v>4</v>
      </c>
      <c r="C48" s="224"/>
      <c r="D48" s="224"/>
      <c r="E48" s="225"/>
      <c r="F48" s="216">
        <f>'Wksh 2 - Plan Product Info'!D73</f>
        <v>273983</v>
      </c>
      <c r="G48" s="40"/>
      <c r="H48" s="38"/>
      <c r="I48" s="38"/>
      <c r="J48" s="32"/>
      <c r="K48" s="38"/>
      <c r="L48"/>
      <c r="R48"/>
      <c r="S48"/>
      <c r="W48"/>
      <c r="X48"/>
      <c r="Y48"/>
      <c r="Z48"/>
      <c r="AA48"/>
      <c r="AE48" s="35"/>
    </row>
    <row r="49" spans="2:31">
      <c r="B49" s="41"/>
      <c r="F49"/>
      <c r="G49" s="40"/>
      <c r="H49" s="38"/>
      <c r="I49" s="38"/>
      <c r="J49" s="32"/>
      <c r="K49" s="38"/>
      <c r="L49"/>
      <c r="R49"/>
      <c r="S49"/>
      <c r="W49"/>
      <c r="X49"/>
      <c r="Y49"/>
      <c r="Z49"/>
      <c r="AA49"/>
      <c r="AE49" s="35"/>
    </row>
    <row r="50" spans="2:31" ht="48.75" customHeight="1">
      <c r="B50" s="266" t="s">
        <v>148</v>
      </c>
      <c r="C50" s="266"/>
      <c r="D50" s="266"/>
      <c r="E50" s="266"/>
      <c r="F50" s="266"/>
      <c r="G50" s="266"/>
      <c r="H50" s="266"/>
      <c r="I50" s="266"/>
      <c r="J50" s="266"/>
      <c r="K50" s="266"/>
      <c r="L50" s="266"/>
      <c r="M50" s="266"/>
      <c r="N50" s="266"/>
      <c r="O50" s="266"/>
      <c r="P50" s="266"/>
      <c r="Q50" s="266"/>
      <c r="R50" s="2"/>
      <c r="S50" s="2"/>
    </row>
    <row r="51" spans="2:31">
      <c r="F51" s="47"/>
      <c r="G51" s="27"/>
      <c r="H51" s="27"/>
      <c r="I51" s="27"/>
      <c r="J51" s="2"/>
      <c r="M51" s="2"/>
      <c r="N51" s="2"/>
      <c r="R51" s="2"/>
      <c r="S51" s="2"/>
    </row>
    <row r="52" spans="2:31" hidden="1">
      <c r="J52" s="2"/>
      <c r="M52" s="2"/>
      <c r="N52" s="2"/>
      <c r="R52" s="2"/>
      <c r="S52" s="2"/>
    </row>
    <row r="53" spans="2:31" hidden="1">
      <c r="J53" s="2"/>
      <c r="M53" s="2"/>
      <c r="N53" s="2"/>
      <c r="R53" s="2"/>
      <c r="S53" s="2"/>
    </row>
    <row r="54" spans="2:31" hidden="1">
      <c r="B54" s="2"/>
      <c r="G54" s="43"/>
      <c r="H54" s="2"/>
      <c r="I54" s="2"/>
      <c r="J54" s="2"/>
      <c r="M54" s="2"/>
      <c r="N54" s="2"/>
      <c r="R54" s="2"/>
      <c r="S54" s="2"/>
    </row>
    <row r="55" spans="2:31" hidden="1">
      <c r="B55" s="2"/>
      <c r="G55" s="43"/>
      <c r="H55" s="2"/>
      <c r="I55" s="2"/>
      <c r="J55" s="2"/>
      <c r="M55" s="2"/>
      <c r="N55" s="2"/>
      <c r="R55" s="2"/>
      <c r="S55" s="2"/>
    </row>
    <row r="56" spans="2:31" hidden="1">
      <c r="B56" s="48"/>
      <c r="C56"/>
      <c r="D56"/>
      <c r="E56"/>
      <c r="F56"/>
      <c r="G56" s="49"/>
      <c r="H56" s="38"/>
      <c r="I56" s="38"/>
      <c r="J56" s="38"/>
      <c r="K56"/>
      <c r="L56"/>
      <c r="M56" s="50"/>
      <c r="N56" s="50"/>
      <c r="O56"/>
      <c r="P56"/>
    </row>
    <row r="57" spans="2:31" hidden="1">
      <c r="B57"/>
      <c r="C57"/>
      <c r="D57"/>
      <c r="E57"/>
      <c r="F57"/>
      <c r="G57" s="49"/>
      <c r="H57" s="38"/>
      <c r="I57" s="38"/>
      <c r="J57" s="38"/>
      <c r="K57"/>
      <c r="L57"/>
      <c r="M57" s="50"/>
      <c r="N57" s="50"/>
      <c r="O57"/>
      <c r="P57"/>
    </row>
    <row r="58" spans="2:31" hidden="1">
      <c r="B58" s="51"/>
      <c r="C58"/>
      <c r="D58"/>
      <c r="E58"/>
      <c r="F58"/>
      <c r="G58" s="45"/>
      <c r="H58" s="38"/>
      <c r="I58" s="38"/>
      <c r="J58"/>
      <c r="K58"/>
      <c r="L58"/>
      <c r="M58" s="50"/>
      <c r="N58" s="50"/>
      <c r="O58"/>
      <c r="P58"/>
    </row>
    <row r="59" spans="2:31" hidden="1">
      <c r="B59"/>
      <c r="C59"/>
      <c r="D59"/>
      <c r="E59"/>
      <c r="F59"/>
      <c r="G59" s="42"/>
      <c r="H59" s="38"/>
      <c r="I59" s="38"/>
      <c r="J59"/>
      <c r="K59"/>
      <c r="L59"/>
      <c r="M59" s="50"/>
      <c r="N59" s="50"/>
      <c r="O59"/>
      <c r="P59"/>
    </row>
    <row r="60" spans="2:31" hidden="1">
      <c r="B60" s="38"/>
      <c r="C60"/>
      <c r="D60"/>
      <c r="E60"/>
      <c r="F60"/>
      <c r="G60" s="42"/>
      <c r="H60" s="38"/>
      <c r="I60" s="38"/>
      <c r="J60"/>
      <c r="K60"/>
      <c r="L60"/>
      <c r="M60" s="50"/>
      <c r="N60" s="50"/>
      <c r="O60"/>
      <c r="P60"/>
    </row>
    <row r="61" spans="2:31" hidden="1">
      <c r="B61"/>
      <c r="C61"/>
      <c r="D61"/>
      <c r="E61"/>
      <c r="F61" s="38"/>
      <c r="G61"/>
      <c r="H61"/>
      <c r="I61"/>
      <c r="J61"/>
      <c r="K61"/>
      <c r="L61"/>
      <c r="M61"/>
      <c r="N61"/>
      <c r="O61"/>
      <c r="P61"/>
      <c r="Q61"/>
      <c r="R61"/>
      <c r="S61"/>
      <c r="T61"/>
      <c r="U61"/>
      <c r="V61"/>
    </row>
    <row r="62" spans="2:31" hidden="1">
      <c r="B62" s="52"/>
      <c r="C62"/>
      <c r="D62"/>
      <c r="E62"/>
      <c r="F62" s="38"/>
      <c r="G62"/>
      <c r="H62"/>
      <c r="I62"/>
      <c r="J62"/>
      <c r="K62"/>
      <c r="L62"/>
      <c r="M62"/>
      <c r="N62"/>
      <c r="O62"/>
      <c r="P62"/>
      <c r="Q62"/>
      <c r="R62"/>
      <c r="S62"/>
      <c r="T62"/>
      <c r="U62"/>
      <c r="V62"/>
    </row>
    <row r="63" spans="2:31" hidden="1">
      <c r="B63"/>
      <c r="C63"/>
      <c r="D63"/>
      <c r="E63"/>
      <c r="F63" s="38"/>
      <c r="G63"/>
      <c r="H63"/>
      <c r="I63"/>
      <c r="J63"/>
      <c r="K63"/>
      <c r="L63"/>
      <c r="M63"/>
      <c r="N63"/>
      <c r="O63"/>
      <c r="P63"/>
      <c r="Q63"/>
      <c r="R63"/>
      <c r="S63"/>
      <c r="T63"/>
      <c r="U63"/>
      <c r="V63"/>
    </row>
    <row r="64" spans="2:31" hidden="1">
      <c r="B64"/>
      <c r="C64"/>
      <c r="D64"/>
      <c r="E64"/>
      <c r="F64" s="38"/>
      <c r="G64"/>
      <c r="H64"/>
      <c r="I64"/>
      <c r="J64"/>
      <c r="K64"/>
      <c r="L64"/>
      <c r="M64"/>
      <c r="N64"/>
      <c r="O64"/>
      <c r="P64"/>
      <c r="Q64"/>
      <c r="R64"/>
      <c r="S64"/>
      <c r="T64"/>
      <c r="U64"/>
      <c r="V64"/>
    </row>
    <row r="65" spans="1:22" hidden="1">
      <c r="B65"/>
      <c r="C65"/>
      <c r="D65"/>
      <c r="E65"/>
      <c r="F65" s="53"/>
      <c r="G65" s="53"/>
      <c r="H65" s="53"/>
      <c r="I65" s="53"/>
      <c r="J65" s="53"/>
      <c r="K65" s="53"/>
      <c r="L65" s="53"/>
      <c r="M65" s="53"/>
      <c r="N65" s="53"/>
      <c r="O65" s="53"/>
      <c r="P65" s="53"/>
      <c r="Q65" s="53"/>
      <c r="R65"/>
      <c r="S65"/>
      <c r="T65"/>
      <c r="U65"/>
      <c r="V65"/>
    </row>
    <row r="66" spans="1:22" hidden="1">
      <c r="A66" s="30"/>
      <c r="B66"/>
      <c r="C66"/>
      <c r="D66"/>
      <c r="E66"/>
      <c r="F66" s="54"/>
      <c r="G66" s="54"/>
      <c r="H66" s="54"/>
      <c r="I66" s="54"/>
      <c r="J66" s="54"/>
      <c r="K66" s="54"/>
      <c r="L66" s="54"/>
      <c r="M66" s="54"/>
      <c r="N66" s="54"/>
      <c r="O66" s="54"/>
      <c r="P66" s="54"/>
      <c r="Q66" s="54"/>
      <c r="R66"/>
      <c r="S66"/>
      <c r="T66"/>
      <c r="U66"/>
      <c r="V66"/>
    </row>
    <row r="67" spans="1:22" hidden="1">
      <c r="A67" s="30"/>
      <c r="B67"/>
      <c r="C67"/>
      <c r="D67"/>
      <c r="E67"/>
      <c r="F67" s="54"/>
      <c r="G67" s="54"/>
      <c r="H67" s="54"/>
      <c r="I67" s="54"/>
      <c r="J67" s="54"/>
      <c r="K67" s="54"/>
      <c r="L67" s="54"/>
      <c r="M67" s="54"/>
      <c r="N67" s="54"/>
      <c r="O67" s="54"/>
      <c r="P67" s="54"/>
      <c r="Q67" s="54"/>
      <c r="R67"/>
      <c r="S67"/>
      <c r="T67"/>
      <c r="U67"/>
      <c r="V67"/>
    </row>
    <row r="68" spans="1:22" hidden="1">
      <c r="A68" s="30"/>
      <c r="B68"/>
      <c r="C68"/>
      <c r="D68"/>
      <c r="E68"/>
      <c r="F68" s="54"/>
      <c r="G68" s="54"/>
      <c r="H68" s="54"/>
      <c r="I68" s="54"/>
      <c r="J68" s="54"/>
      <c r="K68" s="54"/>
      <c r="L68" s="54"/>
      <c r="M68" s="54"/>
      <c r="N68" s="54"/>
      <c r="O68" s="54"/>
      <c r="P68" s="54"/>
      <c r="Q68" s="54"/>
      <c r="R68"/>
      <c r="S68"/>
      <c r="T68"/>
      <c r="U68"/>
      <c r="V68"/>
    </row>
    <row r="69" spans="1:22" hidden="1">
      <c r="A69" s="30"/>
      <c r="B69"/>
      <c r="C69"/>
      <c r="D69"/>
      <c r="E69"/>
      <c r="F69" s="55"/>
      <c r="G69" s="55"/>
      <c r="H69" s="55"/>
      <c r="I69" s="55"/>
      <c r="J69" s="55"/>
      <c r="K69" s="55"/>
      <c r="L69" s="55"/>
      <c r="M69" s="55"/>
      <c r="N69" s="55"/>
      <c r="O69" s="55"/>
      <c r="P69" s="55"/>
      <c r="Q69" s="55"/>
      <c r="R69"/>
      <c r="S69"/>
      <c r="T69"/>
      <c r="U69"/>
      <c r="V69"/>
    </row>
    <row r="70" spans="1:22" hidden="1">
      <c r="A70" s="30"/>
      <c r="B70" s="48"/>
      <c r="C70"/>
      <c r="D70"/>
      <c r="E70"/>
      <c r="F70"/>
      <c r="G70"/>
      <c r="H70"/>
      <c r="I70"/>
      <c r="J70"/>
      <c r="K70"/>
      <c r="L70"/>
      <c r="M70"/>
      <c r="N70"/>
      <c r="O70"/>
      <c r="P70"/>
      <c r="Q70"/>
      <c r="R70"/>
      <c r="S70"/>
      <c r="T70"/>
      <c r="U70"/>
      <c r="V70"/>
    </row>
    <row r="71" spans="1:22" hidden="1">
      <c r="A71" s="30"/>
      <c r="B71" s="48"/>
      <c r="C71"/>
      <c r="D71"/>
      <c r="E71"/>
      <c r="F71"/>
      <c r="G71"/>
      <c r="H71"/>
      <c r="I71"/>
      <c r="J71"/>
      <c r="K71"/>
      <c r="L71"/>
      <c r="M71"/>
      <c r="N71"/>
      <c r="O71"/>
      <c r="P71"/>
      <c r="Q71"/>
      <c r="R71"/>
      <c r="S71"/>
      <c r="T71"/>
      <c r="U71"/>
      <c r="V71"/>
    </row>
    <row r="72" spans="1:22" hidden="1">
      <c r="A72" s="30"/>
      <c r="B72" s="48"/>
      <c r="C72" s="38"/>
      <c r="D72"/>
      <c r="E72"/>
      <c r="F72" s="5"/>
      <c r="G72" s="27"/>
      <c r="H72" s="27"/>
      <c r="I72" s="27"/>
      <c r="J72" s="27"/>
      <c r="K72" s="27"/>
      <c r="L72" s="27"/>
      <c r="M72" s="27"/>
      <c r="N72" s="27"/>
      <c r="O72" s="27"/>
      <c r="P72" s="27"/>
      <c r="Q72" s="27"/>
      <c r="R72"/>
      <c r="S72"/>
      <c r="T72"/>
      <c r="U72"/>
      <c r="V72"/>
    </row>
    <row r="73" spans="1:22" hidden="1">
      <c r="A73" s="30"/>
      <c r="B73" s="48"/>
      <c r="C73"/>
      <c r="D73"/>
      <c r="E73"/>
      <c r="F73"/>
      <c r="G73"/>
      <c r="H73"/>
      <c r="I73"/>
      <c r="J73"/>
      <c r="K73"/>
      <c r="L73"/>
      <c r="M73"/>
      <c r="N73"/>
      <c r="O73"/>
      <c r="P73"/>
      <c r="Q73"/>
      <c r="R73"/>
      <c r="S73"/>
      <c r="T73"/>
      <c r="U73"/>
      <c r="V73"/>
    </row>
    <row r="74" spans="1:22" hidden="1">
      <c r="A74" s="30"/>
      <c r="B74" s="48"/>
      <c r="C74" s="38"/>
      <c r="D74"/>
      <c r="E74"/>
      <c r="F74" s="20"/>
      <c r="G74" s="20"/>
      <c r="H74" s="20"/>
      <c r="I74" s="20"/>
      <c r="J74" s="20"/>
      <c r="K74" s="20"/>
      <c r="L74" s="20"/>
      <c r="M74" s="20"/>
      <c r="N74" s="20"/>
      <c r="O74" s="20"/>
      <c r="P74" s="20"/>
      <c r="Q74" s="20"/>
      <c r="R74"/>
      <c r="S74"/>
      <c r="T74"/>
      <c r="U74"/>
      <c r="V74"/>
    </row>
    <row r="75" spans="1:22" hidden="1">
      <c r="A75" s="30"/>
      <c r="B75" s="48"/>
      <c r="C75" s="38"/>
      <c r="D75"/>
      <c r="E75"/>
      <c r="F75" s="20"/>
      <c r="G75" s="20"/>
      <c r="H75" s="20"/>
      <c r="I75" s="20"/>
      <c r="J75" s="20"/>
      <c r="K75" s="20"/>
      <c r="L75" s="20"/>
      <c r="M75" s="20"/>
      <c r="N75" s="20"/>
      <c r="O75" s="20"/>
      <c r="P75" s="20"/>
      <c r="Q75" s="20"/>
      <c r="R75"/>
      <c r="S75"/>
      <c r="T75"/>
      <c r="U75"/>
      <c r="V75"/>
    </row>
    <row r="76" spans="1:22" hidden="1">
      <c r="A76" s="30"/>
      <c r="B76" s="48"/>
      <c r="C76"/>
      <c r="D76"/>
      <c r="E76"/>
      <c r="F76" s="27"/>
      <c r="G76" s="27"/>
      <c r="H76" s="27"/>
      <c r="I76" s="27"/>
      <c r="J76" s="27"/>
      <c r="K76" s="27"/>
      <c r="L76" s="27"/>
      <c r="M76" s="27"/>
      <c r="N76" s="27"/>
      <c r="O76" s="27"/>
      <c r="P76" s="27"/>
      <c r="Q76" s="27"/>
      <c r="R76"/>
      <c r="S76"/>
      <c r="T76"/>
      <c r="U76"/>
      <c r="V76"/>
    </row>
    <row r="77" spans="1:22" hidden="1">
      <c r="A77" s="30"/>
      <c r="B77" s="48"/>
      <c r="C77"/>
      <c r="D77"/>
      <c r="E77"/>
      <c r="F77" s="27"/>
      <c r="G77" s="27"/>
      <c r="H77" s="27"/>
      <c r="I77" s="27"/>
      <c r="J77" s="27"/>
      <c r="K77" s="27"/>
      <c r="L77" s="27"/>
      <c r="M77" s="27"/>
      <c r="N77" s="27"/>
      <c r="O77" s="27"/>
      <c r="P77" s="27"/>
      <c r="Q77" s="27"/>
      <c r="R77"/>
      <c r="S77"/>
      <c r="T77"/>
      <c r="U77"/>
      <c r="V77"/>
    </row>
    <row r="78" spans="1:22" hidden="1">
      <c r="A78" s="30"/>
      <c r="B78" s="48"/>
      <c r="C78"/>
      <c r="D78"/>
      <c r="E78"/>
      <c r="F78"/>
      <c r="G78"/>
      <c r="H78"/>
      <c r="I78"/>
      <c r="J78"/>
      <c r="K78"/>
      <c r="L78"/>
      <c r="M78"/>
      <c r="N78"/>
      <c r="O78"/>
      <c r="P78"/>
      <c r="Q78"/>
      <c r="R78"/>
      <c r="S78"/>
      <c r="T78"/>
      <c r="U78"/>
      <c r="V78"/>
    </row>
    <row r="79" spans="1:22" hidden="1">
      <c r="A79" s="30"/>
      <c r="B79" s="48"/>
      <c r="C79" s="38"/>
      <c r="D79"/>
      <c r="E79"/>
      <c r="F79" s="56"/>
      <c r="G79" s="27"/>
      <c r="H79" s="27"/>
      <c r="I79" s="27"/>
      <c r="J79" s="27"/>
      <c r="K79" s="27"/>
      <c r="L79" s="27"/>
      <c r="M79" s="27"/>
      <c r="N79" s="27"/>
      <c r="O79" s="27"/>
      <c r="P79" s="27"/>
      <c r="Q79" s="27"/>
      <c r="R79"/>
      <c r="S79"/>
      <c r="T79"/>
      <c r="U79"/>
      <c r="V79"/>
    </row>
    <row r="80" spans="1:22" hidden="1">
      <c r="A80" s="30"/>
      <c r="B80" s="48"/>
      <c r="C80"/>
      <c r="D80"/>
      <c r="E80"/>
      <c r="F80"/>
      <c r="G80"/>
      <c r="H80"/>
      <c r="I80"/>
      <c r="J80"/>
      <c r="K80"/>
      <c r="L80"/>
      <c r="M80"/>
      <c r="N80"/>
      <c r="O80"/>
      <c r="P80"/>
      <c r="Q80"/>
      <c r="R80"/>
      <c r="S80"/>
      <c r="T80"/>
      <c r="U80"/>
      <c r="V80"/>
    </row>
    <row r="81" spans="1:22" hidden="1">
      <c r="A81" s="30"/>
      <c r="B81" s="48"/>
      <c r="C81"/>
      <c r="D81"/>
      <c r="E81"/>
      <c r="F81"/>
      <c r="G81" s="27"/>
      <c r="H81" s="49"/>
      <c r="I81" s="49"/>
      <c r="J81"/>
      <c r="K81"/>
      <c r="L81"/>
      <c r="M81"/>
      <c r="N81"/>
      <c r="O81"/>
      <c r="P81"/>
      <c r="Q81"/>
      <c r="R81"/>
      <c r="S81"/>
      <c r="T81"/>
      <c r="U81"/>
      <c r="V81"/>
    </row>
    <row r="82" spans="1:22" hidden="1">
      <c r="A82" s="30"/>
      <c r="B82" s="48"/>
      <c r="C82"/>
      <c r="D82"/>
      <c r="E82"/>
      <c r="F82" s="57"/>
      <c r="G82" s="58"/>
      <c r="H82" s="58"/>
      <c r="I82" s="58"/>
      <c r="J82" s="58"/>
      <c r="K82" s="58"/>
      <c r="L82" s="58"/>
      <c r="M82" s="58"/>
      <c r="N82" s="58"/>
      <c r="O82" s="58"/>
      <c r="P82" s="58"/>
      <c r="Q82" s="58"/>
      <c r="R82"/>
      <c r="S82"/>
      <c r="T82"/>
      <c r="U82"/>
      <c r="V82"/>
    </row>
    <row r="83" spans="1:22" hidden="1">
      <c r="A83" s="30"/>
      <c r="B83" s="48"/>
      <c r="C83"/>
      <c r="D83"/>
      <c r="E83"/>
      <c r="F83" s="57"/>
      <c r="G83" s="58"/>
      <c r="H83" s="58"/>
      <c r="I83" s="58"/>
      <c r="J83" s="58"/>
      <c r="K83" s="58"/>
      <c r="L83" s="58"/>
      <c r="M83" s="58"/>
      <c r="N83" s="58"/>
      <c r="O83" s="58"/>
      <c r="P83" s="58"/>
      <c r="Q83" s="58"/>
      <c r="R83"/>
      <c r="S83"/>
      <c r="T83"/>
      <c r="U83"/>
      <c r="V83"/>
    </row>
    <row r="84" spans="1:22" hidden="1">
      <c r="A84" s="30"/>
      <c r="B84" s="48"/>
      <c r="C84"/>
      <c r="D84"/>
      <c r="E84"/>
      <c r="F84" s="57"/>
      <c r="G84" s="58"/>
      <c r="H84" s="58"/>
      <c r="I84" s="58"/>
      <c r="J84" s="58"/>
      <c r="K84" s="58"/>
      <c r="L84" s="58"/>
      <c r="M84" s="58"/>
      <c r="N84" s="58"/>
      <c r="O84" s="58"/>
      <c r="P84" s="58"/>
      <c r="Q84" s="58"/>
      <c r="R84"/>
      <c r="S84"/>
      <c r="T84"/>
      <c r="U84"/>
      <c r="V84"/>
    </row>
    <row r="85" spans="1:22" hidden="1">
      <c r="A85" s="30"/>
      <c r="B85" s="48"/>
      <c r="C85"/>
      <c r="D85"/>
      <c r="E85"/>
      <c r="F85" s="57"/>
      <c r="G85" s="58"/>
      <c r="H85" s="58"/>
      <c r="I85" s="58"/>
      <c r="J85" s="58"/>
      <c r="K85" s="58"/>
      <c r="L85" s="58"/>
      <c r="M85" s="58"/>
      <c r="N85" s="58"/>
      <c r="O85" s="58"/>
      <c r="P85" s="58"/>
      <c r="Q85" s="58"/>
      <c r="R85"/>
      <c r="S85"/>
      <c r="T85"/>
      <c r="U85"/>
      <c r="V85"/>
    </row>
    <row r="86" spans="1:22" hidden="1">
      <c r="A86" s="30"/>
      <c r="B86" s="48"/>
      <c r="C86"/>
      <c r="D86"/>
      <c r="E86"/>
      <c r="F86" s="57"/>
      <c r="G86" s="58"/>
      <c r="H86" s="58"/>
      <c r="I86" s="58"/>
      <c r="J86" s="58"/>
      <c r="K86" s="58"/>
      <c r="L86" s="58"/>
      <c r="M86" s="58"/>
      <c r="N86" s="58"/>
      <c r="O86" s="58"/>
      <c r="P86" s="58"/>
      <c r="Q86" s="58"/>
      <c r="R86"/>
      <c r="S86"/>
      <c r="T86"/>
      <c r="U86"/>
      <c r="V86"/>
    </row>
    <row r="87" spans="1:22" hidden="1">
      <c r="A87" s="30"/>
      <c r="B87" s="48"/>
      <c r="C87"/>
      <c r="D87"/>
      <c r="E87"/>
      <c r="F87" s="57"/>
      <c r="G87" s="57"/>
      <c r="H87" s="57"/>
      <c r="I87" s="57"/>
      <c r="J87" s="57"/>
      <c r="K87" s="57"/>
      <c r="L87" s="57"/>
      <c r="M87" s="57"/>
      <c r="N87" s="57"/>
      <c r="O87" s="57"/>
      <c r="P87" s="57"/>
      <c r="Q87" s="57"/>
      <c r="R87"/>
      <c r="S87"/>
      <c r="T87"/>
      <c r="U87"/>
      <c r="V87"/>
    </row>
    <row r="88" spans="1:22" hidden="1">
      <c r="A88" s="30"/>
      <c r="B88" s="48"/>
      <c r="C88"/>
      <c r="D88"/>
      <c r="E88"/>
      <c r="F88" s="57"/>
      <c r="G88" s="57"/>
      <c r="H88" s="57"/>
      <c r="I88" s="57"/>
      <c r="J88" s="57"/>
      <c r="K88" s="57"/>
      <c r="L88" s="57"/>
      <c r="M88" s="57"/>
      <c r="N88" s="57"/>
      <c r="O88" s="57"/>
      <c r="P88" s="57"/>
      <c r="Q88" s="57"/>
      <c r="R88"/>
      <c r="S88"/>
      <c r="T88"/>
      <c r="U88"/>
      <c r="V88"/>
    </row>
    <row r="89" spans="1:22" hidden="1">
      <c r="A89" s="30"/>
      <c r="B89" s="48"/>
      <c r="C89"/>
      <c r="D89"/>
      <c r="E89"/>
      <c r="F89" s="27"/>
      <c r="G89" s="20"/>
      <c r="H89" s="20"/>
      <c r="I89" s="20"/>
      <c r="J89" s="20"/>
      <c r="K89" s="20"/>
      <c r="L89" s="20"/>
      <c r="M89" s="20"/>
      <c r="N89" s="20"/>
      <c r="O89" s="20"/>
      <c r="P89" s="20"/>
      <c r="Q89" s="20"/>
      <c r="R89"/>
      <c r="S89"/>
      <c r="T89"/>
      <c r="U89"/>
      <c r="V89"/>
    </row>
    <row r="90" spans="1:22" hidden="1">
      <c r="A90" s="30"/>
      <c r="B90" s="48"/>
      <c r="C90"/>
      <c r="D90"/>
      <c r="E90"/>
      <c r="F90" s="26"/>
      <c r="G90" s="26"/>
      <c r="H90" s="26"/>
      <c r="I90" s="26"/>
      <c r="J90" s="26"/>
      <c r="K90" s="26"/>
      <c r="L90" s="26"/>
      <c r="M90" s="26"/>
      <c r="N90" s="26"/>
      <c r="O90" s="26"/>
      <c r="P90" s="26"/>
      <c r="Q90" s="26"/>
      <c r="R90"/>
      <c r="S90"/>
      <c r="T90"/>
      <c r="U90"/>
      <c r="V90"/>
    </row>
    <row r="91" spans="1:22" hidden="1">
      <c r="A91" s="30"/>
      <c r="B91" s="48"/>
      <c r="C91" s="38"/>
      <c r="D91"/>
      <c r="E91"/>
      <c r="F91" s="27"/>
      <c r="G91" s="27"/>
      <c r="H91" s="27"/>
      <c r="I91" s="27"/>
      <c r="J91" s="27"/>
      <c r="K91" s="27"/>
      <c r="L91" s="27"/>
      <c r="M91" s="27"/>
      <c r="N91" s="27"/>
      <c r="O91" s="27"/>
      <c r="P91" s="27"/>
      <c r="Q91" s="27"/>
      <c r="R91"/>
      <c r="S91"/>
      <c r="T91"/>
      <c r="U91"/>
      <c r="V91"/>
    </row>
    <row r="92" spans="1:22" hidden="1">
      <c r="A92" s="30"/>
      <c r="B92"/>
      <c r="C92" s="38"/>
      <c r="D92"/>
      <c r="E92"/>
      <c r="F92" s="27"/>
      <c r="G92" s="27"/>
      <c r="H92" s="27"/>
      <c r="I92" s="27"/>
      <c r="J92" s="27"/>
      <c r="K92" s="27"/>
      <c r="L92" s="27"/>
      <c r="M92" s="27"/>
      <c r="N92" s="27"/>
      <c r="O92" s="27"/>
      <c r="P92" s="27"/>
      <c r="Q92" s="27"/>
      <c r="R92"/>
      <c r="S92"/>
      <c r="T92"/>
      <c r="U92"/>
      <c r="V92"/>
    </row>
    <row r="93" spans="1:22" hidden="1">
      <c r="A93" s="30"/>
      <c r="B93" s="38"/>
      <c r="C93"/>
      <c r="D93"/>
      <c r="E93"/>
      <c r="F93" s="56"/>
      <c r="G93" s="27"/>
      <c r="H93" s="27"/>
      <c r="I93" s="27"/>
      <c r="J93" s="27"/>
      <c r="K93" s="27"/>
      <c r="L93" s="27"/>
      <c r="M93" s="27"/>
      <c r="N93" s="27"/>
      <c r="O93" s="27"/>
      <c r="P93" s="27"/>
      <c r="Q93" s="27"/>
      <c r="R93"/>
      <c r="S93"/>
      <c r="T93"/>
      <c r="U93"/>
      <c r="V93"/>
    </row>
    <row r="94" spans="1:22" hidden="1">
      <c r="B94"/>
      <c r="C94"/>
      <c r="D94"/>
      <c r="E94"/>
      <c r="F94"/>
      <c r="G94"/>
      <c r="H94"/>
      <c r="I94"/>
      <c r="J94"/>
      <c r="K94"/>
      <c r="L94"/>
      <c r="M94"/>
      <c r="N94"/>
      <c r="O94"/>
      <c r="P94"/>
      <c r="Q94"/>
      <c r="R94"/>
      <c r="S94"/>
      <c r="T94"/>
      <c r="U94"/>
      <c r="V94"/>
    </row>
    <row r="95" spans="1:22" hidden="1">
      <c r="B95"/>
      <c r="C95"/>
      <c r="D95"/>
      <c r="E95"/>
      <c r="F95" s="20"/>
      <c r="G95" s="20"/>
      <c r="H95" s="20"/>
      <c r="I95" s="20"/>
      <c r="J95" s="20"/>
      <c r="K95" s="20"/>
      <c r="L95" s="20"/>
      <c r="M95" s="20"/>
      <c r="N95" s="20"/>
      <c r="O95" s="20"/>
      <c r="P95" s="20"/>
      <c r="Q95" s="20"/>
      <c r="R95"/>
      <c r="S95"/>
      <c r="T95"/>
      <c r="U95"/>
      <c r="V95"/>
    </row>
    <row r="96" spans="1:22" hidden="1">
      <c r="B96" s="51"/>
      <c r="C96"/>
      <c r="D96"/>
      <c r="E96"/>
      <c r="F96" s="56"/>
      <c r="G96" s="20"/>
      <c r="H96" s="20"/>
      <c r="I96" s="20"/>
      <c r="J96" s="20"/>
      <c r="K96" s="20"/>
      <c r="L96" s="20"/>
      <c r="M96" s="20"/>
      <c r="N96" s="20"/>
      <c r="O96" s="20"/>
      <c r="P96" s="20"/>
      <c r="Q96" s="20"/>
      <c r="R96"/>
      <c r="S96"/>
      <c r="T96"/>
      <c r="U96"/>
      <c r="V96"/>
    </row>
    <row r="97" spans="1:22" hidden="1">
      <c r="B97" s="38"/>
      <c r="C97"/>
      <c r="D97"/>
      <c r="E97"/>
      <c r="F97" s="20"/>
      <c r="G97" s="20"/>
      <c r="H97" s="20"/>
      <c r="I97" s="20"/>
      <c r="J97" s="20"/>
      <c r="K97" s="20"/>
      <c r="L97" s="20"/>
      <c r="M97" s="20"/>
      <c r="N97" s="20"/>
      <c r="O97" s="20"/>
      <c r="P97" s="20"/>
      <c r="Q97" s="20"/>
      <c r="R97"/>
      <c r="S97"/>
      <c r="T97"/>
      <c r="U97"/>
      <c r="V97"/>
    </row>
    <row r="98" spans="1:22" hidden="1">
      <c r="B98"/>
      <c r="C98"/>
      <c r="D98"/>
      <c r="E98"/>
      <c r="F98" s="26"/>
      <c r="G98" s="26"/>
      <c r="H98" s="26"/>
      <c r="I98" s="26"/>
      <c r="J98" s="26"/>
      <c r="K98" s="26"/>
      <c r="L98" s="26"/>
      <c r="M98" s="26"/>
      <c r="N98" s="26"/>
      <c r="O98" s="26"/>
      <c r="P98" s="26"/>
      <c r="Q98" s="26"/>
      <c r="R98"/>
      <c r="S98"/>
      <c r="T98"/>
      <c r="U98"/>
      <c r="V98"/>
    </row>
    <row r="99" spans="1:22" hidden="1">
      <c r="B99" s="38"/>
      <c r="C99"/>
      <c r="D99"/>
      <c r="E99"/>
      <c r="F99" s="26"/>
      <c r="G99" s="26"/>
      <c r="H99" s="26"/>
      <c r="I99" s="26"/>
      <c r="J99" s="26"/>
      <c r="K99" s="26"/>
      <c r="L99" s="26"/>
      <c r="M99" s="26"/>
      <c r="N99" s="26"/>
      <c r="O99" s="26"/>
      <c r="P99" s="26"/>
      <c r="Q99" s="26"/>
      <c r="R99"/>
      <c r="S99"/>
      <c r="T99"/>
      <c r="U99"/>
      <c r="V99"/>
    </row>
    <row r="100" spans="1:22" hidden="1">
      <c r="B100" s="38"/>
      <c r="C100"/>
      <c r="D100"/>
      <c r="E100"/>
      <c r="F100" s="26"/>
      <c r="G100" s="26"/>
      <c r="H100" s="26"/>
      <c r="I100" s="26"/>
      <c r="J100" s="26"/>
      <c r="K100" s="26"/>
      <c r="L100" s="26"/>
      <c r="M100" s="26"/>
      <c r="N100" s="26"/>
      <c r="O100" s="26"/>
      <c r="P100" s="26"/>
      <c r="Q100" s="26"/>
      <c r="R100"/>
      <c r="S100"/>
      <c r="T100"/>
      <c r="U100"/>
      <c r="V100"/>
    </row>
    <row r="101" spans="1:22" hidden="1">
      <c r="B101" s="38"/>
      <c r="C101"/>
      <c r="D101"/>
      <c r="E101"/>
      <c r="F101" s="26"/>
      <c r="G101" s="26"/>
      <c r="H101" s="26"/>
      <c r="I101" s="26"/>
      <c r="J101" s="26"/>
      <c r="K101" s="26"/>
      <c r="L101" s="26"/>
      <c r="M101" s="26"/>
      <c r="N101" s="26"/>
      <c r="O101" s="26"/>
      <c r="P101" s="26"/>
      <c r="Q101" s="26"/>
      <c r="R101"/>
      <c r="S101"/>
      <c r="T101"/>
      <c r="U101"/>
      <c r="V101"/>
    </row>
    <row r="102" spans="1:22" hidden="1">
      <c r="B102" s="51"/>
      <c r="C102"/>
      <c r="D102"/>
      <c r="E102"/>
      <c r="F102" s="26"/>
      <c r="G102" s="26"/>
      <c r="H102" s="26"/>
      <c r="I102" s="26"/>
      <c r="J102" s="26"/>
      <c r="K102" s="26"/>
      <c r="L102" s="26"/>
      <c r="M102" s="26"/>
      <c r="N102" s="26"/>
      <c r="O102" s="26"/>
      <c r="P102" s="26"/>
      <c r="Q102" s="26"/>
      <c r="R102"/>
      <c r="S102"/>
      <c r="T102"/>
      <c r="U102"/>
      <c r="V102"/>
    </row>
    <row r="103" spans="1:22" hidden="1">
      <c r="B103" s="38"/>
      <c r="C103"/>
      <c r="D103"/>
      <c r="E103"/>
      <c r="F103" s="20"/>
      <c r="G103" s="20"/>
      <c r="H103" s="20"/>
      <c r="I103" s="20"/>
      <c r="J103" s="20"/>
      <c r="K103" s="20"/>
      <c r="L103" s="20"/>
      <c r="M103" s="20"/>
      <c r="N103" s="20"/>
      <c r="O103" s="20"/>
      <c r="P103" s="20"/>
      <c r="Q103" s="20"/>
      <c r="R103"/>
      <c r="S103"/>
      <c r="T103"/>
      <c r="U103"/>
      <c r="V103"/>
    </row>
    <row r="104" spans="1:22" hidden="1">
      <c r="B104"/>
      <c r="C104"/>
      <c r="D104"/>
      <c r="E104"/>
      <c r="F104" s="27"/>
      <c r="G104" s="27"/>
      <c r="H104" s="27"/>
      <c r="I104" s="27"/>
      <c r="J104" s="27"/>
      <c r="K104" s="27"/>
      <c r="L104" s="27"/>
      <c r="M104" s="27"/>
      <c r="N104" s="27"/>
      <c r="O104" s="27"/>
      <c r="P104" s="27"/>
      <c r="Q104" s="27"/>
      <c r="R104"/>
      <c r="S104"/>
      <c r="T104"/>
      <c r="U104"/>
      <c r="V104"/>
    </row>
    <row r="105" spans="1:22" hidden="1">
      <c r="B105" s="51"/>
      <c r="C105"/>
      <c r="D105"/>
      <c r="E105"/>
      <c r="F105" s="27"/>
      <c r="G105" s="27"/>
      <c r="H105" s="27"/>
      <c r="I105" s="27"/>
      <c r="J105" s="27"/>
      <c r="K105" s="27"/>
      <c r="L105" s="27"/>
      <c r="M105" s="27"/>
      <c r="N105" s="27"/>
      <c r="O105" s="27"/>
      <c r="P105" s="27"/>
      <c r="Q105" s="27"/>
      <c r="R105"/>
      <c r="S105"/>
      <c r="T105"/>
      <c r="U105"/>
      <c r="V105"/>
    </row>
    <row r="106" spans="1:22" hidden="1">
      <c r="B106" s="51"/>
      <c r="C106"/>
      <c r="D106"/>
      <c r="E106"/>
      <c r="F106" s="26"/>
      <c r="G106" s="26"/>
      <c r="H106" s="26"/>
      <c r="I106" s="26"/>
      <c r="J106" s="26"/>
      <c r="K106" s="26"/>
      <c r="L106" s="26"/>
      <c r="M106" s="26"/>
      <c r="N106" s="26"/>
      <c r="O106" s="26"/>
      <c r="P106" s="26"/>
      <c r="Q106" s="26"/>
      <c r="R106"/>
      <c r="S106"/>
      <c r="T106"/>
      <c r="U106"/>
      <c r="V106"/>
    </row>
    <row r="107" spans="1:22" hidden="1">
      <c r="B107" s="51"/>
      <c r="C107"/>
      <c r="D107"/>
      <c r="E107"/>
      <c r="F107" s="27"/>
      <c r="G107" s="27"/>
      <c r="H107" s="27"/>
      <c r="I107" s="27"/>
      <c r="J107" s="27"/>
      <c r="K107" s="27"/>
      <c r="L107" s="27"/>
      <c r="M107" s="27"/>
      <c r="N107" s="27"/>
      <c r="O107" s="27"/>
      <c r="P107" s="27"/>
      <c r="Q107" s="27"/>
      <c r="R107"/>
      <c r="S107"/>
      <c r="T107"/>
      <c r="U107"/>
      <c r="V107"/>
    </row>
    <row r="108" spans="1:22" hidden="1">
      <c r="B108" s="51"/>
      <c r="C108"/>
      <c r="D108"/>
      <c r="E108"/>
      <c r="F108" s="58"/>
      <c r="G108" s="58"/>
      <c r="H108" s="58"/>
      <c r="I108" s="58"/>
      <c r="J108" s="58"/>
      <c r="K108" s="58"/>
      <c r="L108" s="58"/>
      <c r="M108" s="58"/>
      <c r="N108" s="58"/>
      <c r="O108" s="58"/>
      <c r="P108" s="58"/>
      <c r="Q108" s="58"/>
      <c r="R108" s="58"/>
      <c r="S108" s="58"/>
      <c r="T108"/>
      <c r="U108"/>
      <c r="V108"/>
    </row>
    <row r="109" spans="1:22" hidden="1">
      <c r="B109" s="51"/>
      <c r="C109"/>
      <c r="D109"/>
      <c r="E109"/>
      <c r="F109" s="59"/>
      <c r="G109" s="59"/>
      <c r="H109" s="59"/>
      <c r="I109" s="59"/>
      <c r="J109" s="59"/>
      <c r="K109" s="59"/>
      <c r="L109" s="59"/>
      <c r="M109" s="59"/>
      <c r="N109" s="59"/>
      <c r="O109" s="59"/>
      <c r="P109" s="59"/>
      <c r="Q109" s="59"/>
      <c r="R109" s="24"/>
      <c r="S109" s="24"/>
      <c r="T109"/>
      <c r="U109"/>
      <c r="V109"/>
    </row>
    <row r="110" spans="1:22" hidden="1">
      <c r="B110" s="51"/>
      <c r="C110"/>
      <c r="D110"/>
      <c r="E110"/>
      <c r="F110" s="59"/>
      <c r="G110" s="59"/>
      <c r="H110" s="59"/>
      <c r="I110" s="59"/>
      <c r="J110" s="59"/>
      <c r="K110" s="59"/>
      <c r="L110" s="59"/>
      <c r="M110" s="59"/>
      <c r="N110" s="59"/>
      <c r="O110" s="59"/>
      <c r="P110" s="59"/>
      <c r="Q110" s="59"/>
      <c r="R110" s="24"/>
      <c r="S110" s="24"/>
      <c r="T110"/>
      <c r="U110"/>
      <c r="V110"/>
    </row>
    <row r="111" spans="1:22" hidden="1">
      <c r="B111" s="60"/>
      <c r="F111" s="44"/>
      <c r="G111" s="44"/>
      <c r="H111" s="44"/>
      <c r="I111" s="44"/>
      <c r="J111" s="44"/>
      <c r="K111" s="44"/>
      <c r="L111" s="44"/>
      <c r="M111" s="44"/>
      <c r="N111" s="44"/>
      <c r="O111" s="44"/>
      <c r="P111" s="44"/>
      <c r="Q111" s="44"/>
      <c r="R111" s="61"/>
      <c r="S111" s="61"/>
    </row>
    <row r="112" spans="1:22" ht="46.5" hidden="1" customHeight="1">
      <c r="A112" s="266"/>
      <c r="B112" s="266"/>
      <c r="C112" s="266"/>
      <c r="D112" s="266"/>
      <c r="E112" s="266"/>
      <c r="F112" s="266"/>
      <c r="G112" s="266"/>
      <c r="H112" s="266"/>
      <c r="I112" s="266"/>
      <c r="J112" s="266"/>
      <c r="K112" s="266"/>
      <c r="L112" s="266"/>
      <c r="M112" s="266"/>
      <c r="N112" s="266"/>
      <c r="O112" s="266"/>
      <c r="P112" s="62"/>
      <c r="Q112" s="39"/>
    </row>
    <row r="114" spans="2:17" hidden="1">
      <c r="B114" s="46"/>
    </row>
    <row r="116" spans="2:17" hidden="1">
      <c r="C116" s="63"/>
      <c r="D116" s="63"/>
      <c r="E116" s="63"/>
      <c r="J116" s="41"/>
    </row>
    <row r="117" spans="2:17" hidden="1">
      <c r="C117" s="64"/>
      <c r="D117" s="65"/>
      <c r="E117" s="64"/>
      <c r="F117" s="39"/>
      <c r="G117" s="39"/>
      <c r="H117" s="39"/>
      <c r="I117" s="39"/>
      <c r="J117" s="39"/>
      <c r="K117" s="39"/>
      <c r="L117" s="39"/>
      <c r="M117" s="39"/>
      <c r="N117" s="39"/>
      <c r="O117" s="39"/>
      <c r="P117" s="39"/>
      <c r="Q117" s="39"/>
    </row>
    <row r="118" spans="2:17" hidden="1">
      <c r="C118" s="64"/>
      <c r="D118" s="65"/>
      <c r="E118" s="64"/>
      <c r="F118" s="39"/>
      <c r="G118" s="39"/>
      <c r="H118" s="39"/>
      <c r="I118" s="39"/>
      <c r="J118" s="39"/>
      <c r="K118" s="39"/>
      <c r="L118" s="39"/>
      <c r="M118" s="39"/>
      <c r="N118" s="39"/>
      <c r="O118" s="39"/>
      <c r="P118" s="39"/>
      <c r="Q118" s="39"/>
    </row>
    <row r="119" spans="2:17" hidden="1">
      <c r="C119" s="64"/>
      <c r="D119" s="65"/>
      <c r="E119" s="64"/>
      <c r="F119" s="39"/>
      <c r="G119" s="39"/>
      <c r="H119" s="39"/>
      <c r="I119" s="39"/>
      <c r="J119" s="39"/>
      <c r="K119" s="39"/>
      <c r="L119" s="39"/>
      <c r="M119" s="39"/>
      <c r="N119" s="39"/>
      <c r="O119" s="39"/>
      <c r="P119" s="39"/>
      <c r="Q119" s="39"/>
    </row>
    <row r="120" spans="2:17" hidden="1">
      <c r="C120" s="64"/>
      <c r="D120" s="65"/>
      <c r="E120" s="64"/>
      <c r="F120" s="39"/>
      <c r="G120" s="39"/>
      <c r="H120" s="39"/>
      <c r="I120" s="39"/>
      <c r="J120" s="39"/>
      <c r="K120" s="39"/>
      <c r="L120" s="39"/>
      <c r="M120" s="39"/>
      <c r="N120" s="39"/>
      <c r="O120" s="39"/>
      <c r="P120" s="39"/>
      <c r="Q120" s="39"/>
    </row>
    <row r="121" spans="2:17" hidden="1">
      <c r="C121" s="64"/>
      <c r="D121" s="65"/>
      <c r="E121" s="64"/>
      <c r="F121" s="39"/>
      <c r="G121" s="39"/>
      <c r="H121" s="39"/>
      <c r="I121" s="39"/>
      <c r="J121" s="39"/>
      <c r="K121" s="39"/>
      <c r="L121" s="39"/>
      <c r="M121" s="39"/>
      <c r="N121" s="39"/>
      <c r="O121" s="39"/>
      <c r="P121" s="39"/>
      <c r="Q121" s="39"/>
    </row>
    <row r="122" spans="2:17" hidden="1">
      <c r="C122" s="64"/>
      <c r="D122" s="65"/>
      <c r="E122" s="64"/>
      <c r="F122" s="39"/>
      <c r="G122" s="39"/>
      <c r="H122" s="39"/>
      <c r="I122" s="39"/>
      <c r="J122" s="39"/>
      <c r="K122" s="39"/>
      <c r="L122" s="39"/>
      <c r="M122" s="39"/>
      <c r="N122" s="39"/>
      <c r="O122" s="39"/>
      <c r="P122" s="39"/>
      <c r="Q122" s="39"/>
    </row>
    <row r="123" spans="2:17" hidden="1">
      <c r="C123" s="64"/>
      <c r="D123" s="65"/>
      <c r="E123" s="64"/>
      <c r="F123" s="39"/>
      <c r="G123" s="39"/>
      <c r="H123" s="39"/>
      <c r="I123" s="39"/>
      <c r="J123" s="39"/>
      <c r="K123" s="39"/>
      <c r="L123" s="39"/>
      <c r="M123" s="39"/>
      <c r="N123" s="39"/>
      <c r="O123" s="39"/>
      <c r="P123" s="39"/>
      <c r="Q123" s="39"/>
    </row>
    <row r="124" spans="2:17" hidden="1">
      <c r="C124" s="64"/>
      <c r="D124" s="65"/>
      <c r="E124" s="64"/>
      <c r="F124" s="39"/>
      <c r="G124" s="39"/>
      <c r="H124" s="39"/>
      <c r="I124" s="39"/>
      <c r="J124" s="39"/>
      <c r="K124" s="39"/>
      <c r="L124" s="39"/>
      <c r="M124" s="39"/>
      <c r="N124" s="39"/>
      <c r="O124" s="39"/>
      <c r="P124" s="39"/>
      <c r="Q124" s="39"/>
    </row>
    <row r="125" spans="2:17" hidden="1">
      <c r="C125" s="64"/>
      <c r="D125" s="65"/>
      <c r="E125" s="64"/>
      <c r="F125" s="39"/>
      <c r="G125" s="39"/>
      <c r="H125" s="39"/>
      <c r="I125" s="39"/>
      <c r="J125" s="39"/>
      <c r="K125" s="39"/>
      <c r="L125" s="39"/>
      <c r="M125" s="39"/>
      <c r="N125" s="39"/>
      <c r="O125" s="39"/>
      <c r="P125" s="39"/>
      <c r="Q125" s="39"/>
    </row>
    <row r="126" spans="2:17" hidden="1">
      <c r="C126" s="64"/>
      <c r="D126" s="65"/>
      <c r="E126" s="64"/>
      <c r="F126" s="39"/>
      <c r="G126" s="39"/>
      <c r="H126" s="39"/>
      <c r="I126" s="39"/>
      <c r="J126" s="39"/>
      <c r="K126" s="39"/>
      <c r="L126" s="39"/>
      <c r="M126" s="39"/>
      <c r="N126" s="39"/>
      <c r="O126" s="39"/>
      <c r="P126" s="39"/>
      <c r="Q126" s="39"/>
    </row>
    <row r="127" spans="2:17" hidden="1">
      <c r="C127" s="64"/>
      <c r="D127" s="65"/>
      <c r="E127" s="64"/>
      <c r="F127" s="39"/>
      <c r="G127" s="39"/>
      <c r="H127" s="39"/>
      <c r="I127" s="39"/>
      <c r="J127" s="39"/>
      <c r="K127" s="39"/>
      <c r="L127" s="39"/>
      <c r="M127" s="39"/>
      <c r="N127" s="39"/>
      <c r="O127" s="39"/>
      <c r="P127" s="39"/>
      <c r="Q127" s="39"/>
    </row>
    <row r="128" spans="2:17" hidden="1">
      <c r="C128" s="64"/>
      <c r="D128" s="65"/>
      <c r="E128" s="64"/>
      <c r="F128" s="39"/>
      <c r="G128" s="39"/>
      <c r="H128" s="39"/>
      <c r="I128" s="39"/>
      <c r="J128" s="39"/>
      <c r="K128" s="39"/>
      <c r="L128" s="39"/>
      <c r="M128" s="39"/>
      <c r="N128" s="39"/>
      <c r="O128" s="39"/>
      <c r="P128" s="39"/>
      <c r="Q128" s="39"/>
    </row>
    <row r="129" spans="3:17" hidden="1">
      <c r="C129" s="64"/>
      <c r="D129" s="65"/>
      <c r="E129" s="64"/>
      <c r="F129" s="39"/>
      <c r="G129" s="39"/>
      <c r="H129" s="39"/>
      <c r="I129" s="39"/>
      <c r="J129" s="39"/>
      <c r="K129" s="39"/>
      <c r="L129" s="39"/>
      <c r="M129" s="39"/>
      <c r="N129" s="39"/>
      <c r="O129" s="39"/>
      <c r="P129" s="39"/>
      <c r="Q129" s="39"/>
    </row>
    <row r="130" spans="3:17" hidden="1">
      <c r="C130" s="64"/>
      <c r="D130" s="65"/>
      <c r="E130" s="64"/>
      <c r="F130" s="39"/>
      <c r="G130" s="39"/>
      <c r="H130" s="39"/>
      <c r="I130" s="39"/>
      <c r="J130" s="39"/>
      <c r="K130" s="39"/>
      <c r="L130" s="39"/>
      <c r="M130" s="39"/>
      <c r="N130" s="39"/>
      <c r="O130" s="39"/>
      <c r="P130" s="39"/>
      <c r="Q130" s="39"/>
    </row>
    <row r="131" spans="3:17" hidden="1">
      <c r="C131" s="64"/>
      <c r="D131" s="65"/>
      <c r="E131" s="64"/>
      <c r="F131" s="39"/>
      <c r="G131" s="39"/>
      <c r="H131" s="39"/>
      <c r="I131" s="39"/>
      <c r="J131" s="39"/>
      <c r="K131" s="39"/>
      <c r="L131" s="39"/>
      <c r="M131" s="39"/>
      <c r="N131" s="39"/>
      <c r="O131" s="39"/>
      <c r="P131" s="39"/>
      <c r="Q131" s="39"/>
    </row>
    <row r="132" spans="3:17" hidden="1">
      <c r="C132" s="64"/>
      <c r="D132" s="65"/>
      <c r="E132" s="64"/>
      <c r="F132" s="39"/>
      <c r="G132" s="39"/>
      <c r="H132" s="39"/>
      <c r="I132" s="39"/>
      <c r="J132" s="39"/>
      <c r="K132" s="39"/>
      <c r="L132" s="39"/>
      <c r="M132" s="39"/>
      <c r="N132" s="39"/>
      <c r="O132" s="39"/>
      <c r="P132" s="39"/>
      <c r="Q132" s="39"/>
    </row>
    <row r="133" spans="3:17" hidden="1">
      <c r="C133" s="64"/>
      <c r="D133" s="65"/>
      <c r="E133" s="64"/>
      <c r="F133" s="39"/>
      <c r="G133" s="39"/>
      <c r="H133" s="39"/>
      <c r="I133" s="39"/>
      <c r="J133" s="39"/>
      <c r="K133" s="39"/>
      <c r="L133" s="39"/>
      <c r="M133" s="39"/>
      <c r="N133" s="39"/>
      <c r="O133" s="39"/>
      <c r="P133" s="39"/>
      <c r="Q133" s="39"/>
    </row>
    <row r="134" spans="3:17" hidden="1">
      <c r="C134" s="64"/>
      <c r="D134" s="65"/>
      <c r="E134" s="64"/>
      <c r="F134" s="39"/>
      <c r="G134" s="39"/>
      <c r="H134" s="39"/>
      <c r="I134" s="39"/>
      <c r="J134" s="39"/>
      <c r="K134" s="39"/>
      <c r="L134" s="39"/>
      <c r="M134" s="39"/>
      <c r="N134" s="39"/>
      <c r="O134" s="39"/>
      <c r="P134" s="39"/>
      <c r="Q134" s="39"/>
    </row>
    <row r="135" spans="3:17" hidden="1">
      <c r="C135" s="64"/>
      <c r="D135" s="65"/>
      <c r="E135" s="64"/>
      <c r="F135" s="39"/>
      <c r="G135" s="39"/>
      <c r="H135" s="39"/>
      <c r="I135" s="39"/>
      <c r="J135" s="39"/>
      <c r="K135" s="39"/>
      <c r="L135" s="39"/>
      <c r="M135" s="39"/>
      <c r="N135" s="39"/>
      <c r="O135" s="39"/>
      <c r="P135" s="39"/>
      <c r="Q135" s="39"/>
    </row>
    <row r="136" spans="3:17" hidden="1">
      <c r="C136" s="64"/>
      <c r="D136" s="65"/>
      <c r="E136" s="64"/>
      <c r="F136" s="39"/>
      <c r="G136" s="39"/>
      <c r="H136" s="39"/>
      <c r="I136" s="39"/>
      <c r="J136" s="39"/>
      <c r="K136" s="39"/>
      <c r="L136" s="39"/>
      <c r="M136" s="39"/>
      <c r="N136" s="39"/>
      <c r="O136" s="39"/>
      <c r="P136" s="39"/>
      <c r="Q136" s="39"/>
    </row>
    <row r="137" spans="3:17" hidden="1">
      <c r="C137" s="64"/>
      <c r="D137" s="65"/>
      <c r="E137" s="64"/>
      <c r="F137" s="39"/>
      <c r="G137" s="39"/>
      <c r="H137" s="39"/>
      <c r="I137" s="39"/>
      <c r="J137" s="39"/>
      <c r="K137" s="39"/>
      <c r="L137" s="39"/>
      <c r="M137" s="39"/>
      <c r="N137" s="39"/>
      <c r="O137" s="39"/>
      <c r="P137" s="39"/>
      <c r="Q137" s="39"/>
    </row>
    <row r="138" spans="3:17" hidden="1">
      <c r="C138" s="64"/>
      <c r="D138" s="65"/>
      <c r="E138" s="64"/>
      <c r="F138" s="39"/>
      <c r="G138" s="39"/>
      <c r="H138" s="39"/>
      <c r="I138" s="39"/>
      <c r="J138" s="39"/>
      <c r="K138" s="39"/>
      <c r="L138" s="39"/>
      <c r="M138" s="39"/>
      <c r="N138" s="39"/>
      <c r="O138" s="39"/>
      <c r="P138" s="39"/>
      <c r="Q138" s="39"/>
    </row>
    <row r="139" spans="3:17" hidden="1">
      <c r="C139" s="64"/>
      <c r="D139" s="65"/>
      <c r="E139" s="64"/>
      <c r="F139" s="39"/>
      <c r="G139" s="39"/>
      <c r="H139" s="39"/>
      <c r="I139" s="39"/>
      <c r="J139" s="39"/>
      <c r="K139" s="39"/>
      <c r="L139" s="39"/>
      <c r="M139" s="39"/>
      <c r="N139" s="39"/>
      <c r="O139" s="39"/>
      <c r="P139" s="39"/>
      <c r="Q139" s="39"/>
    </row>
    <row r="140" spans="3:17" hidden="1">
      <c r="C140" s="64"/>
      <c r="D140" s="65"/>
      <c r="E140" s="64"/>
      <c r="F140" s="39"/>
      <c r="G140" s="39"/>
      <c r="H140" s="39"/>
      <c r="I140" s="39"/>
      <c r="J140" s="39"/>
      <c r="K140" s="39"/>
      <c r="L140" s="39"/>
      <c r="M140" s="39"/>
      <c r="N140" s="39"/>
      <c r="O140" s="39"/>
      <c r="P140" s="39"/>
      <c r="Q140" s="39"/>
    </row>
    <row r="141" spans="3:17" hidden="1">
      <c r="C141" s="64"/>
      <c r="D141" s="65"/>
      <c r="E141" s="64"/>
      <c r="F141" s="39"/>
      <c r="G141" s="39"/>
      <c r="H141" s="39"/>
      <c r="I141" s="39"/>
      <c r="J141" s="39"/>
      <c r="K141" s="39"/>
      <c r="L141" s="39"/>
      <c r="M141" s="39"/>
      <c r="N141" s="39"/>
      <c r="O141" s="39"/>
      <c r="P141" s="39"/>
      <c r="Q141" s="39"/>
    </row>
    <row r="142" spans="3:17" hidden="1">
      <c r="C142" s="64"/>
      <c r="D142" s="65"/>
      <c r="E142" s="64"/>
      <c r="F142" s="39"/>
      <c r="G142" s="39"/>
      <c r="H142" s="39"/>
      <c r="I142" s="39"/>
      <c r="J142" s="39"/>
      <c r="K142" s="39"/>
      <c r="L142" s="39"/>
      <c r="M142" s="39"/>
      <c r="N142" s="39"/>
      <c r="O142" s="39"/>
      <c r="P142" s="39"/>
      <c r="Q142" s="39"/>
    </row>
    <row r="143" spans="3:17" hidden="1">
      <c r="C143" s="64"/>
      <c r="D143" s="65"/>
      <c r="E143" s="64"/>
      <c r="F143" s="39"/>
      <c r="G143" s="39"/>
      <c r="H143" s="39"/>
      <c r="I143" s="39"/>
      <c r="J143" s="39"/>
      <c r="K143" s="39"/>
      <c r="L143" s="39"/>
      <c r="M143" s="39"/>
      <c r="N143" s="39"/>
      <c r="O143" s="39"/>
      <c r="P143" s="39"/>
      <c r="Q143" s="39"/>
    </row>
    <row r="144" spans="3:17" hidden="1">
      <c r="C144" s="64"/>
      <c r="D144" s="65"/>
      <c r="E144" s="64"/>
      <c r="F144" s="39"/>
      <c r="G144" s="39"/>
      <c r="H144" s="39"/>
      <c r="I144" s="39"/>
      <c r="J144" s="39"/>
      <c r="K144" s="39"/>
      <c r="L144" s="39"/>
      <c r="M144" s="39"/>
      <c r="N144" s="39"/>
      <c r="O144" s="39"/>
      <c r="P144" s="39"/>
      <c r="Q144" s="39"/>
    </row>
    <row r="145" spans="3:17" hidden="1">
      <c r="C145" s="64"/>
      <c r="D145" s="65"/>
      <c r="E145" s="64"/>
      <c r="F145" s="39"/>
      <c r="G145" s="39"/>
      <c r="H145" s="39"/>
      <c r="I145" s="39"/>
      <c r="J145" s="39"/>
      <c r="K145" s="39"/>
      <c r="L145" s="39"/>
      <c r="M145" s="39"/>
      <c r="N145" s="39"/>
      <c r="O145" s="39"/>
      <c r="P145" s="39"/>
      <c r="Q145" s="39"/>
    </row>
    <row r="146" spans="3:17" hidden="1">
      <c r="C146" s="64"/>
      <c r="D146" s="65"/>
      <c r="E146" s="64"/>
      <c r="F146" s="39"/>
      <c r="G146" s="39"/>
      <c r="H146" s="39"/>
      <c r="I146" s="39"/>
      <c r="J146" s="39"/>
      <c r="K146" s="39"/>
      <c r="L146" s="39"/>
      <c r="M146" s="39"/>
      <c r="N146" s="39"/>
      <c r="O146" s="39"/>
      <c r="P146" s="39"/>
      <c r="Q146" s="39"/>
    </row>
    <row r="147" spans="3:17" hidden="1">
      <c r="C147" s="64"/>
      <c r="D147" s="65"/>
      <c r="E147" s="64"/>
      <c r="F147" s="39"/>
      <c r="G147" s="39"/>
      <c r="H147" s="39"/>
      <c r="I147" s="39"/>
      <c r="J147" s="39"/>
      <c r="K147" s="39"/>
      <c r="L147" s="39"/>
      <c r="M147" s="39"/>
      <c r="N147" s="39"/>
      <c r="O147" s="39"/>
      <c r="P147" s="39"/>
      <c r="Q147" s="39"/>
    </row>
    <row r="148" spans="3:17" hidden="1">
      <c r="C148" s="64"/>
      <c r="D148" s="65"/>
      <c r="E148" s="64"/>
      <c r="F148" s="39"/>
      <c r="G148" s="39"/>
      <c r="H148" s="39"/>
      <c r="I148" s="39"/>
      <c r="J148" s="39"/>
      <c r="K148" s="39"/>
      <c r="L148" s="39"/>
      <c r="M148" s="39"/>
      <c r="N148" s="39"/>
      <c r="O148" s="39"/>
      <c r="P148" s="39"/>
      <c r="Q148" s="39"/>
    </row>
    <row r="149" spans="3:17" hidden="1">
      <c r="C149" s="64"/>
      <c r="D149" s="65"/>
      <c r="E149" s="64"/>
      <c r="F149" s="39"/>
      <c r="G149" s="39"/>
      <c r="H149" s="39"/>
      <c r="I149" s="39"/>
      <c r="J149" s="39"/>
      <c r="K149" s="39"/>
      <c r="L149" s="39"/>
      <c r="M149" s="39"/>
      <c r="N149" s="39"/>
      <c r="O149" s="39"/>
      <c r="P149" s="39"/>
      <c r="Q149" s="39"/>
    </row>
    <row r="150" spans="3:17" hidden="1">
      <c r="C150" s="64"/>
      <c r="D150" s="65"/>
      <c r="E150" s="64"/>
      <c r="F150" s="39"/>
      <c r="G150" s="39"/>
      <c r="H150" s="39"/>
      <c r="I150" s="39"/>
      <c r="J150" s="39"/>
      <c r="K150" s="39"/>
      <c r="L150" s="39"/>
      <c r="M150" s="39"/>
      <c r="N150" s="39"/>
      <c r="O150" s="39"/>
      <c r="P150" s="39"/>
      <c r="Q150" s="39"/>
    </row>
    <row r="151" spans="3:17" hidden="1">
      <c r="C151" s="64"/>
      <c r="D151" s="65"/>
      <c r="E151" s="64"/>
      <c r="F151" s="39"/>
      <c r="G151" s="39"/>
      <c r="H151" s="39"/>
      <c r="I151" s="39"/>
      <c r="J151" s="39"/>
      <c r="K151" s="39"/>
      <c r="L151" s="39"/>
      <c r="M151" s="39"/>
      <c r="N151" s="39"/>
      <c r="O151" s="39"/>
      <c r="P151" s="39"/>
      <c r="Q151" s="39"/>
    </row>
    <row r="152" spans="3:17" hidden="1">
      <c r="C152" s="64"/>
      <c r="D152" s="65"/>
      <c r="E152" s="64"/>
      <c r="F152" s="39"/>
      <c r="G152" s="39"/>
      <c r="H152" s="39"/>
      <c r="I152" s="39"/>
      <c r="J152" s="39"/>
      <c r="K152" s="39"/>
      <c r="L152" s="39"/>
      <c r="M152" s="39"/>
      <c r="N152" s="39"/>
      <c r="O152" s="39"/>
      <c r="P152" s="39"/>
      <c r="Q152" s="39"/>
    </row>
    <row r="153" spans="3:17" hidden="1">
      <c r="C153" s="64"/>
      <c r="D153" s="65"/>
      <c r="E153" s="64"/>
      <c r="F153" s="39"/>
      <c r="G153" s="39"/>
      <c r="H153" s="39"/>
      <c r="I153" s="39"/>
      <c r="J153" s="39"/>
      <c r="K153" s="39"/>
      <c r="L153" s="39"/>
      <c r="M153" s="39"/>
      <c r="N153" s="39"/>
      <c r="O153" s="39"/>
      <c r="P153" s="39"/>
      <c r="Q153" s="39"/>
    </row>
    <row r="154" spans="3:17" hidden="1">
      <c r="C154" s="64"/>
      <c r="D154" s="65"/>
      <c r="E154" s="64"/>
      <c r="F154" s="39"/>
      <c r="G154" s="39"/>
      <c r="H154" s="39"/>
      <c r="I154" s="39"/>
      <c r="J154" s="39"/>
      <c r="K154" s="39"/>
      <c r="L154" s="39"/>
      <c r="M154" s="39"/>
      <c r="N154" s="39"/>
      <c r="O154" s="39"/>
      <c r="P154" s="39"/>
      <c r="Q154" s="39"/>
    </row>
    <row r="155" spans="3:17" hidden="1">
      <c r="C155" s="64"/>
      <c r="D155" s="65"/>
      <c r="E155" s="64"/>
      <c r="F155" s="39"/>
      <c r="G155" s="39"/>
      <c r="H155" s="39"/>
      <c r="I155" s="39"/>
      <c r="J155" s="39"/>
      <c r="K155" s="39"/>
      <c r="L155" s="39"/>
      <c r="M155" s="39"/>
      <c r="N155" s="39"/>
      <c r="O155" s="39"/>
      <c r="P155" s="39"/>
      <c r="Q155" s="39"/>
    </row>
    <row r="156" spans="3:17" hidden="1">
      <c r="C156" s="64"/>
      <c r="D156" s="65"/>
      <c r="E156" s="64"/>
      <c r="F156" s="39"/>
      <c r="G156" s="39"/>
      <c r="H156" s="39"/>
      <c r="I156" s="39"/>
      <c r="J156" s="39"/>
      <c r="K156" s="39"/>
      <c r="L156" s="39"/>
      <c r="M156" s="39"/>
      <c r="N156" s="39"/>
      <c r="O156" s="39"/>
      <c r="P156" s="39"/>
      <c r="Q156" s="39"/>
    </row>
    <row r="157" spans="3:17" hidden="1">
      <c r="C157" s="64"/>
      <c r="D157" s="65"/>
      <c r="E157" s="64"/>
      <c r="F157" s="39"/>
      <c r="G157" s="39"/>
      <c r="H157" s="39"/>
      <c r="I157" s="39"/>
      <c r="J157" s="39"/>
      <c r="K157" s="39"/>
      <c r="L157" s="39"/>
      <c r="M157" s="39"/>
      <c r="N157" s="39"/>
      <c r="O157" s="39"/>
      <c r="P157" s="39"/>
      <c r="Q157" s="39"/>
    </row>
    <row r="158" spans="3:17" hidden="1">
      <c r="C158" s="64"/>
      <c r="D158" s="65"/>
      <c r="E158" s="64"/>
      <c r="F158" s="39"/>
      <c r="G158" s="39"/>
      <c r="H158" s="39"/>
      <c r="I158" s="39"/>
      <c r="J158" s="39"/>
      <c r="K158" s="39"/>
      <c r="L158" s="39"/>
      <c r="M158" s="39"/>
      <c r="N158" s="39"/>
      <c r="O158" s="39"/>
      <c r="P158" s="39"/>
      <c r="Q158" s="39"/>
    </row>
    <row r="159" spans="3:17" hidden="1">
      <c r="C159" s="64"/>
      <c r="D159" s="65"/>
      <c r="E159" s="64"/>
      <c r="F159" s="39"/>
      <c r="G159" s="39"/>
      <c r="H159" s="39"/>
      <c r="I159" s="39"/>
      <c r="J159" s="39"/>
      <c r="K159" s="39"/>
      <c r="L159" s="39"/>
      <c r="M159" s="39"/>
      <c r="N159" s="39"/>
      <c r="O159" s="39"/>
      <c r="P159" s="39"/>
      <c r="Q159" s="39"/>
    </row>
    <row r="160" spans="3:17" hidden="1">
      <c r="C160" s="64"/>
      <c r="D160" s="65"/>
      <c r="E160" s="64"/>
      <c r="F160" s="39"/>
      <c r="G160" s="39"/>
      <c r="H160" s="39"/>
      <c r="I160" s="39"/>
      <c r="J160" s="39"/>
      <c r="K160" s="39"/>
      <c r="L160" s="39"/>
      <c r="M160" s="39"/>
      <c r="N160" s="39"/>
      <c r="O160" s="39"/>
      <c r="P160" s="39"/>
      <c r="Q160" s="39"/>
    </row>
    <row r="161" spans="3:17" hidden="1">
      <c r="C161" s="64"/>
      <c r="D161" s="65"/>
      <c r="E161" s="64"/>
      <c r="F161" s="39"/>
      <c r="G161" s="39"/>
      <c r="H161" s="39"/>
      <c r="I161" s="39"/>
      <c r="J161" s="39"/>
      <c r="K161" s="39"/>
      <c r="L161" s="39"/>
      <c r="M161" s="39"/>
      <c r="N161" s="39"/>
      <c r="O161" s="39"/>
      <c r="P161" s="39"/>
      <c r="Q161" s="39"/>
    </row>
    <row r="162" spans="3:17" hidden="1">
      <c r="C162" s="64"/>
      <c r="D162" s="65"/>
      <c r="E162" s="64"/>
      <c r="F162" s="39"/>
      <c r="G162" s="39"/>
      <c r="H162" s="39"/>
      <c r="I162" s="39"/>
      <c r="J162" s="39"/>
      <c r="K162" s="39"/>
      <c r="L162" s="39"/>
      <c r="M162" s="39"/>
      <c r="N162" s="39"/>
      <c r="O162" s="39"/>
      <c r="P162" s="39"/>
      <c r="Q162" s="39"/>
    </row>
    <row r="163" spans="3:17" hidden="1">
      <c r="C163" s="64"/>
      <c r="D163" s="65"/>
      <c r="E163" s="64"/>
      <c r="F163" s="39"/>
      <c r="G163" s="39"/>
      <c r="H163" s="39"/>
      <c r="I163" s="39"/>
      <c r="J163" s="39"/>
      <c r="K163" s="39"/>
      <c r="L163" s="39"/>
      <c r="M163" s="39"/>
      <c r="N163" s="39"/>
      <c r="O163" s="39"/>
      <c r="P163" s="39"/>
      <c r="Q163" s="39"/>
    </row>
    <row r="164" spans="3:17" hidden="1">
      <c r="C164" s="64"/>
      <c r="D164" s="65"/>
      <c r="E164" s="64"/>
      <c r="F164" s="39"/>
      <c r="G164" s="39"/>
      <c r="H164" s="39"/>
      <c r="I164" s="39"/>
      <c r="J164" s="39"/>
      <c r="K164" s="39"/>
      <c r="L164" s="39"/>
      <c r="M164" s="39"/>
      <c r="N164" s="39"/>
      <c r="O164" s="39"/>
      <c r="P164" s="39"/>
      <c r="Q164" s="39"/>
    </row>
    <row r="165" spans="3:17" hidden="1">
      <c r="C165" s="64"/>
      <c r="D165" s="65"/>
      <c r="E165" s="64"/>
      <c r="F165" s="39"/>
      <c r="G165" s="39"/>
      <c r="H165" s="39"/>
      <c r="I165" s="39"/>
      <c r="J165" s="39"/>
      <c r="K165" s="39"/>
      <c r="L165" s="39"/>
      <c r="M165" s="39"/>
      <c r="N165" s="39"/>
      <c r="O165" s="39"/>
      <c r="P165" s="39"/>
      <c r="Q165" s="39"/>
    </row>
    <row r="166" spans="3:17" hidden="1">
      <c r="C166" s="64"/>
      <c r="D166" s="65"/>
      <c r="E166" s="64"/>
      <c r="F166" s="39"/>
      <c r="G166" s="39"/>
      <c r="H166" s="39"/>
      <c r="I166" s="39"/>
      <c r="J166" s="39"/>
      <c r="K166" s="39"/>
      <c r="L166" s="39"/>
      <c r="M166" s="39"/>
      <c r="N166" s="39"/>
      <c r="O166" s="39"/>
      <c r="P166" s="39"/>
      <c r="Q166" s="39"/>
    </row>
    <row r="167" spans="3:17" hidden="1">
      <c r="C167" s="64"/>
      <c r="D167" s="65"/>
      <c r="E167" s="64"/>
      <c r="F167" s="39"/>
      <c r="G167" s="39"/>
      <c r="H167" s="39"/>
      <c r="I167" s="39"/>
      <c r="J167" s="39"/>
      <c r="K167" s="39"/>
      <c r="L167" s="39"/>
      <c r="M167" s="39"/>
      <c r="N167" s="39"/>
      <c r="O167" s="39"/>
      <c r="P167" s="39"/>
      <c r="Q167" s="39"/>
    </row>
    <row r="168" spans="3:17" hidden="1">
      <c r="C168" s="64"/>
      <c r="D168" s="65"/>
      <c r="E168" s="64"/>
      <c r="F168" s="39"/>
      <c r="G168" s="39"/>
      <c r="H168" s="39"/>
      <c r="I168" s="39"/>
      <c r="J168" s="39"/>
      <c r="K168" s="39"/>
      <c r="L168" s="39"/>
      <c r="M168" s="39"/>
      <c r="N168" s="39"/>
      <c r="O168" s="39"/>
      <c r="P168" s="39"/>
      <c r="Q168" s="39"/>
    </row>
    <row r="169" spans="3:17" hidden="1">
      <c r="C169" s="64"/>
      <c r="D169" s="65"/>
      <c r="E169" s="64"/>
      <c r="F169" s="39"/>
      <c r="G169" s="39"/>
      <c r="H169" s="39"/>
      <c r="I169" s="39"/>
      <c r="J169" s="39"/>
      <c r="K169" s="39"/>
      <c r="L169" s="39"/>
      <c r="M169" s="39"/>
      <c r="N169" s="39"/>
      <c r="O169" s="39"/>
      <c r="P169" s="39"/>
      <c r="Q169" s="39"/>
    </row>
    <row r="170" spans="3:17" hidden="1">
      <c r="C170" s="64"/>
      <c r="D170" s="65"/>
      <c r="E170" s="64"/>
      <c r="F170" s="39"/>
      <c r="G170" s="39"/>
      <c r="H170" s="39"/>
      <c r="I170" s="39"/>
      <c r="J170" s="39"/>
      <c r="K170" s="39"/>
      <c r="L170" s="39"/>
      <c r="M170" s="39"/>
      <c r="N170" s="39"/>
      <c r="O170" s="39"/>
      <c r="P170" s="39"/>
      <c r="Q170" s="39"/>
    </row>
    <row r="171" spans="3:17" hidden="1">
      <c r="C171" s="64"/>
      <c r="D171" s="65"/>
      <c r="E171" s="64"/>
      <c r="F171" s="39"/>
      <c r="G171" s="39"/>
      <c r="H171" s="39"/>
      <c r="I171" s="39"/>
      <c r="J171" s="39"/>
      <c r="K171" s="39"/>
      <c r="L171" s="39"/>
      <c r="M171" s="39"/>
      <c r="N171" s="39"/>
      <c r="O171" s="39"/>
      <c r="P171" s="39"/>
      <c r="Q171" s="39"/>
    </row>
    <row r="172" spans="3:17" hidden="1">
      <c r="C172" s="64"/>
      <c r="D172" s="65"/>
      <c r="E172" s="64"/>
      <c r="F172" s="39"/>
      <c r="G172" s="39"/>
      <c r="H172" s="39"/>
      <c r="I172" s="39"/>
      <c r="J172" s="39"/>
      <c r="K172" s="39"/>
      <c r="L172" s="39"/>
      <c r="M172" s="39"/>
      <c r="N172" s="39"/>
      <c r="O172" s="39"/>
      <c r="P172" s="39"/>
      <c r="Q172" s="39"/>
    </row>
    <row r="173" spans="3:17" hidden="1">
      <c r="C173" s="64"/>
      <c r="D173" s="65"/>
      <c r="E173" s="64"/>
      <c r="F173" s="39"/>
      <c r="G173" s="39"/>
      <c r="H173" s="39"/>
      <c r="I173" s="39"/>
      <c r="J173" s="39"/>
      <c r="K173" s="39"/>
      <c r="L173" s="39"/>
      <c r="M173" s="39"/>
      <c r="N173" s="39"/>
      <c r="O173" s="39"/>
      <c r="P173" s="39"/>
      <c r="Q173" s="39"/>
    </row>
    <row r="174" spans="3:17" hidden="1">
      <c r="C174" s="64"/>
      <c r="D174" s="65"/>
      <c r="E174" s="64"/>
      <c r="F174" s="39"/>
      <c r="G174" s="39"/>
      <c r="H174" s="39"/>
      <c r="I174" s="39"/>
      <c r="J174" s="39"/>
      <c r="K174" s="39"/>
      <c r="L174" s="39"/>
      <c r="M174" s="39"/>
      <c r="N174" s="39"/>
      <c r="O174" s="39"/>
      <c r="P174" s="39"/>
      <c r="Q174" s="39"/>
    </row>
    <row r="175" spans="3:17" hidden="1">
      <c r="C175" s="64"/>
      <c r="D175" s="65"/>
      <c r="E175" s="64"/>
      <c r="F175" s="39"/>
      <c r="G175" s="39"/>
      <c r="H175" s="39"/>
      <c r="I175" s="39"/>
      <c r="J175" s="39"/>
      <c r="K175" s="39"/>
      <c r="L175" s="39"/>
      <c r="M175" s="39"/>
      <c r="N175" s="39"/>
      <c r="O175" s="39"/>
      <c r="P175" s="39"/>
      <c r="Q175" s="39"/>
    </row>
    <row r="176" spans="3:17" hidden="1">
      <c r="C176" s="64"/>
      <c r="D176" s="65"/>
      <c r="E176" s="64"/>
      <c r="F176" s="39"/>
      <c r="G176" s="39"/>
      <c r="H176" s="39"/>
      <c r="I176" s="39"/>
      <c r="J176" s="39"/>
      <c r="K176" s="39"/>
      <c r="L176" s="39"/>
      <c r="M176" s="39"/>
      <c r="N176" s="39"/>
      <c r="O176" s="39"/>
      <c r="P176" s="39"/>
      <c r="Q176" s="39"/>
    </row>
    <row r="177" spans="3:17" hidden="1">
      <c r="C177" s="64"/>
      <c r="D177" s="65"/>
      <c r="E177" s="64"/>
      <c r="F177" s="39"/>
      <c r="G177" s="39"/>
      <c r="H177" s="39"/>
      <c r="I177" s="39"/>
      <c r="J177" s="39"/>
      <c r="K177" s="39"/>
      <c r="L177" s="39"/>
      <c r="M177" s="39"/>
      <c r="N177" s="39"/>
      <c r="O177" s="39"/>
      <c r="P177" s="39"/>
      <c r="Q177" s="39"/>
    </row>
    <row r="178" spans="3:17" hidden="1">
      <c r="C178" s="64"/>
      <c r="D178" s="65"/>
      <c r="E178" s="64"/>
      <c r="F178" s="39"/>
      <c r="G178" s="39"/>
      <c r="H178" s="39"/>
      <c r="I178" s="39"/>
      <c r="J178" s="39"/>
      <c r="K178" s="39"/>
      <c r="L178" s="39"/>
      <c r="M178" s="39"/>
      <c r="N178" s="39"/>
      <c r="O178" s="39"/>
      <c r="P178" s="39"/>
      <c r="Q178" s="39"/>
    </row>
    <row r="179" spans="3:17" hidden="1">
      <c r="C179" s="64"/>
      <c r="D179" s="65"/>
      <c r="E179" s="64"/>
      <c r="F179" s="39"/>
      <c r="G179" s="39"/>
      <c r="H179" s="39"/>
      <c r="I179" s="39"/>
      <c r="J179" s="39"/>
      <c r="K179" s="39"/>
      <c r="L179" s="39"/>
      <c r="M179" s="39"/>
      <c r="N179" s="39"/>
      <c r="O179" s="39"/>
      <c r="P179" s="39"/>
      <c r="Q179" s="39"/>
    </row>
    <row r="180" spans="3:17" hidden="1">
      <c r="C180" s="64"/>
      <c r="D180" s="65"/>
      <c r="E180" s="64"/>
      <c r="F180" s="39"/>
      <c r="G180" s="39"/>
      <c r="H180" s="39"/>
      <c r="I180" s="39"/>
      <c r="J180" s="39"/>
      <c r="K180" s="39"/>
      <c r="L180" s="39"/>
      <c r="M180" s="39"/>
      <c r="N180" s="39"/>
      <c r="O180" s="39"/>
      <c r="P180" s="39"/>
      <c r="Q180" s="39"/>
    </row>
    <row r="181" spans="3:17" hidden="1">
      <c r="C181" s="64"/>
      <c r="D181" s="65"/>
      <c r="E181" s="64"/>
      <c r="F181" s="39"/>
      <c r="G181" s="39"/>
      <c r="H181" s="39"/>
      <c r="I181" s="39"/>
      <c r="J181" s="39"/>
      <c r="K181" s="39"/>
      <c r="L181" s="39"/>
      <c r="M181" s="39"/>
      <c r="N181" s="39"/>
      <c r="O181" s="39"/>
      <c r="P181" s="39"/>
      <c r="Q181" s="39"/>
    </row>
    <row r="182" spans="3:17" hidden="1">
      <c r="C182" s="64"/>
      <c r="D182" s="65"/>
      <c r="E182" s="64"/>
      <c r="F182" s="39"/>
      <c r="G182" s="39"/>
      <c r="H182" s="39"/>
      <c r="I182" s="39"/>
      <c r="J182" s="39"/>
      <c r="K182" s="39"/>
      <c r="L182" s="39"/>
      <c r="M182" s="39"/>
      <c r="N182" s="39"/>
      <c r="O182" s="39"/>
      <c r="P182" s="39"/>
      <c r="Q182" s="39"/>
    </row>
    <row r="183" spans="3:17" hidden="1">
      <c r="C183" s="64"/>
      <c r="D183" s="65"/>
      <c r="E183" s="64"/>
      <c r="F183" s="39"/>
      <c r="G183" s="39"/>
      <c r="H183" s="39"/>
      <c r="I183" s="39"/>
      <c r="J183" s="39"/>
      <c r="K183" s="39"/>
      <c r="L183" s="39"/>
      <c r="M183" s="39"/>
      <c r="N183" s="39"/>
      <c r="O183" s="39"/>
      <c r="P183" s="39"/>
      <c r="Q183" s="39"/>
    </row>
    <row r="184" spans="3:17" hidden="1">
      <c r="C184" s="64"/>
      <c r="D184" s="65"/>
      <c r="E184" s="64"/>
      <c r="F184" s="39"/>
      <c r="G184" s="39"/>
      <c r="H184" s="39"/>
      <c r="I184" s="39"/>
      <c r="J184" s="39"/>
      <c r="K184" s="39"/>
      <c r="L184" s="39"/>
      <c r="M184" s="39"/>
      <c r="N184" s="39"/>
      <c r="O184" s="39"/>
      <c r="P184" s="39"/>
      <c r="Q184" s="39"/>
    </row>
    <row r="185" spans="3:17" hidden="1">
      <c r="C185" s="64"/>
      <c r="D185" s="65"/>
      <c r="E185" s="64"/>
      <c r="F185" s="39"/>
      <c r="G185" s="39"/>
      <c r="H185" s="39"/>
      <c r="I185" s="39"/>
      <c r="J185" s="39"/>
      <c r="K185" s="39"/>
      <c r="L185" s="39"/>
      <c r="M185" s="39"/>
      <c r="N185" s="39"/>
      <c r="O185" s="39"/>
      <c r="P185" s="39"/>
      <c r="Q185" s="39"/>
    </row>
    <row r="186" spans="3:17" hidden="1">
      <c r="C186" s="64"/>
      <c r="D186" s="65"/>
      <c r="E186" s="64"/>
      <c r="F186" s="39"/>
      <c r="G186" s="39"/>
      <c r="H186" s="39"/>
      <c r="I186" s="39"/>
      <c r="J186" s="39"/>
      <c r="K186" s="39"/>
      <c r="L186" s="39"/>
      <c r="M186" s="39"/>
      <c r="N186" s="39"/>
      <c r="O186" s="39"/>
      <c r="P186" s="39"/>
      <c r="Q186" s="39"/>
    </row>
    <row r="187" spans="3:17" hidden="1">
      <c r="C187" s="64"/>
      <c r="D187" s="65"/>
      <c r="E187" s="64"/>
      <c r="F187" s="39"/>
      <c r="G187" s="39"/>
      <c r="H187" s="39"/>
      <c r="I187" s="39"/>
      <c r="J187" s="39"/>
      <c r="K187" s="39"/>
      <c r="L187" s="39"/>
      <c r="M187" s="39"/>
      <c r="N187" s="39"/>
      <c r="O187" s="39"/>
      <c r="P187" s="39"/>
      <c r="Q187" s="39"/>
    </row>
    <row r="188" spans="3:17" hidden="1">
      <c r="C188" s="64"/>
      <c r="D188" s="65"/>
      <c r="E188" s="64"/>
      <c r="F188" s="39"/>
      <c r="G188" s="39"/>
      <c r="H188" s="39"/>
      <c r="I188" s="39"/>
      <c r="J188" s="39"/>
      <c r="K188" s="39"/>
      <c r="L188" s="39"/>
      <c r="M188" s="39"/>
      <c r="N188" s="39"/>
      <c r="O188" s="39"/>
      <c r="P188" s="39"/>
      <c r="Q188" s="39"/>
    </row>
    <row r="189" spans="3:17" hidden="1">
      <c r="C189" s="64"/>
      <c r="D189" s="65"/>
      <c r="E189" s="64"/>
      <c r="F189" s="39"/>
      <c r="G189" s="39"/>
      <c r="H189" s="39"/>
      <c r="I189" s="39"/>
      <c r="J189" s="39"/>
      <c r="K189" s="39"/>
      <c r="L189" s="39"/>
      <c r="M189" s="39"/>
      <c r="N189" s="39"/>
      <c r="O189" s="39"/>
      <c r="P189" s="39"/>
      <c r="Q189" s="39"/>
    </row>
    <row r="190" spans="3:17" hidden="1">
      <c r="C190" s="31"/>
      <c r="D190" s="66"/>
      <c r="E190" s="31"/>
      <c r="F190" s="20"/>
      <c r="G190" s="20"/>
      <c r="H190" s="20"/>
      <c r="I190" s="20"/>
      <c r="J190" s="20"/>
      <c r="K190" s="20"/>
      <c r="L190" s="20"/>
      <c r="M190" s="20"/>
      <c r="N190" s="20"/>
      <c r="O190" s="20"/>
      <c r="P190" s="20"/>
      <c r="Q190" s="20"/>
    </row>
    <row r="191" spans="3:17" hidden="1">
      <c r="C191" s="64"/>
      <c r="D191" s="65"/>
      <c r="E191" s="64"/>
      <c r="F191" s="39"/>
      <c r="G191" s="39"/>
      <c r="H191" s="39"/>
      <c r="I191" s="39"/>
      <c r="J191" s="39"/>
      <c r="K191" s="39"/>
      <c r="L191" s="39"/>
      <c r="M191" s="39"/>
      <c r="N191" s="39"/>
      <c r="O191" s="39"/>
      <c r="P191" s="39"/>
      <c r="Q191" s="39"/>
    </row>
    <row r="192" spans="3:17" hidden="1">
      <c r="C192" s="64"/>
      <c r="D192" s="65"/>
      <c r="E192" s="64"/>
      <c r="F192" s="39"/>
      <c r="G192" s="39"/>
      <c r="H192" s="39"/>
      <c r="I192" s="39"/>
      <c r="J192" s="39"/>
      <c r="K192" s="39"/>
      <c r="L192" s="39"/>
      <c r="M192" s="39"/>
      <c r="N192" s="39"/>
      <c r="O192" s="39"/>
      <c r="P192" s="39"/>
      <c r="Q192" s="39"/>
    </row>
    <row r="193" spans="3:17" hidden="1">
      <c r="C193" s="64"/>
      <c r="D193" s="65"/>
      <c r="E193" s="64"/>
      <c r="F193" s="39"/>
      <c r="G193" s="39"/>
      <c r="H193" s="39"/>
      <c r="I193" s="39"/>
      <c r="J193" s="39"/>
      <c r="K193" s="39"/>
      <c r="L193" s="39"/>
      <c r="M193" s="39"/>
      <c r="N193" s="39"/>
      <c r="O193" s="39"/>
      <c r="P193" s="39"/>
      <c r="Q193" s="39"/>
    </row>
    <row r="194" spans="3:17" hidden="1">
      <c r="C194" s="64"/>
      <c r="D194" s="65"/>
      <c r="E194" s="64"/>
      <c r="F194" s="39"/>
      <c r="G194" s="39"/>
      <c r="H194" s="39"/>
      <c r="I194" s="39"/>
      <c r="J194" s="39"/>
      <c r="K194" s="39"/>
      <c r="L194" s="39"/>
      <c r="M194" s="39"/>
      <c r="N194" s="39"/>
      <c r="O194" s="39"/>
      <c r="P194" s="39"/>
      <c r="Q194" s="39"/>
    </row>
    <row r="195" spans="3:17" hidden="1">
      <c r="C195" s="64"/>
      <c r="D195" s="65"/>
      <c r="E195" s="64"/>
      <c r="F195" s="39"/>
      <c r="G195" s="39"/>
      <c r="H195" s="39"/>
      <c r="I195" s="39"/>
      <c r="J195" s="39"/>
      <c r="K195" s="39"/>
      <c r="L195" s="39"/>
      <c r="M195" s="39"/>
      <c r="N195" s="39"/>
      <c r="O195" s="39"/>
      <c r="P195" s="39"/>
      <c r="Q195" s="39"/>
    </row>
    <row r="196" spans="3:17" hidden="1">
      <c r="C196" s="64"/>
      <c r="D196" s="65"/>
      <c r="E196" s="64"/>
      <c r="F196" s="39"/>
      <c r="G196" s="39"/>
      <c r="H196" s="39"/>
      <c r="I196" s="39"/>
      <c r="J196" s="39"/>
      <c r="K196" s="39"/>
      <c r="L196" s="39"/>
      <c r="M196" s="39"/>
      <c r="N196" s="39"/>
      <c r="O196" s="39"/>
      <c r="P196" s="39"/>
      <c r="Q196" s="39"/>
    </row>
    <row r="197" spans="3:17" hidden="1">
      <c r="C197" s="64"/>
      <c r="D197" s="65"/>
      <c r="E197" s="64"/>
      <c r="F197" s="39"/>
      <c r="G197" s="39"/>
      <c r="H197" s="39"/>
      <c r="I197" s="39"/>
      <c r="J197" s="39"/>
      <c r="K197" s="39"/>
      <c r="L197" s="39"/>
      <c r="M197" s="39"/>
      <c r="N197" s="39"/>
      <c r="O197" s="39"/>
      <c r="P197" s="39"/>
      <c r="Q197" s="39"/>
    </row>
    <row r="198" spans="3:17" hidden="1">
      <c r="C198" s="64"/>
      <c r="D198" s="65"/>
      <c r="E198" s="64"/>
      <c r="F198" s="39"/>
      <c r="G198" s="39"/>
      <c r="H198" s="39"/>
      <c r="I198" s="39"/>
      <c r="J198" s="39"/>
      <c r="K198" s="39"/>
      <c r="L198" s="39"/>
      <c r="M198" s="39"/>
      <c r="N198" s="39"/>
      <c r="O198" s="39"/>
      <c r="P198" s="39"/>
      <c r="Q198" s="39"/>
    </row>
    <row r="199" spans="3:17" hidden="1">
      <c r="C199" s="64"/>
      <c r="D199" s="65"/>
      <c r="E199" s="64"/>
      <c r="F199" s="39"/>
      <c r="G199" s="39"/>
      <c r="H199" s="39"/>
      <c r="I199" s="39"/>
      <c r="J199" s="39"/>
      <c r="K199" s="39"/>
      <c r="L199" s="39"/>
      <c r="M199" s="39"/>
      <c r="N199" s="39"/>
      <c r="O199" s="39"/>
      <c r="P199" s="39"/>
      <c r="Q199" s="39"/>
    </row>
    <row r="200" spans="3:17" hidden="1">
      <c r="C200" s="64"/>
      <c r="D200" s="65"/>
      <c r="E200" s="64"/>
      <c r="F200" s="39"/>
      <c r="G200" s="39"/>
      <c r="H200" s="39"/>
      <c r="I200" s="39"/>
      <c r="J200" s="39"/>
      <c r="K200" s="39"/>
      <c r="L200" s="39"/>
      <c r="M200" s="39"/>
      <c r="N200" s="39"/>
      <c r="O200" s="39"/>
      <c r="P200" s="39"/>
      <c r="Q200" s="39"/>
    </row>
    <row r="201" spans="3:17" hidden="1">
      <c r="C201" s="64"/>
      <c r="D201" s="65"/>
      <c r="E201" s="64"/>
      <c r="F201" s="39"/>
      <c r="G201" s="39"/>
      <c r="H201" s="39"/>
      <c r="I201" s="39"/>
      <c r="J201" s="39"/>
      <c r="K201" s="39"/>
      <c r="L201" s="39"/>
      <c r="M201" s="39"/>
      <c r="N201" s="39"/>
      <c r="O201" s="39"/>
      <c r="P201" s="39"/>
      <c r="Q201" s="39"/>
    </row>
    <row r="202" spans="3:17" hidden="1">
      <c r="C202" s="64"/>
      <c r="D202" s="65"/>
      <c r="E202" s="64"/>
      <c r="F202" s="39"/>
      <c r="G202" s="39"/>
      <c r="H202" s="39"/>
      <c r="I202" s="39"/>
      <c r="J202" s="39"/>
      <c r="K202" s="39"/>
      <c r="L202" s="39"/>
      <c r="M202" s="39"/>
      <c r="N202" s="39"/>
      <c r="O202" s="39"/>
      <c r="P202" s="39"/>
      <c r="Q202" s="39"/>
    </row>
    <row r="203" spans="3:17" hidden="1">
      <c r="C203" s="64"/>
      <c r="D203" s="65"/>
      <c r="E203" s="64"/>
      <c r="F203" s="39"/>
      <c r="G203" s="39"/>
      <c r="H203" s="39"/>
      <c r="I203" s="39"/>
      <c r="J203" s="39"/>
      <c r="K203" s="39"/>
      <c r="L203" s="39"/>
      <c r="M203" s="39"/>
      <c r="N203" s="39"/>
      <c r="O203" s="39"/>
      <c r="P203" s="39"/>
      <c r="Q203" s="39"/>
    </row>
    <row r="204" spans="3:17" hidden="1">
      <c r="C204" s="64"/>
      <c r="D204" s="65"/>
      <c r="E204" s="64"/>
      <c r="F204" s="39"/>
      <c r="G204" s="39"/>
      <c r="H204" s="39"/>
      <c r="I204" s="39"/>
      <c r="J204" s="39"/>
      <c r="K204" s="39"/>
      <c r="L204" s="39"/>
      <c r="M204" s="39"/>
      <c r="N204" s="39"/>
      <c r="O204" s="39"/>
      <c r="P204" s="39"/>
      <c r="Q204" s="39"/>
    </row>
    <row r="205" spans="3:17" hidden="1">
      <c r="C205" s="64"/>
      <c r="D205" s="65"/>
      <c r="E205" s="64"/>
      <c r="F205" s="39"/>
      <c r="G205" s="39"/>
      <c r="H205" s="39"/>
      <c r="I205" s="39"/>
      <c r="J205" s="39"/>
      <c r="K205" s="39"/>
      <c r="L205" s="39"/>
      <c r="M205" s="39"/>
      <c r="N205" s="39"/>
      <c r="O205" s="39"/>
      <c r="P205" s="39"/>
      <c r="Q205" s="39"/>
    </row>
    <row r="206" spans="3:17" hidden="1">
      <c r="C206" s="64"/>
      <c r="D206" s="65"/>
      <c r="E206" s="64"/>
      <c r="F206" s="39"/>
      <c r="G206" s="39"/>
      <c r="H206" s="39"/>
      <c r="I206" s="39"/>
      <c r="J206" s="39"/>
      <c r="K206" s="39"/>
      <c r="L206" s="39"/>
      <c r="M206" s="39"/>
      <c r="N206" s="39"/>
      <c r="O206" s="39"/>
      <c r="P206" s="39"/>
      <c r="Q206" s="39"/>
    </row>
    <row r="207" spans="3:17" hidden="1">
      <c r="C207" s="64"/>
      <c r="D207" s="65"/>
      <c r="E207" s="64"/>
      <c r="F207" s="39"/>
      <c r="G207" s="39"/>
      <c r="H207" s="39"/>
      <c r="I207" s="39"/>
      <c r="J207" s="39"/>
      <c r="K207" s="39"/>
      <c r="L207" s="39"/>
      <c r="M207" s="39"/>
      <c r="N207" s="39"/>
      <c r="O207" s="39"/>
      <c r="P207" s="39"/>
      <c r="Q207" s="39"/>
    </row>
    <row r="208" spans="3:17" hidden="1">
      <c r="C208" s="64"/>
      <c r="D208" s="65"/>
      <c r="E208" s="64"/>
      <c r="F208" s="39"/>
      <c r="G208" s="39"/>
      <c r="H208" s="39"/>
      <c r="I208" s="39"/>
      <c r="J208" s="39"/>
      <c r="K208" s="39"/>
      <c r="L208" s="39"/>
      <c r="M208" s="39"/>
      <c r="N208" s="39"/>
      <c r="O208" s="39"/>
      <c r="P208" s="39"/>
      <c r="Q208" s="39"/>
    </row>
    <row r="209" spans="3:17" hidden="1">
      <c r="C209" s="64"/>
      <c r="D209" s="65"/>
      <c r="E209" s="64"/>
      <c r="F209" s="39"/>
      <c r="G209" s="39"/>
      <c r="H209" s="39"/>
      <c r="I209" s="39"/>
      <c r="J209" s="39"/>
      <c r="K209" s="39"/>
      <c r="L209" s="39"/>
      <c r="M209" s="39"/>
      <c r="N209" s="39"/>
      <c r="O209" s="39"/>
      <c r="P209" s="39"/>
      <c r="Q209" s="39"/>
    </row>
    <row r="210" spans="3:17" hidden="1">
      <c r="C210" s="64"/>
      <c r="D210" s="65"/>
      <c r="E210" s="64"/>
      <c r="F210" s="39"/>
      <c r="G210" s="39"/>
      <c r="H210" s="39"/>
      <c r="I210" s="39"/>
      <c r="J210" s="39"/>
      <c r="K210" s="39"/>
      <c r="L210" s="39"/>
      <c r="M210" s="39"/>
      <c r="N210" s="39"/>
      <c r="O210" s="39"/>
      <c r="P210" s="39"/>
      <c r="Q210" s="39"/>
    </row>
    <row r="211" spans="3:17" hidden="1">
      <c r="C211" s="64"/>
      <c r="D211" s="65"/>
      <c r="E211" s="64"/>
      <c r="F211" s="39"/>
      <c r="G211" s="39"/>
      <c r="H211" s="39"/>
      <c r="I211" s="39"/>
      <c r="J211" s="39"/>
      <c r="K211" s="39"/>
      <c r="L211" s="39"/>
      <c r="M211" s="39"/>
      <c r="N211" s="39"/>
      <c r="O211" s="39"/>
      <c r="P211" s="39"/>
      <c r="Q211" s="39"/>
    </row>
    <row r="212" spans="3:17" hidden="1">
      <c r="C212" s="64"/>
      <c r="D212" s="65"/>
      <c r="E212" s="64"/>
      <c r="F212" s="39"/>
      <c r="G212" s="39"/>
      <c r="H212" s="39"/>
      <c r="I212" s="39"/>
      <c r="J212" s="39"/>
      <c r="K212" s="39"/>
      <c r="L212" s="39"/>
      <c r="M212" s="39"/>
      <c r="N212" s="39"/>
      <c r="O212" s="39"/>
      <c r="P212" s="39"/>
      <c r="Q212" s="39"/>
    </row>
    <row r="213" spans="3:17" hidden="1">
      <c r="C213" s="64"/>
      <c r="D213" s="65"/>
      <c r="E213" s="64"/>
      <c r="F213" s="39"/>
      <c r="G213" s="39"/>
      <c r="H213" s="39"/>
      <c r="I213" s="39"/>
      <c r="J213" s="39"/>
      <c r="K213" s="39"/>
      <c r="L213" s="39"/>
      <c r="M213" s="39"/>
      <c r="N213" s="39"/>
      <c r="O213" s="39"/>
      <c r="P213" s="39"/>
      <c r="Q213" s="39"/>
    </row>
    <row r="214" spans="3:17" hidden="1">
      <c r="C214" s="64"/>
      <c r="D214" s="65"/>
      <c r="E214" s="64"/>
      <c r="F214" s="39"/>
      <c r="G214" s="39"/>
      <c r="H214" s="39"/>
      <c r="I214" s="39"/>
      <c r="J214" s="39"/>
      <c r="K214" s="39"/>
      <c r="L214" s="39"/>
      <c r="M214" s="39"/>
      <c r="N214" s="39"/>
      <c r="O214" s="39"/>
      <c r="P214" s="39"/>
      <c r="Q214" s="39"/>
    </row>
    <row r="215" spans="3:17" hidden="1">
      <c r="C215" s="64"/>
      <c r="D215" s="65"/>
      <c r="E215" s="64"/>
      <c r="F215" s="39"/>
      <c r="G215" s="39"/>
      <c r="H215" s="39"/>
      <c r="I215" s="39"/>
      <c r="J215" s="39"/>
      <c r="K215" s="39"/>
      <c r="L215" s="39"/>
      <c r="M215" s="39"/>
      <c r="N215" s="39"/>
      <c r="O215" s="39"/>
      <c r="P215" s="39"/>
      <c r="Q215" s="39"/>
    </row>
    <row r="216" spans="3:17" hidden="1">
      <c r="C216" s="64"/>
      <c r="D216" s="65"/>
      <c r="E216" s="64"/>
      <c r="F216" s="39"/>
      <c r="G216" s="39"/>
      <c r="H216" s="39"/>
      <c r="I216" s="39"/>
      <c r="J216" s="39"/>
      <c r="K216" s="39"/>
      <c r="L216" s="39"/>
      <c r="M216" s="39"/>
      <c r="N216" s="39"/>
      <c r="O216" s="39"/>
      <c r="P216" s="39"/>
      <c r="Q216" s="39"/>
    </row>
    <row r="217" spans="3:17" hidden="1">
      <c r="C217" s="64"/>
      <c r="D217" s="65"/>
      <c r="E217" s="64"/>
      <c r="F217" s="39"/>
      <c r="G217" s="39"/>
      <c r="H217" s="39"/>
      <c r="I217" s="39"/>
      <c r="J217" s="39"/>
      <c r="K217" s="39"/>
      <c r="L217" s="39"/>
      <c r="M217" s="39"/>
      <c r="N217" s="39"/>
      <c r="O217" s="39"/>
      <c r="P217" s="39"/>
      <c r="Q217" s="39"/>
    </row>
    <row r="218" spans="3:17" hidden="1">
      <c r="C218" s="64"/>
      <c r="D218" s="65"/>
      <c r="E218" s="64"/>
      <c r="F218" s="39"/>
      <c r="G218" s="39"/>
      <c r="H218" s="39"/>
      <c r="I218" s="39"/>
      <c r="J218" s="39"/>
      <c r="K218" s="39"/>
      <c r="L218" s="39"/>
      <c r="M218" s="39"/>
      <c r="N218" s="39"/>
      <c r="O218" s="39"/>
      <c r="P218" s="39"/>
      <c r="Q218" s="39"/>
    </row>
    <row r="219" spans="3:17" hidden="1">
      <c r="C219" s="64"/>
      <c r="D219" s="65"/>
      <c r="E219" s="64"/>
      <c r="F219" s="39"/>
      <c r="G219" s="39"/>
      <c r="H219" s="39"/>
      <c r="I219" s="39"/>
      <c r="J219" s="39"/>
      <c r="K219" s="39"/>
      <c r="L219" s="39"/>
      <c r="M219" s="39"/>
      <c r="N219" s="39"/>
      <c r="O219" s="39"/>
      <c r="P219" s="39"/>
      <c r="Q219" s="39"/>
    </row>
    <row r="220" spans="3:17" hidden="1">
      <c r="C220" s="64"/>
      <c r="D220" s="65"/>
      <c r="E220" s="64"/>
      <c r="F220" s="39"/>
      <c r="G220" s="39"/>
      <c r="H220" s="39"/>
      <c r="I220" s="39"/>
      <c r="J220" s="39"/>
      <c r="K220" s="39"/>
      <c r="L220" s="39"/>
      <c r="M220" s="39"/>
      <c r="N220" s="39"/>
      <c r="O220" s="39"/>
      <c r="P220" s="39"/>
      <c r="Q220" s="39"/>
    </row>
    <row r="221" spans="3:17" hidden="1">
      <c r="C221" s="64"/>
      <c r="D221" s="65"/>
      <c r="E221" s="64"/>
      <c r="F221" s="39"/>
      <c r="G221" s="39"/>
      <c r="H221" s="39"/>
      <c r="I221" s="39"/>
      <c r="J221" s="39"/>
      <c r="K221" s="39"/>
      <c r="L221" s="39"/>
      <c r="M221" s="39"/>
      <c r="N221" s="39"/>
      <c r="O221" s="39"/>
      <c r="P221" s="39"/>
      <c r="Q221" s="39"/>
    </row>
    <row r="222" spans="3:17" hidden="1">
      <c r="C222" s="64"/>
      <c r="D222" s="65"/>
      <c r="E222" s="64"/>
      <c r="F222" s="39"/>
      <c r="G222" s="39"/>
      <c r="H222" s="39"/>
      <c r="I222" s="39"/>
      <c r="J222" s="39"/>
      <c r="K222" s="39"/>
      <c r="L222" s="39"/>
      <c r="M222" s="39"/>
      <c r="N222" s="39"/>
      <c r="O222" s="39"/>
      <c r="P222" s="39"/>
      <c r="Q222" s="39"/>
    </row>
    <row r="223" spans="3:17" hidden="1">
      <c r="C223" s="64"/>
      <c r="D223" s="65"/>
      <c r="E223" s="64"/>
      <c r="F223" s="39"/>
      <c r="G223" s="39"/>
      <c r="H223" s="39"/>
      <c r="I223" s="39"/>
      <c r="J223" s="39"/>
      <c r="K223" s="39"/>
      <c r="L223" s="39"/>
      <c r="M223" s="39"/>
      <c r="N223" s="39"/>
      <c r="O223" s="39"/>
      <c r="P223" s="39"/>
      <c r="Q223" s="39"/>
    </row>
    <row r="224" spans="3:17" hidden="1">
      <c r="C224" s="64"/>
      <c r="D224" s="65"/>
      <c r="E224" s="64"/>
      <c r="F224" s="39"/>
      <c r="G224" s="39"/>
      <c r="H224" s="39"/>
      <c r="I224" s="39"/>
      <c r="J224" s="39"/>
      <c r="K224" s="39"/>
      <c r="L224" s="39"/>
      <c r="M224" s="39"/>
      <c r="N224" s="39"/>
      <c r="O224" s="39"/>
      <c r="P224" s="39"/>
      <c r="Q224" s="39"/>
    </row>
    <row r="225" spans="3:17" hidden="1">
      <c r="C225" s="64"/>
      <c r="D225" s="65"/>
      <c r="E225" s="64"/>
      <c r="F225" s="39"/>
      <c r="G225" s="39"/>
      <c r="H225" s="39"/>
      <c r="I225" s="39"/>
      <c r="J225" s="39"/>
      <c r="K225" s="39"/>
      <c r="L225" s="39"/>
      <c r="M225" s="39"/>
      <c r="N225" s="39"/>
      <c r="O225" s="39"/>
      <c r="P225" s="39"/>
      <c r="Q225" s="39"/>
    </row>
    <row r="226" spans="3:17" hidden="1">
      <c r="C226" s="64"/>
      <c r="D226" s="65"/>
      <c r="E226" s="64"/>
      <c r="F226" s="39"/>
      <c r="G226" s="39"/>
      <c r="H226" s="39"/>
      <c r="I226" s="39"/>
      <c r="J226" s="39"/>
      <c r="K226" s="39"/>
      <c r="L226" s="39"/>
      <c r="M226" s="39"/>
      <c r="N226" s="39"/>
      <c r="O226" s="39"/>
      <c r="P226" s="39"/>
      <c r="Q226" s="39"/>
    </row>
    <row r="227" spans="3:17" hidden="1">
      <c r="C227" s="64"/>
      <c r="D227" s="65"/>
      <c r="E227" s="64"/>
      <c r="F227" s="39"/>
      <c r="G227" s="39"/>
      <c r="H227" s="39"/>
      <c r="I227" s="39"/>
      <c r="J227" s="39"/>
      <c r="K227" s="39"/>
      <c r="L227" s="39"/>
      <c r="M227" s="39"/>
      <c r="N227" s="39"/>
      <c r="O227" s="39"/>
      <c r="P227" s="39"/>
      <c r="Q227" s="39"/>
    </row>
    <row r="228" spans="3:17" hidden="1">
      <c r="C228" s="64"/>
      <c r="D228" s="65"/>
      <c r="E228" s="64"/>
      <c r="F228" s="39"/>
      <c r="G228" s="39"/>
      <c r="H228" s="39"/>
      <c r="I228" s="39"/>
      <c r="J228" s="39"/>
      <c r="K228" s="39"/>
      <c r="L228" s="39"/>
      <c r="M228" s="39"/>
      <c r="N228" s="39"/>
      <c r="O228" s="39"/>
      <c r="P228" s="39"/>
      <c r="Q228" s="39"/>
    </row>
    <row r="229" spans="3:17" hidden="1">
      <c r="C229" s="64"/>
      <c r="D229" s="65"/>
      <c r="E229" s="64"/>
      <c r="F229" s="39"/>
      <c r="G229" s="39"/>
      <c r="H229" s="39"/>
      <c r="I229" s="39"/>
      <c r="J229" s="39"/>
      <c r="K229" s="39"/>
      <c r="L229" s="39"/>
      <c r="M229" s="39"/>
      <c r="N229" s="39"/>
      <c r="O229" s="39"/>
      <c r="P229" s="39"/>
      <c r="Q229" s="39"/>
    </row>
    <row r="230" spans="3:17" hidden="1">
      <c r="C230" s="64"/>
      <c r="D230" s="65"/>
      <c r="E230" s="64"/>
      <c r="F230" s="39"/>
      <c r="G230" s="39"/>
      <c r="H230" s="39"/>
      <c r="I230" s="39"/>
      <c r="J230" s="39"/>
      <c r="K230" s="39"/>
      <c r="L230" s="39"/>
      <c r="M230" s="39"/>
      <c r="N230" s="39"/>
      <c r="O230" s="39"/>
      <c r="P230" s="39"/>
      <c r="Q230" s="39"/>
    </row>
    <row r="231" spans="3:17" hidden="1">
      <c r="C231" s="64"/>
      <c r="D231" s="65"/>
      <c r="E231" s="64"/>
      <c r="F231" s="39"/>
      <c r="G231" s="39"/>
      <c r="H231" s="39"/>
      <c r="I231" s="39"/>
      <c r="J231" s="39"/>
      <c r="K231" s="39"/>
      <c r="L231" s="39"/>
      <c r="M231" s="39"/>
      <c r="N231" s="39"/>
      <c r="O231" s="39"/>
      <c r="P231" s="39"/>
      <c r="Q231" s="39"/>
    </row>
    <row r="232" spans="3:17" hidden="1">
      <c r="C232" s="64"/>
      <c r="D232" s="65"/>
      <c r="E232" s="64"/>
      <c r="F232" s="39"/>
      <c r="G232" s="39"/>
      <c r="H232" s="39"/>
      <c r="I232" s="39"/>
      <c r="J232" s="39"/>
      <c r="K232" s="39"/>
      <c r="L232" s="39"/>
      <c r="M232" s="39"/>
      <c r="N232" s="39"/>
      <c r="O232" s="39"/>
      <c r="P232" s="39"/>
      <c r="Q232" s="39"/>
    </row>
    <row r="233" spans="3:17" hidden="1">
      <c r="C233" s="64"/>
      <c r="D233" s="65"/>
      <c r="E233" s="64"/>
      <c r="F233" s="39"/>
      <c r="G233" s="39"/>
      <c r="H233" s="39"/>
      <c r="I233" s="39"/>
      <c r="J233" s="39"/>
      <c r="K233" s="39"/>
      <c r="L233" s="39"/>
      <c r="M233" s="39"/>
      <c r="N233" s="39"/>
      <c r="O233" s="39"/>
      <c r="P233" s="39"/>
      <c r="Q233" s="39"/>
    </row>
    <row r="234" spans="3:17" hidden="1">
      <c r="C234" s="64"/>
      <c r="D234" s="65"/>
      <c r="E234" s="64"/>
      <c r="F234" s="39"/>
      <c r="G234" s="39"/>
      <c r="H234" s="39"/>
      <c r="I234" s="39"/>
      <c r="J234" s="39"/>
      <c r="K234" s="39"/>
      <c r="L234" s="39"/>
      <c r="M234" s="39"/>
      <c r="N234" s="39"/>
      <c r="O234" s="39"/>
      <c r="P234" s="39"/>
      <c r="Q234" s="39"/>
    </row>
    <row r="235" spans="3:17" hidden="1">
      <c r="C235" s="64"/>
      <c r="D235" s="65"/>
      <c r="E235" s="64"/>
      <c r="F235" s="39"/>
      <c r="G235" s="39"/>
      <c r="H235" s="39"/>
      <c r="I235" s="39"/>
      <c r="J235" s="39"/>
      <c r="K235" s="39"/>
      <c r="L235" s="39"/>
      <c r="M235" s="39"/>
      <c r="N235" s="39"/>
      <c r="O235" s="39"/>
      <c r="P235" s="39"/>
      <c r="Q235" s="39"/>
    </row>
    <row r="236" spans="3:17" hidden="1">
      <c r="C236" s="64"/>
      <c r="D236" s="65"/>
      <c r="E236" s="64"/>
      <c r="F236" s="39"/>
      <c r="G236" s="39"/>
      <c r="H236" s="39"/>
      <c r="I236" s="39"/>
      <c r="J236" s="39"/>
      <c r="K236" s="39"/>
      <c r="L236" s="39"/>
      <c r="M236" s="39"/>
      <c r="N236" s="39"/>
      <c r="O236" s="39"/>
      <c r="P236" s="39"/>
      <c r="Q236" s="39"/>
    </row>
    <row r="237" spans="3:17" hidden="1">
      <c r="C237" s="64"/>
      <c r="D237" s="65"/>
      <c r="E237" s="64"/>
      <c r="F237" s="39"/>
      <c r="G237" s="39"/>
      <c r="H237" s="39"/>
      <c r="I237" s="39"/>
      <c r="J237" s="39"/>
      <c r="K237" s="39"/>
      <c r="L237" s="39"/>
      <c r="M237" s="39"/>
      <c r="N237" s="39"/>
      <c r="O237" s="39"/>
      <c r="P237" s="39"/>
      <c r="Q237" s="39"/>
    </row>
    <row r="238" spans="3:17" hidden="1">
      <c r="C238" s="64"/>
      <c r="D238" s="65"/>
      <c r="E238" s="64"/>
      <c r="F238" s="39"/>
      <c r="G238" s="39"/>
      <c r="H238" s="39"/>
      <c r="I238" s="39"/>
      <c r="J238" s="39"/>
      <c r="K238" s="39"/>
      <c r="L238" s="39"/>
      <c r="M238" s="39"/>
      <c r="N238" s="39"/>
      <c r="O238" s="39"/>
      <c r="P238" s="39"/>
      <c r="Q238" s="39"/>
    </row>
    <row r="239" spans="3:17" hidden="1">
      <c r="C239" s="64"/>
      <c r="D239" s="65"/>
      <c r="E239" s="64"/>
      <c r="F239" s="39"/>
      <c r="G239" s="39"/>
      <c r="H239" s="39"/>
      <c r="I239" s="39"/>
      <c r="J239" s="39"/>
      <c r="K239" s="39"/>
      <c r="L239" s="39"/>
      <c r="M239" s="39"/>
      <c r="N239" s="39"/>
      <c r="O239" s="39"/>
      <c r="P239" s="39"/>
      <c r="Q239" s="39"/>
    </row>
    <row r="240" spans="3:17" hidden="1">
      <c r="C240" s="64"/>
      <c r="D240" s="65"/>
      <c r="E240" s="64"/>
      <c r="F240" s="39"/>
      <c r="G240" s="39"/>
      <c r="H240" s="39"/>
      <c r="I240" s="39"/>
      <c r="J240" s="39"/>
      <c r="K240" s="39"/>
      <c r="L240" s="39"/>
      <c r="M240" s="39"/>
      <c r="N240" s="39"/>
      <c r="O240" s="39"/>
      <c r="P240" s="39"/>
      <c r="Q240" s="39"/>
    </row>
    <row r="241" spans="3:17" hidden="1">
      <c r="C241" s="64"/>
      <c r="D241" s="65"/>
      <c r="E241" s="64"/>
      <c r="F241" s="39"/>
      <c r="G241" s="39"/>
      <c r="H241" s="39"/>
      <c r="I241" s="39"/>
      <c r="J241" s="39"/>
      <c r="K241" s="39"/>
      <c r="L241" s="39"/>
      <c r="M241" s="39"/>
      <c r="N241" s="39"/>
      <c r="O241" s="39"/>
      <c r="P241" s="39"/>
      <c r="Q241" s="39"/>
    </row>
    <row r="242" spans="3:17" hidden="1">
      <c r="C242" s="64"/>
      <c r="D242" s="65"/>
      <c r="E242" s="64"/>
      <c r="F242" s="39"/>
      <c r="G242" s="39"/>
      <c r="H242" s="39"/>
      <c r="I242" s="39"/>
      <c r="J242" s="39"/>
      <c r="K242" s="39"/>
      <c r="L242" s="39"/>
      <c r="M242" s="39"/>
      <c r="N242" s="39"/>
      <c r="O242" s="39"/>
      <c r="P242" s="39"/>
      <c r="Q242" s="39"/>
    </row>
    <row r="243" spans="3:17" hidden="1">
      <c r="C243" s="64"/>
      <c r="D243" s="65"/>
      <c r="E243" s="64"/>
      <c r="F243" s="39"/>
      <c r="G243" s="39"/>
      <c r="H243" s="39"/>
      <c r="I243" s="39"/>
      <c r="J243" s="39"/>
      <c r="K243" s="39"/>
      <c r="L243" s="39"/>
      <c r="M243" s="39"/>
      <c r="N243" s="39"/>
      <c r="O243" s="39"/>
      <c r="P243" s="39"/>
      <c r="Q243" s="39"/>
    </row>
    <row r="244" spans="3:17" hidden="1">
      <c r="C244" s="64"/>
      <c r="D244" s="65"/>
      <c r="E244" s="64"/>
      <c r="F244" s="39"/>
      <c r="G244" s="39"/>
      <c r="H244" s="39"/>
      <c r="I244" s="39"/>
      <c r="J244" s="39"/>
      <c r="K244" s="39"/>
      <c r="L244" s="39"/>
      <c r="M244" s="39"/>
      <c r="N244" s="39"/>
      <c r="O244" s="39"/>
      <c r="P244" s="39"/>
      <c r="Q244" s="39"/>
    </row>
    <row r="245" spans="3:17" hidden="1">
      <c r="C245" s="64"/>
      <c r="D245" s="65"/>
      <c r="E245" s="64"/>
      <c r="F245" s="39"/>
      <c r="G245" s="39"/>
      <c r="H245" s="39"/>
      <c r="I245" s="39"/>
      <c r="J245" s="39"/>
      <c r="K245" s="39"/>
      <c r="L245" s="39"/>
      <c r="M245" s="39"/>
      <c r="N245" s="39"/>
      <c r="O245" s="39"/>
      <c r="P245" s="39"/>
      <c r="Q245" s="39"/>
    </row>
    <row r="246" spans="3:17" hidden="1">
      <c r="C246" s="64"/>
      <c r="D246" s="65"/>
      <c r="E246" s="64"/>
      <c r="F246" s="39"/>
      <c r="G246" s="39"/>
      <c r="H246" s="39"/>
      <c r="I246" s="39"/>
      <c r="J246" s="39"/>
      <c r="K246" s="39"/>
      <c r="L246" s="39"/>
      <c r="M246" s="39"/>
      <c r="N246" s="39"/>
      <c r="O246" s="39"/>
      <c r="P246" s="39"/>
      <c r="Q246" s="39"/>
    </row>
    <row r="247" spans="3:17" hidden="1">
      <c r="C247" s="64"/>
      <c r="D247" s="65"/>
      <c r="E247" s="64"/>
      <c r="F247" s="39"/>
      <c r="G247" s="39"/>
      <c r="H247" s="39"/>
      <c r="I247" s="39"/>
      <c r="J247" s="39"/>
      <c r="K247" s="39"/>
      <c r="L247" s="39"/>
      <c r="M247" s="39"/>
      <c r="N247" s="39"/>
      <c r="O247" s="39"/>
      <c r="P247" s="39"/>
      <c r="Q247" s="39"/>
    </row>
    <row r="248" spans="3:17" hidden="1">
      <c r="C248" s="64"/>
      <c r="D248" s="65"/>
      <c r="E248" s="64"/>
      <c r="F248" s="39"/>
      <c r="G248" s="39"/>
      <c r="H248" s="39"/>
      <c r="I248" s="39"/>
      <c r="J248" s="39"/>
      <c r="K248" s="39"/>
      <c r="L248" s="39"/>
      <c r="M248" s="39"/>
      <c r="N248" s="39"/>
      <c r="O248" s="39"/>
      <c r="P248" s="39"/>
      <c r="Q248" s="39"/>
    </row>
    <row r="249" spans="3:17" hidden="1">
      <c r="C249" s="64"/>
      <c r="D249" s="65"/>
      <c r="E249" s="64"/>
      <c r="F249" s="39"/>
      <c r="G249" s="39"/>
      <c r="H249" s="39"/>
      <c r="I249" s="39"/>
      <c r="J249" s="39"/>
      <c r="K249" s="39"/>
      <c r="L249" s="39"/>
      <c r="M249" s="39"/>
      <c r="N249" s="39"/>
      <c r="O249" s="39"/>
      <c r="P249" s="39"/>
      <c r="Q249" s="39"/>
    </row>
    <row r="250" spans="3:17" hidden="1">
      <c r="C250" s="64"/>
      <c r="D250" s="65"/>
      <c r="E250" s="64"/>
      <c r="F250" s="39"/>
      <c r="G250" s="39"/>
      <c r="H250" s="39"/>
      <c r="I250" s="39"/>
      <c r="J250" s="39"/>
      <c r="K250" s="39"/>
      <c r="L250" s="39"/>
      <c r="M250" s="39"/>
      <c r="N250" s="39"/>
      <c r="O250" s="39"/>
      <c r="P250" s="39"/>
      <c r="Q250" s="39"/>
    </row>
    <row r="251" spans="3:17" hidden="1">
      <c r="C251" s="64"/>
      <c r="D251" s="65"/>
      <c r="E251" s="64"/>
      <c r="F251" s="39"/>
      <c r="G251" s="39"/>
      <c r="H251" s="39"/>
      <c r="I251" s="39"/>
      <c r="J251" s="39"/>
      <c r="K251" s="39"/>
      <c r="L251" s="39"/>
      <c r="M251" s="39"/>
      <c r="N251" s="39"/>
      <c r="O251" s="39"/>
      <c r="P251" s="39"/>
      <c r="Q251" s="39"/>
    </row>
    <row r="252" spans="3:17" hidden="1">
      <c r="C252" s="64"/>
      <c r="D252" s="65"/>
      <c r="E252" s="64"/>
      <c r="F252" s="39"/>
      <c r="G252" s="39"/>
      <c r="H252" s="39"/>
      <c r="I252" s="39"/>
      <c r="J252" s="39"/>
      <c r="K252" s="39"/>
      <c r="L252" s="39"/>
      <c r="M252" s="39"/>
      <c r="N252" s="39"/>
      <c r="O252" s="39"/>
      <c r="P252" s="39"/>
      <c r="Q252" s="39"/>
    </row>
    <row r="253" spans="3:17" hidden="1">
      <c r="C253" s="64"/>
      <c r="D253" s="65"/>
      <c r="E253" s="64"/>
      <c r="F253" s="39"/>
      <c r="G253" s="39"/>
      <c r="H253" s="39"/>
      <c r="I253" s="39"/>
      <c r="J253" s="39"/>
      <c r="K253" s="39"/>
      <c r="L253" s="39"/>
      <c r="M253" s="39"/>
      <c r="N253" s="39"/>
      <c r="O253" s="39"/>
      <c r="P253" s="39"/>
      <c r="Q253" s="39"/>
    </row>
    <row r="254" spans="3:17" hidden="1">
      <c r="C254" s="64"/>
      <c r="D254" s="65"/>
      <c r="E254" s="64"/>
      <c r="F254" s="39"/>
      <c r="G254" s="39"/>
      <c r="H254" s="39"/>
      <c r="I254" s="39"/>
      <c r="J254" s="39"/>
      <c r="K254" s="39"/>
      <c r="L254" s="39"/>
      <c r="M254" s="39"/>
      <c r="N254" s="39"/>
      <c r="O254" s="39"/>
      <c r="P254" s="39"/>
      <c r="Q254" s="39"/>
    </row>
    <row r="255" spans="3:17" hidden="1">
      <c r="C255" s="64"/>
      <c r="D255" s="65"/>
      <c r="E255" s="64"/>
      <c r="F255" s="39"/>
      <c r="G255" s="39"/>
      <c r="H255" s="39"/>
      <c r="I255" s="39"/>
      <c r="J255" s="39"/>
      <c r="K255" s="39"/>
      <c r="L255" s="39"/>
      <c r="M255" s="39"/>
      <c r="N255" s="39"/>
      <c r="O255" s="39"/>
      <c r="P255" s="39"/>
      <c r="Q255" s="39"/>
    </row>
    <row r="256" spans="3:17" hidden="1">
      <c r="C256" s="64"/>
      <c r="D256" s="65"/>
      <c r="E256" s="64"/>
      <c r="F256" s="39"/>
      <c r="G256" s="39"/>
      <c r="H256" s="39"/>
      <c r="I256" s="39"/>
      <c r="J256" s="39"/>
      <c r="K256" s="39"/>
      <c r="L256" s="39"/>
      <c r="M256" s="39"/>
      <c r="N256" s="39"/>
      <c r="O256" s="39"/>
      <c r="P256" s="39"/>
      <c r="Q256" s="39"/>
    </row>
    <row r="257" spans="3:17" hidden="1">
      <c r="C257" s="64"/>
      <c r="D257" s="65"/>
      <c r="E257" s="64"/>
      <c r="F257" s="39"/>
      <c r="G257" s="39"/>
      <c r="H257" s="39"/>
      <c r="I257" s="39"/>
      <c r="J257" s="39"/>
      <c r="K257" s="39"/>
      <c r="L257" s="39"/>
      <c r="M257" s="39"/>
      <c r="N257" s="39"/>
      <c r="O257" s="39"/>
      <c r="P257" s="39"/>
      <c r="Q257" s="39"/>
    </row>
    <row r="258" spans="3:17" hidden="1">
      <c r="C258" s="64"/>
      <c r="D258" s="65"/>
      <c r="E258" s="64"/>
      <c r="F258" s="39"/>
      <c r="G258" s="39"/>
      <c r="H258" s="39"/>
      <c r="I258" s="39"/>
      <c r="J258" s="39"/>
      <c r="K258" s="39"/>
      <c r="L258" s="39"/>
      <c r="M258" s="39"/>
      <c r="N258" s="39"/>
      <c r="O258" s="39"/>
      <c r="P258" s="39"/>
      <c r="Q258" s="39"/>
    </row>
    <row r="259" spans="3:17" hidden="1">
      <c r="C259" s="64"/>
      <c r="D259" s="65"/>
      <c r="E259" s="64"/>
      <c r="F259" s="39"/>
      <c r="G259" s="39"/>
      <c r="H259" s="39"/>
      <c r="I259" s="39"/>
      <c r="J259" s="39"/>
      <c r="K259" s="39"/>
      <c r="L259" s="39"/>
      <c r="M259" s="39"/>
      <c r="N259" s="39"/>
      <c r="O259" s="39"/>
      <c r="P259" s="39"/>
      <c r="Q259" s="39"/>
    </row>
    <row r="260" spans="3:17" hidden="1">
      <c r="C260" s="64"/>
      <c r="D260" s="65"/>
      <c r="E260" s="64"/>
      <c r="F260" s="39"/>
      <c r="G260" s="39"/>
      <c r="H260" s="39"/>
      <c r="I260" s="39"/>
      <c r="J260" s="39"/>
      <c r="K260" s="39"/>
      <c r="L260" s="39"/>
      <c r="M260" s="39"/>
      <c r="N260" s="39"/>
      <c r="O260" s="39"/>
      <c r="P260" s="39"/>
      <c r="Q260" s="39"/>
    </row>
    <row r="261" spans="3:17" hidden="1">
      <c r="C261" s="64"/>
      <c r="D261" s="65"/>
      <c r="E261" s="64"/>
      <c r="F261" s="39"/>
      <c r="G261" s="39"/>
      <c r="H261" s="39"/>
      <c r="I261" s="39"/>
      <c r="J261" s="39"/>
      <c r="K261" s="39"/>
      <c r="L261" s="39"/>
      <c r="M261" s="39"/>
      <c r="N261" s="39"/>
      <c r="O261" s="39"/>
      <c r="P261" s="39"/>
      <c r="Q261" s="39"/>
    </row>
    <row r="262" spans="3:17" hidden="1">
      <c r="C262" s="64"/>
      <c r="D262" s="65"/>
      <c r="E262" s="64"/>
      <c r="F262" s="39"/>
      <c r="G262" s="39"/>
      <c r="H262" s="39"/>
      <c r="I262" s="39"/>
      <c r="J262" s="39"/>
      <c r="K262" s="39"/>
      <c r="L262" s="39"/>
      <c r="M262" s="39"/>
      <c r="N262" s="39"/>
      <c r="O262" s="39"/>
      <c r="P262" s="39"/>
      <c r="Q262" s="39"/>
    </row>
    <row r="263" spans="3:17" hidden="1">
      <c r="C263" s="64"/>
      <c r="D263" s="65"/>
      <c r="E263" s="64"/>
      <c r="F263" s="39"/>
      <c r="G263" s="39"/>
      <c r="H263" s="39"/>
      <c r="I263" s="39"/>
      <c r="J263" s="39"/>
      <c r="K263" s="39"/>
      <c r="L263" s="39"/>
      <c r="M263" s="39"/>
      <c r="N263" s="39"/>
      <c r="O263" s="39"/>
      <c r="P263" s="39"/>
      <c r="Q263" s="39"/>
    </row>
    <row r="264" spans="3:17" hidden="1">
      <c r="C264" s="64"/>
      <c r="D264" s="65"/>
      <c r="E264" s="64"/>
      <c r="F264" s="39"/>
      <c r="G264" s="39"/>
      <c r="H264" s="39"/>
      <c r="I264" s="39"/>
      <c r="J264" s="39"/>
      <c r="K264" s="39"/>
      <c r="L264" s="39"/>
      <c r="M264" s="39"/>
      <c r="N264" s="39"/>
      <c r="O264" s="39"/>
      <c r="P264" s="39"/>
      <c r="Q264" s="39"/>
    </row>
    <row r="265" spans="3:17" hidden="1">
      <c r="C265" s="64"/>
      <c r="D265" s="65"/>
      <c r="E265" s="64"/>
      <c r="F265" s="39"/>
      <c r="G265" s="39"/>
      <c r="H265" s="39"/>
      <c r="I265" s="39"/>
      <c r="J265" s="39"/>
      <c r="K265" s="39"/>
      <c r="L265" s="39"/>
      <c r="M265" s="39"/>
      <c r="N265" s="39"/>
      <c r="O265" s="39"/>
      <c r="P265" s="39"/>
      <c r="Q265" s="39"/>
    </row>
    <row r="266" spans="3:17" hidden="1">
      <c r="C266" s="64"/>
      <c r="D266" s="65"/>
      <c r="E266" s="64"/>
      <c r="F266" s="39"/>
      <c r="G266" s="39"/>
      <c r="H266" s="39"/>
      <c r="I266" s="39"/>
      <c r="J266" s="39"/>
      <c r="K266" s="39"/>
      <c r="L266" s="39"/>
      <c r="M266" s="39"/>
      <c r="N266" s="39"/>
      <c r="O266" s="39"/>
      <c r="P266" s="39"/>
      <c r="Q266" s="39"/>
    </row>
    <row r="267" spans="3:17" hidden="1">
      <c r="C267" s="64"/>
      <c r="D267" s="65"/>
      <c r="E267" s="64"/>
      <c r="F267" s="39"/>
      <c r="G267" s="39"/>
      <c r="H267" s="39"/>
      <c r="I267" s="39"/>
      <c r="J267" s="39"/>
      <c r="K267" s="39"/>
      <c r="L267" s="39"/>
      <c r="M267" s="39"/>
      <c r="N267" s="39"/>
      <c r="O267" s="39"/>
      <c r="P267" s="39"/>
      <c r="Q267" s="39"/>
    </row>
    <row r="268" spans="3:17" hidden="1">
      <c r="C268" s="64"/>
      <c r="D268" s="65"/>
      <c r="E268" s="64"/>
      <c r="F268" s="39"/>
      <c r="G268" s="39"/>
      <c r="H268" s="39"/>
      <c r="I268" s="39"/>
      <c r="J268" s="39"/>
      <c r="K268" s="39"/>
      <c r="L268" s="39"/>
      <c r="M268" s="39"/>
      <c r="N268" s="39"/>
      <c r="O268" s="39"/>
      <c r="P268" s="39"/>
      <c r="Q268" s="39"/>
    </row>
    <row r="269" spans="3:17" hidden="1">
      <c r="C269" s="64"/>
      <c r="D269" s="65"/>
      <c r="E269" s="64"/>
      <c r="F269" s="39"/>
      <c r="G269" s="39"/>
      <c r="H269" s="39"/>
      <c r="I269" s="39"/>
      <c r="J269" s="39"/>
      <c r="K269" s="39"/>
      <c r="L269" s="39"/>
      <c r="M269" s="39"/>
      <c r="N269" s="39"/>
      <c r="O269" s="39"/>
      <c r="P269" s="39"/>
      <c r="Q269" s="39"/>
    </row>
    <row r="270" spans="3:17" hidden="1">
      <c r="C270" s="64"/>
      <c r="D270" s="65"/>
      <c r="E270" s="64"/>
      <c r="F270" s="39"/>
      <c r="G270" s="39"/>
      <c r="H270" s="39"/>
      <c r="I270" s="39"/>
      <c r="J270" s="39"/>
      <c r="K270" s="39"/>
      <c r="L270" s="39"/>
      <c r="M270" s="39"/>
      <c r="N270" s="39"/>
      <c r="O270" s="39"/>
      <c r="P270" s="39"/>
      <c r="Q270" s="39"/>
    </row>
  </sheetData>
  <sheetProtection password="BD7E" sheet="1" objects="1" scenario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57150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276225</xdr:colOff>
                    <xdr:row>0</xdr:row>
                    <xdr:rowOff>0</xdr:rowOff>
                  </from>
                  <to>
                    <xdr:col>6</xdr:col>
                    <xdr:colOff>1333500</xdr:colOff>
                    <xdr:row>1</xdr:row>
                    <xdr:rowOff>57150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1381125</xdr:colOff>
                    <xdr:row>0</xdr:row>
                    <xdr:rowOff>0</xdr:rowOff>
                  </from>
                  <to>
                    <xdr:col>7</xdr:col>
                    <xdr:colOff>504825</xdr:colOff>
                    <xdr:row>1</xdr:row>
                    <xdr:rowOff>57150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0</xdr:row>
                    <xdr:rowOff>0</xdr:rowOff>
                  </from>
                  <to>
                    <xdr:col>6</xdr:col>
                    <xdr:colOff>209550</xdr:colOff>
                    <xdr:row>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H83"/>
  <sheetViews>
    <sheetView showGridLines="0" zoomScaleNormal="100" workbookViewId="0"/>
  </sheetViews>
  <sheetFormatPr defaultColWidth="8.85546875" defaultRowHeight="15" zeroHeight="1"/>
  <cols>
    <col min="1" max="1" width="17.7109375" customWidth="1"/>
    <col min="2" max="2" width="6.7109375" customWidth="1"/>
    <col min="3" max="3" width="41.7109375" customWidth="1"/>
    <col min="4" max="4" width="14.5703125" customWidth="1"/>
    <col min="5" max="59" width="15.7109375" customWidth="1"/>
  </cols>
  <sheetData>
    <row r="1" spans="1:60" ht="18.600000000000001" customHeight="1">
      <c r="A1" s="100" t="s">
        <v>226</v>
      </c>
      <c r="C1" s="16" t="s">
        <v>221</v>
      </c>
      <c r="D1" s="16"/>
      <c r="E1" s="3"/>
      <c r="F1" s="3"/>
      <c r="G1" s="3"/>
      <c r="H1" s="4"/>
      <c r="I1" s="1"/>
      <c r="J1" s="1"/>
      <c r="K1" s="1"/>
      <c r="L1" s="1"/>
      <c r="M1" s="1"/>
      <c r="N1" s="1"/>
      <c r="O1" s="1"/>
      <c r="P1" s="98" t="s">
        <v>213</v>
      </c>
      <c r="Q1" s="1"/>
      <c r="S1" s="1"/>
      <c r="T1" s="1"/>
      <c r="U1" s="1"/>
    </row>
    <row r="2" spans="1:60" ht="18.75">
      <c r="C2" s="3"/>
      <c r="D2" s="3"/>
      <c r="E2" s="3"/>
      <c r="F2" s="3"/>
      <c r="G2" s="3"/>
      <c r="H2" s="4"/>
      <c r="I2" s="1"/>
      <c r="J2" s="1"/>
      <c r="K2" s="1"/>
      <c r="L2" s="1"/>
      <c r="M2" s="1"/>
      <c r="N2" s="1"/>
      <c r="O2" s="1"/>
      <c r="P2" s="98" t="s">
        <v>214</v>
      </c>
      <c r="Q2" s="1"/>
      <c r="S2" s="1"/>
      <c r="T2" s="1"/>
      <c r="U2" s="1"/>
    </row>
    <row r="3" spans="1:60" ht="18.75">
      <c r="C3" s="96" t="s">
        <v>5</v>
      </c>
      <c r="D3" s="93" t="str">
        <f>IF('Wksh 1 - Market Experience'!C3&lt;&gt;"", 'Wksh 1 - Market Experience'!C3,"")</f>
        <v/>
      </c>
      <c r="F3" s="6"/>
      <c r="G3" s="6"/>
      <c r="J3" s="1"/>
      <c r="K3" s="1"/>
      <c r="P3" s="99" t="s">
        <v>215</v>
      </c>
    </row>
    <row r="4" spans="1:60" ht="18.75">
      <c r="C4" s="97" t="s">
        <v>6</v>
      </c>
      <c r="D4" s="94" t="str">
        <f>IF('Wksh 1 - Market Experience'!C4&lt;&gt;"", 'Wksh 1 - Market Experience'!C4,"")</f>
        <v/>
      </c>
      <c r="E4" s="96" t="s">
        <v>7</v>
      </c>
      <c r="F4" s="101" t="str">
        <f>IF('Wksh 1 - Market Experience'!E4&lt;&gt;"",'Wksh 1 - Market Experience'!E4,"")</f>
        <v/>
      </c>
      <c r="G4" s="7"/>
      <c r="J4" s="1"/>
      <c r="K4" s="1"/>
      <c r="P4" s="99" t="s">
        <v>216</v>
      </c>
    </row>
    <row r="5" spans="1:60" ht="15.75">
      <c r="C5" s="96" t="s">
        <v>14</v>
      </c>
      <c r="D5" s="95">
        <f>IF('Wksh 1 - Market Experience'!C5&lt;&gt;"", 'Wksh 1 - Market Experience'!C5,"")</f>
        <v>0</v>
      </c>
      <c r="E5" s="96" t="s">
        <v>9</v>
      </c>
      <c r="F5" s="101" t="str">
        <f>IF('Wksh 1 - Market Experience'!E5&lt;&gt;"",'Wksh 1 - Market Experience'!E5,"")</f>
        <v/>
      </c>
      <c r="G5" s="1"/>
      <c r="H5" s="1"/>
      <c r="I5" s="1"/>
      <c r="J5" s="1"/>
      <c r="K5" s="1"/>
      <c r="L5" s="1"/>
      <c r="P5" s="99" t="s">
        <v>223</v>
      </c>
    </row>
    <row r="6" spans="1:60">
      <c r="C6" s="1"/>
      <c r="D6" s="1"/>
      <c r="E6" s="1"/>
      <c r="F6" s="1"/>
      <c r="G6" s="1"/>
      <c r="H6" s="2"/>
      <c r="I6" s="1"/>
      <c r="J6" s="1"/>
      <c r="K6" s="1"/>
      <c r="L6" s="1"/>
      <c r="M6" s="1"/>
      <c r="N6" s="1"/>
      <c r="O6" s="1"/>
      <c r="P6" s="99" t="s">
        <v>224</v>
      </c>
      <c r="Q6" s="1"/>
      <c r="R6" s="1"/>
      <c r="S6" s="1"/>
      <c r="T6" s="1"/>
      <c r="U6" s="1"/>
    </row>
    <row r="7" spans="1:60">
      <c r="C7" s="280" t="s">
        <v>15</v>
      </c>
      <c r="D7" s="281"/>
      <c r="E7" s="281"/>
      <c r="F7" s="281"/>
      <c r="G7" s="281"/>
      <c r="H7" s="281"/>
      <c r="I7" s="281"/>
      <c r="J7" s="281"/>
      <c r="K7" s="281"/>
      <c r="L7" s="281"/>
      <c r="M7" s="281"/>
      <c r="N7" s="281"/>
      <c r="O7" s="281"/>
      <c r="P7" s="281"/>
      <c r="Q7" s="281"/>
      <c r="R7" s="281"/>
      <c r="S7" s="281"/>
      <c r="T7" s="281"/>
      <c r="U7" s="281"/>
      <c r="V7" s="282"/>
    </row>
    <row r="8" spans="1:60">
      <c r="C8" s="283"/>
      <c r="D8" s="284"/>
      <c r="E8" s="284"/>
      <c r="F8" s="284"/>
      <c r="G8" s="284"/>
      <c r="H8" s="284"/>
      <c r="I8" s="284"/>
      <c r="J8" s="284"/>
      <c r="K8" s="284"/>
      <c r="L8" s="284"/>
      <c r="M8" s="284"/>
      <c r="N8" s="284"/>
      <c r="O8" s="284"/>
      <c r="P8" s="284"/>
      <c r="Q8" s="284"/>
      <c r="R8" s="284"/>
      <c r="S8" s="284"/>
      <c r="T8" s="284"/>
      <c r="U8" s="284"/>
      <c r="V8" s="285"/>
    </row>
    <row r="9" spans="1:60">
      <c r="B9" t="s">
        <v>103</v>
      </c>
      <c r="C9" s="19" t="s">
        <v>77</v>
      </c>
      <c r="D9" s="19"/>
      <c r="E9" s="17"/>
      <c r="F9" s="17"/>
      <c r="G9" s="17"/>
      <c r="H9" s="18"/>
      <c r="I9" s="17"/>
      <c r="J9" s="17"/>
      <c r="K9" s="17"/>
      <c r="L9" s="17"/>
      <c r="M9" s="17"/>
      <c r="N9" s="17"/>
      <c r="O9" s="17"/>
      <c r="P9" s="17"/>
      <c r="Q9" s="17"/>
      <c r="R9" s="17"/>
      <c r="S9" s="17"/>
      <c r="T9" s="17"/>
      <c r="U9" s="17"/>
    </row>
    <row r="10" spans="1:60" ht="15" customHeight="1">
      <c r="B10" s="146" t="s">
        <v>155</v>
      </c>
      <c r="C10" s="168" t="s">
        <v>104</v>
      </c>
      <c r="D10" s="220"/>
      <c r="E10" s="286" t="s">
        <v>248</v>
      </c>
      <c r="F10" s="286"/>
      <c r="G10" s="286"/>
      <c r="H10" s="286"/>
      <c r="I10" s="286"/>
      <c r="J10" s="286"/>
      <c r="K10" s="286"/>
      <c r="L10" s="286"/>
      <c r="M10" s="286"/>
      <c r="N10" s="286"/>
      <c r="O10" s="286"/>
      <c r="P10" s="286"/>
      <c r="Q10" s="286"/>
      <c r="R10" s="286"/>
      <c r="S10" s="286"/>
      <c r="T10" s="286"/>
      <c r="U10" s="286"/>
      <c r="V10" s="286"/>
      <c r="W10" s="286"/>
      <c r="X10" s="286"/>
      <c r="Y10" s="286"/>
      <c r="Z10" s="286"/>
      <c r="AA10" s="286"/>
      <c r="AB10" s="286"/>
      <c r="AC10" s="286"/>
      <c r="AD10" s="286"/>
      <c r="AE10" s="286"/>
      <c r="AF10" s="286"/>
      <c r="AG10" s="286"/>
      <c r="AH10" s="286"/>
      <c r="AI10" s="286"/>
      <c r="AJ10" s="286"/>
      <c r="AK10" s="286"/>
      <c r="AL10" s="286"/>
      <c r="AM10" s="286"/>
      <c r="AN10" s="286"/>
      <c r="AO10" s="286"/>
      <c r="AP10" s="286"/>
      <c r="AQ10" s="286"/>
      <c r="AR10" s="286"/>
      <c r="AS10" s="286"/>
      <c r="AT10" s="286"/>
      <c r="AU10" s="286"/>
      <c r="AV10" s="286"/>
      <c r="AW10" s="286"/>
      <c r="AX10" s="286"/>
      <c r="AY10" s="286"/>
      <c r="AZ10" s="286"/>
      <c r="BA10" s="286"/>
      <c r="BB10" s="286"/>
      <c r="BC10" s="286"/>
      <c r="BD10" s="286"/>
      <c r="BE10" s="286"/>
      <c r="BF10" s="286"/>
      <c r="BG10" s="286"/>
      <c r="BH10" s="286"/>
    </row>
    <row r="11" spans="1:60" ht="15" customHeight="1">
      <c r="B11" s="146" t="s">
        <v>156</v>
      </c>
      <c r="C11" s="168" t="s">
        <v>105</v>
      </c>
      <c r="D11" s="221"/>
      <c r="E11" s="286" t="s">
        <v>247</v>
      </c>
      <c r="F11" s="286"/>
      <c r="G11" s="286"/>
      <c r="H11" s="286"/>
      <c r="I11" s="286"/>
      <c r="J11" s="286"/>
      <c r="K11" s="286"/>
      <c r="L11" s="286"/>
      <c r="M11" s="286"/>
      <c r="N11" s="286"/>
      <c r="O11" s="286"/>
      <c r="P11" s="286"/>
      <c r="Q11" s="286"/>
      <c r="R11" s="286"/>
      <c r="S11" s="286"/>
      <c r="T11" s="286"/>
      <c r="U11" s="286"/>
      <c r="V11" s="286"/>
      <c r="W11" s="286"/>
      <c r="X11" s="286"/>
      <c r="Y11" s="286"/>
      <c r="Z11" s="286"/>
      <c r="AA11" s="286"/>
      <c r="AB11" s="286"/>
      <c r="AC11" s="286"/>
      <c r="AD11" s="286"/>
      <c r="AE11" s="286"/>
      <c r="AF11" s="286"/>
      <c r="AG11" s="286"/>
      <c r="AH11" s="286"/>
      <c r="AI11" s="286"/>
      <c r="AJ11" s="286"/>
      <c r="AK11" s="286"/>
      <c r="AL11" s="286"/>
      <c r="AM11" s="286"/>
      <c r="AN11" s="286"/>
      <c r="AO11" s="286"/>
      <c r="AP11" s="286"/>
      <c r="AQ11" s="286"/>
      <c r="AR11" s="286"/>
      <c r="AS11" s="286"/>
      <c r="AT11" s="286"/>
      <c r="AU11" s="286"/>
      <c r="AV11" s="286"/>
      <c r="AW11" s="286"/>
      <c r="AX11" s="286"/>
      <c r="AY11" s="286"/>
      <c r="AZ11" s="286"/>
      <c r="BA11" s="286"/>
      <c r="BB11" s="286"/>
      <c r="BC11" s="286"/>
      <c r="BD11" s="286"/>
      <c r="BE11" s="286"/>
      <c r="BF11" s="286"/>
      <c r="BG11" s="286"/>
      <c r="BH11" s="286"/>
    </row>
    <row r="12" spans="1:60" ht="15" customHeight="1">
      <c r="B12" s="146" t="s">
        <v>157</v>
      </c>
      <c r="C12" s="168" t="s">
        <v>10</v>
      </c>
      <c r="D12" s="221"/>
      <c r="E12" s="179"/>
      <c r="F12" s="179"/>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row>
    <row r="13" spans="1:60" ht="15" customHeight="1">
      <c r="B13" s="146" t="s">
        <v>158</v>
      </c>
      <c r="C13" s="168" t="s">
        <v>106</v>
      </c>
      <c r="D13" s="221"/>
      <c r="E13" s="180" t="s">
        <v>249</v>
      </c>
      <c r="F13" s="180" t="s">
        <v>251</v>
      </c>
      <c r="G13" s="180" t="s">
        <v>252</v>
      </c>
      <c r="H13" s="180" t="s">
        <v>253</v>
      </c>
      <c r="I13" s="180" t="s">
        <v>254</v>
      </c>
      <c r="J13" s="180" t="s">
        <v>255</v>
      </c>
      <c r="K13" s="180" t="s">
        <v>256</v>
      </c>
      <c r="L13" s="180" t="s">
        <v>257</v>
      </c>
      <c r="M13" s="180" t="s">
        <v>258</v>
      </c>
      <c r="N13" s="180" t="s">
        <v>259</v>
      </c>
      <c r="O13" s="180" t="s">
        <v>260</v>
      </c>
      <c r="P13" s="180" t="s">
        <v>261</v>
      </c>
      <c r="Q13" s="180" t="s">
        <v>262</v>
      </c>
      <c r="R13" s="180" t="s">
        <v>263</v>
      </c>
      <c r="S13" s="180" t="s">
        <v>264</v>
      </c>
      <c r="T13" s="180" t="s">
        <v>265</v>
      </c>
      <c r="U13" s="180" t="s">
        <v>266</v>
      </c>
      <c r="V13" s="180" t="s">
        <v>267</v>
      </c>
      <c r="W13" s="180" t="s">
        <v>268</v>
      </c>
      <c r="X13" s="180" t="s">
        <v>269</v>
      </c>
      <c r="Y13" s="180" t="s">
        <v>270</v>
      </c>
      <c r="Z13" s="180" t="s">
        <v>271</v>
      </c>
      <c r="AA13" s="180" t="s">
        <v>272</v>
      </c>
      <c r="AB13" s="180" t="s">
        <v>273</v>
      </c>
      <c r="AC13" s="180" t="s">
        <v>274</v>
      </c>
      <c r="AD13" s="180" t="s">
        <v>275</v>
      </c>
      <c r="AE13" s="180" t="s">
        <v>276</v>
      </c>
      <c r="AF13" s="180" t="s">
        <v>277</v>
      </c>
      <c r="AG13" s="180" t="s">
        <v>278</v>
      </c>
      <c r="AH13" s="180" t="s">
        <v>279</v>
      </c>
      <c r="AI13" s="180" t="s">
        <v>280</v>
      </c>
      <c r="AJ13" s="180" t="s">
        <v>281</v>
      </c>
      <c r="AK13" s="180" t="s">
        <v>282</v>
      </c>
      <c r="AL13" s="180" t="s">
        <v>283</v>
      </c>
      <c r="AM13" s="180" t="s">
        <v>284</v>
      </c>
      <c r="AN13" s="180" t="s">
        <v>285</v>
      </c>
      <c r="AO13" s="180" t="s">
        <v>286</v>
      </c>
      <c r="AP13" s="180" t="s">
        <v>287</v>
      </c>
      <c r="AQ13" s="180" t="s">
        <v>288</v>
      </c>
      <c r="AR13" s="180" t="s">
        <v>289</v>
      </c>
      <c r="AS13" s="180" t="s">
        <v>290</v>
      </c>
      <c r="AT13" s="180" t="s">
        <v>291</v>
      </c>
      <c r="AU13" s="180" t="s">
        <v>292</v>
      </c>
      <c r="AV13" s="180" t="s">
        <v>293</v>
      </c>
      <c r="AW13" s="180" t="s">
        <v>294</v>
      </c>
      <c r="AX13" s="180" t="s">
        <v>295</v>
      </c>
      <c r="AY13" s="180" t="s">
        <v>296</v>
      </c>
      <c r="AZ13" s="180" t="s">
        <v>297</v>
      </c>
      <c r="BA13" s="180" t="s">
        <v>298</v>
      </c>
      <c r="BB13" s="180" t="s">
        <v>299</v>
      </c>
      <c r="BC13" s="180" t="s">
        <v>300</v>
      </c>
      <c r="BD13" s="180" t="s">
        <v>301</v>
      </c>
      <c r="BE13" s="180" t="s">
        <v>302</v>
      </c>
      <c r="BF13" s="180" t="s">
        <v>303</v>
      </c>
      <c r="BG13" s="180" t="s">
        <v>304</v>
      </c>
      <c r="BH13" s="180" t="s">
        <v>305</v>
      </c>
    </row>
    <row r="14" spans="1:60" ht="15" customHeight="1">
      <c r="B14" s="146" t="s">
        <v>159</v>
      </c>
      <c r="C14" s="168" t="s">
        <v>107</v>
      </c>
      <c r="D14" s="221"/>
      <c r="E14" s="181" t="s">
        <v>142</v>
      </c>
      <c r="F14" s="181" t="s">
        <v>142</v>
      </c>
      <c r="G14" s="181" t="s">
        <v>140</v>
      </c>
      <c r="H14" s="181" t="s">
        <v>140</v>
      </c>
      <c r="I14" s="181" t="s">
        <v>140</v>
      </c>
      <c r="J14" s="181" t="s">
        <v>140</v>
      </c>
      <c r="K14" s="181" t="s">
        <v>139</v>
      </c>
      <c r="L14" s="181" t="s">
        <v>139</v>
      </c>
      <c r="M14" s="181" t="s">
        <v>141</v>
      </c>
      <c r="N14" s="181" t="s">
        <v>141</v>
      </c>
      <c r="O14" s="181" t="s">
        <v>141</v>
      </c>
      <c r="P14" s="181" t="s">
        <v>141</v>
      </c>
      <c r="Q14" s="181" t="s">
        <v>141</v>
      </c>
      <c r="R14" s="181" t="s">
        <v>141</v>
      </c>
      <c r="S14" s="181" t="s">
        <v>141</v>
      </c>
      <c r="T14" s="181" t="s">
        <v>141</v>
      </c>
      <c r="U14" s="181" t="s">
        <v>142</v>
      </c>
      <c r="V14" s="181" t="s">
        <v>142</v>
      </c>
      <c r="W14" s="181" t="s">
        <v>140</v>
      </c>
      <c r="X14" s="181" t="s">
        <v>140</v>
      </c>
      <c r="Y14" s="181" t="s">
        <v>140</v>
      </c>
      <c r="Z14" s="181" t="s">
        <v>140</v>
      </c>
      <c r="AA14" s="181" t="s">
        <v>139</v>
      </c>
      <c r="AB14" s="181" t="s">
        <v>139</v>
      </c>
      <c r="AC14" s="181" t="s">
        <v>141</v>
      </c>
      <c r="AD14" s="181" t="s">
        <v>141</v>
      </c>
      <c r="AE14" s="181" t="s">
        <v>141</v>
      </c>
      <c r="AF14" s="181" t="s">
        <v>141</v>
      </c>
      <c r="AG14" s="181" t="s">
        <v>141</v>
      </c>
      <c r="AH14" s="181" t="s">
        <v>141</v>
      </c>
      <c r="AI14" s="181" t="s">
        <v>141</v>
      </c>
      <c r="AJ14" s="181" t="s">
        <v>141</v>
      </c>
      <c r="AK14" s="181" t="s">
        <v>142</v>
      </c>
      <c r="AL14" s="181" t="s">
        <v>142</v>
      </c>
      <c r="AM14" s="181" t="s">
        <v>142</v>
      </c>
      <c r="AN14" s="181" t="s">
        <v>142</v>
      </c>
      <c r="AO14" s="181" t="s">
        <v>142</v>
      </c>
      <c r="AP14" s="181" t="s">
        <v>142</v>
      </c>
      <c r="AQ14" s="181" t="s">
        <v>140</v>
      </c>
      <c r="AR14" s="181" t="s">
        <v>140</v>
      </c>
      <c r="AS14" s="181" t="s">
        <v>139</v>
      </c>
      <c r="AT14" s="181" t="s">
        <v>141</v>
      </c>
      <c r="AU14" s="181" t="s">
        <v>141</v>
      </c>
      <c r="AV14" s="181" t="s">
        <v>141</v>
      </c>
      <c r="AW14" s="181" t="s">
        <v>139</v>
      </c>
      <c r="AX14" s="181" t="s">
        <v>141</v>
      </c>
      <c r="AY14" s="181" t="s">
        <v>141</v>
      </c>
      <c r="AZ14" s="181" t="s">
        <v>141</v>
      </c>
      <c r="BA14" s="181" t="s">
        <v>141</v>
      </c>
      <c r="BB14" s="181" t="s">
        <v>141</v>
      </c>
      <c r="BC14" s="181" t="s">
        <v>142</v>
      </c>
      <c r="BD14" s="181" t="s">
        <v>142</v>
      </c>
      <c r="BE14" s="181" t="s">
        <v>140</v>
      </c>
      <c r="BF14" s="181" t="s">
        <v>140</v>
      </c>
      <c r="BG14" s="181" t="s">
        <v>141</v>
      </c>
      <c r="BH14" s="181" t="s">
        <v>141</v>
      </c>
    </row>
    <row r="15" spans="1:60" ht="15" customHeight="1">
      <c r="B15" s="146" t="s">
        <v>160</v>
      </c>
      <c r="C15" s="168" t="s">
        <v>26</v>
      </c>
      <c r="D15" s="221"/>
      <c r="E15" s="182">
        <v>0.64239999999999997</v>
      </c>
      <c r="F15" s="182">
        <v>0.63739999999999997</v>
      </c>
      <c r="G15" s="182">
        <v>0.79</v>
      </c>
      <c r="H15" s="182">
        <v>0.78259999999999996</v>
      </c>
      <c r="I15" s="182">
        <v>0.78549999999999998</v>
      </c>
      <c r="J15" s="182">
        <v>0.79169999999999996</v>
      </c>
      <c r="K15" s="182">
        <v>0.88839999999999997</v>
      </c>
      <c r="L15" s="182">
        <v>0.88049999999999995</v>
      </c>
      <c r="M15" s="182">
        <v>0.71189999999999998</v>
      </c>
      <c r="N15" s="182">
        <v>0.70350000000000001</v>
      </c>
      <c r="O15" s="182">
        <v>0.70179999999999998</v>
      </c>
      <c r="P15" s="182">
        <v>0.68340000000000001</v>
      </c>
      <c r="Q15" s="182">
        <v>0.70820000000000005</v>
      </c>
      <c r="R15" s="182">
        <v>0.70299999999999996</v>
      </c>
      <c r="S15" s="182">
        <v>0.6875</v>
      </c>
      <c r="T15" s="182">
        <v>0.69779999999999998</v>
      </c>
      <c r="U15" s="182">
        <v>0.64239999999999997</v>
      </c>
      <c r="V15" s="182">
        <v>0.63739999999999997</v>
      </c>
      <c r="W15" s="182">
        <v>0.79</v>
      </c>
      <c r="X15" s="182">
        <v>0.78259999999999996</v>
      </c>
      <c r="Y15" s="182">
        <v>0.78549999999999998</v>
      </c>
      <c r="Z15" s="182">
        <v>0.79169999999999996</v>
      </c>
      <c r="AA15" s="182">
        <v>0.88839999999999997</v>
      </c>
      <c r="AB15" s="182">
        <v>0.88049999999999995</v>
      </c>
      <c r="AC15" s="182">
        <v>0.71189999999999998</v>
      </c>
      <c r="AD15" s="182">
        <v>0.70350000000000001</v>
      </c>
      <c r="AE15" s="182">
        <v>0.70179999999999998</v>
      </c>
      <c r="AF15" s="182">
        <v>0.68340000000000001</v>
      </c>
      <c r="AG15" s="182">
        <v>0.70820000000000005</v>
      </c>
      <c r="AH15" s="182">
        <v>0.70299999999999996</v>
      </c>
      <c r="AI15" s="182">
        <v>0.6875</v>
      </c>
      <c r="AJ15" s="182">
        <v>0.69779999999999998</v>
      </c>
      <c r="AK15" s="182">
        <v>0.64070000000000005</v>
      </c>
      <c r="AL15" s="182">
        <v>0.64070000000000005</v>
      </c>
      <c r="AM15" s="182">
        <v>0.64970000000000006</v>
      </c>
      <c r="AN15" s="182">
        <v>0.64970000000000006</v>
      </c>
      <c r="AO15" s="182">
        <v>0.62119999999999997</v>
      </c>
      <c r="AP15" s="182">
        <v>0.62119999999999997</v>
      </c>
      <c r="AQ15" s="182">
        <v>0.78120000000000001</v>
      </c>
      <c r="AR15" s="182">
        <v>0.78120000000000001</v>
      </c>
      <c r="AS15" s="182">
        <v>0.881498</v>
      </c>
      <c r="AT15" s="182">
        <v>0.71965000000000001</v>
      </c>
      <c r="AU15" s="182">
        <v>0.70406400000000002</v>
      </c>
      <c r="AV15" s="182">
        <v>0.68905160570150004</v>
      </c>
      <c r="AW15" s="182">
        <v>0.881498</v>
      </c>
      <c r="AX15" s="182">
        <v>0.71965000000000001</v>
      </c>
      <c r="AY15" s="182">
        <v>0.70406400000000002</v>
      </c>
      <c r="AZ15" s="182">
        <v>0.689030242089953</v>
      </c>
      <c r="BA15" s="182">
        <v>0.71916599999999997</v>
      </c>
      <c r="BB15" s="182">
        <v>0.71916599999999997</v>
      </c>
      <c r="BC15" s="182">
        <v>0.64600000000000002</v>
      </c>
      <c r="BD15" s="182">
        <v>0.64600000000000002</v>
      </c>
      <c r="BE15" s="182">
        <v>0.80800000000000005</v>
      </c>
      <c r="BF15" s="182">
        <v>0.80800000000000005</v>
      </c>
      <c r="BG15" s="182">
        <v>0.71399999999999997</v>
      </c>
      <c r="BH15" s="182">
        <v>0.71399999999999997</v>
      </c>
    </row>
    <row r="16" spans="1:60" ht="15" customHeight="1">
      <c r="B16" s="146" t="s">
        <v>161</v>
      </c>
      <c r="C16" s="168" t="s">
        <v>80</v>
      </c>
      <c r="D16" s="221"/>
      <c r="E16" s="179" t="s">
        <v>82</v>
      </c>
      <c r="F16" s="179" t="s">
        <v>82</v>
      </c>
      <c r="G16" s="179" t="s">
        <v>82</v>
      </c>
      <c r="H16" s="179" t="s">
        <v>82</v>
      </c>
      <c r="I16" s="179" t="s">
        <v>82</v>
      </c>
      <c r="J16" s="179" t="s">
        <v>82</v>
      </c>
      <c r="K16" s="179" t="s">
        <v>82</v>
      </c>
      <c r="L16" s="179" t="s">
        <v>81</v>
      </c>
      <c r="M16" s="179" t="s">
        <v>81</v>
      </c>
      <c r="N16" s="179" t="s">
        <v>81</v>
      </c>
      <c r="O16" s="179" t="s">
        <v>82</v>
      </c>
      <c r="P16" s="179" t="s">
        <v>81</v>
      </c>
      <c r="Q16" s="179" t="s">
        <v>82</v>
      </c>
      <c r="R16" s="179" t="s">
        <v>82</v>
      </c>
      <c r="S16" s="179" t="s">
        <v>82</v>
      </c>
      <c r="T16" s="179" t="s">
        <v>82</v>
      </c>
      <c r="U16" s="179" t="s">
        <v>82</v>
      </c>
      <c r="V16" s="179" t="s">
        <v>82</v>
      </c>
      <c r="W16" s="179" t="s">
        <v>82</v>
      </c>
      <c r="X16" s="179" t="s">
        <v>82</v>
      </c>
      <c r="Y16" s="179" t="s">
        <v>82</v>
      </c>
      <c r="Z16" s="179" t="s">
        <v>82</v>
      </c>
      <c r="AA16" s="179" t="s">
        <v>82</v>
      </c>
      <c r="AB16" s="179" t="s">
        <v>81</v>
      </c>
      <c r="AC16" s="179" t="s">
        <v>81</v>
      </c>
      <c r="AD16" s="179" t="s">
        <v>81</v>
      </c>
      <c r="AE16" s="179" t="s">
        <v>82</v>
      </c>
      <c r="AF16" s="179" t="s">
        <v>81</v>
      </c>
      <c r="AG16" s="179" t="s">
        <v>82</v>
      </c>
      <c r="AH16" s="179" t="s">
        <v>82</v>
      </c>
      <c r="AI16" s="179" t="s">
        <v>82</v>
      </c>
      <c r="AJ16" s="179" t="s">
        <v>82</v>
      </c>
      <c r="AK16" s="179" t="s">
        <v>82</v>
      </c>
      <c r="AL16" s="179" t="s">
        <v>82</v>
      </c>
      <c r="AM16" s="179" t="s">
        <v>82</v>
      </c>
      <c r="AN16" s="179" t="s">
        <v>82</v>
      </c>
      <c r="AO16" s="179" t="s">
        <v>81</v>
      </c>
      <c r="AP16" s="179" t="s">
        <v>81</v>
      </c>
      <c r="AQ16" s="179" t="s">
        <v>81</v>
      </c>
      <c r="AR16" s="179" t="s">
        <v>81</v>
      </c>
      <c r="AS16" s="179" t="s">
        <v>83</v>
      </c>
      <c r="AT16" s="179" t="s">
        <v>83</v>
      </c>
      <c r="AU16" s="179" t="s">
        <v>83</v>
      </c>
      <c r="AV16" s="179" t="s">
        <v>83</v>
      </c>
      <c r="AW16" s="179" t="s">
        <v>83</v>
      </c>
      <c r="AX16" s="179" t="s">
        <v>83</v>
      </c>
      <c r="AY16" s="179" t="s">
        <v>83</v>
      </c>
      <c r="AZ16" s="179" t="s">
        <v>83</v>
      </c>
      <c r="BA16" s="179" t="s">
        <v>83</v>
      </c>
      <c r="BB16" s="179" t="s">
        <v>83</v>
      </c>
      <c r="BC16" s="179" t="s">
        <v>83</v>
      </c>
      <c r="BD16" s="179" t="s">
        <v>83</v>
      </c>
      <c r="BE16" s="179" t="s">
        <v>83</v>
      </c>
      <c r="BF16" s="179" t="s">
        <v>83</v>
      </c>
      <c r="BG16" s="179" t="s">
        <v>83</v>
      </c>
      <c r="BH16" s="179" t="s">
        <v>83</v>
      </c>
    </row>
    <row r="17" spans="1:60" ht="15" customHeight="1">
      <c r="B17" s="146" t="s">
        <v>154</v>
      </c>
      <c r="C17" s="169" t="s">
        <v>108</v>
      </c>
      <c r="D17" s="221"/>
      <c r="E17" s="179" t="s">
        <v>250</v>
      </c>
      <c r="F17" s="179" t="s">
        <v>250</v>
      </c>
      <c r="G17" s="179" t="s">
        <v>250</v>
      </c>
      <c r="H17" s="179" t="s">
        <v>250</v>
      </c>
      <c r="I17" s="179" t="s">
        <v>250</v>
      </c>
      <c r="J17" s="179" t="s">
        <v>250</v>
      </c>
      <c r="K17" s="179" t="s">
        <v>250</v>
      </c>
      <c r="L17" s="179" t="s">
        <v>250</v>
      </c>
      <c r="M17" s="179" t="s">
        <v>250</v>
      </c>
      <c r="N17" s="179" t="s">
        <v>250</v>
      </c>
      <c r="O17" s="179" t="s">
        <v>250</v>
      </c>
      <c r="P17" s="179" t="s">
        <v>250</v>
      </c>
      <c r="Q17" s="179" t="s">
        <v>250</v>
      </c>
      <c r="R17" s="179" t="s">
        <v>250</v>
      </c>
      <c r="S17" s="179" t="s">
        <v>250</v>
      </c>
      <c r="T17" s="179" t="s">
        <v>250</v>
      </c>
      <c r="U17" s="179" t="s">
        <v>250</v>
      </c>
      <c r="V17" s="179" t="s">
        <v>250</v>
      </c>
      <c r="W17" s="179" t="s">
        <v>250</v>
      </c>
      <c r="X17" s="179" t="s">
        <v>250</v>
      </c>
      <c r="Y17" s="179" t="s">
        <v>250</v>
      </c>
      <c r="Z17" s="179" t="s">
        <v>250</v>
      </c>
      <c r="AA17" s="179" t="s">
        <v>250</v>
      </c>
      <c r="AB17" s="179" t="s">
        <v>250</v>
      </c>
      <c r="AC17" s="179" t="s">
        <v>250</v>
      </c>
      <c r="AD17" s="179" t="s">
        <v>250</v>
      </c>
      <c r="AE17" s="179" t="s">
        <v>250</v>
      </c>
      <c r="AF17" s="179" t="s">
        <v>250</v>
      </c>
      <c r="AG17" s="179" t="s">
        <v>250</v>
      </c>
      <c r="AH17" s="179" t="s">
        <v>250</v>
      </c>
      <c r="AI17" s="179" t="s">
        <v>250</v>
      </c>
      <c r="AJ17" s="179" t="s">
        <v>250</v>
      </c>
      <c r="AK17" s="179" t="s">
        <v>250</v>
      </c>
      <c r="AL17" s="179" t="s">
        <v>250</v>
      </c>
      <c r="AM17" s="179" t="s">
        <v>250</v>
      </c>
      <c r="AN17" s="179" t="s">
        <v>250</v>
      </c>
      <c r="AO17" s="179" t="s">
        <v>250</v>
      </c>
      <c r="AP17" s="179" t="s">
        <v>250</v>
      </c>
      <c r="AQ17" s="179" t="s">
        <v>250</v>
      </c>
      <c r="AR17" s="179" t="s">
        <v>250</v>
      </c>
      <c r="AS17" s="179" t="s">
        <v>250</v>
      </c>
      <c r="AT17" s="179" t="s">
        <v>250</v>
      </c>
      <c r="AU17" s="179" t="s">
        <v>250</v>
      </c>
      <c r="AV17" s="179" t="s">
        <v>250</v>
      </c>
      <c r="AW17" s="179" t="s">
        <v>250</v>
      </c>
      <c r="AX17" s="179" t="s">
        <v>250</v>
      </c>
      <c r="AY17" s="179" t="s">
        <v>250</v>
      </c>
      <c r="AZ17" s="179" t="s">
        <v>250</v>
      </c>
      <c r="BA17" s="179" t="s">
        <v>250</v>
      </c>
      <c r="BB17" s="179" t="s">
        <v>250</v>
      </c>
      <c r="BC17" s="179" t="s">
        <v>250</v>
      </c>
      <c r="BD17" s="179" t="s">
        <v>250</v>
      </c>
      <c r="BE17" s="179" t="s">
        <v>250</v>
      </c>
      <c r="BF17" s="179" t="s">
        <v>250</v>
      </c>
      <c r="BG17" s="179" t="s">
        <v>250</v>
      </c>
      <c r="BH17" s="179" t="s">
        <v>250</v>
      </c>
    </row>
    <row r="18" spans="1:60" ht="15" customHeight="1">
      <c r="B18" s="146" t="s">
        <v>153</v>
      </c>
      <c r="C18" s="168" t="s">
        <v>16</v>
      </c>
      <c r="D18" s="221"/>
      <c r="E18" s="183" t="s">
        <v>146</v>
      </c>
      <c r="F18" s="183" t="s">
        <v>146</v>
      </c>
      <c r="G18" s="183" t="s">
        <v>146</v>
      </c>
      <c r="H18" s="183" t="s">
        <v>146</v>
      </c>
      <c r="I18" s="183" t="s">
        <v>146</v>
      </c>
      <c r="J18" s="183" t="s">
        <v>146</v>
      </c>
      <c r="K18" s="183" t="s">
        <v>146</v>
      </c>
      <c r="L18" s="183" t="s">
        <v>146</v>
      </c>
      <c r="M18" s="183" t="s">
        <v>146</v>
      </c>
      <c r="N18" s="183" t="s">
        <v>146</v>
      </c>
      <c r="O18" s="183" t="s">
        <v>146</v>
      </c>
      <c r="P18" s="183" t="s">
        <v>146</v>
      </c>
      <c r="Q18" s="183" t="s">
        <v>146</v>
      </c>
      <c r="R18" s="183" t="s">
        <v>146</v>
      </c>
      <c r="S18" s="183" t="s">
        <v>146</v>
      </c>
      <c r="T18" s="183" t="s">
        <v>146</v>
      </c>
      <c r="U18" s="183" t="s">
        <v>146</v>
      </c>
      <c r="V18" s="183" t="s">
        <v>146</v>
      </c>
      <c r="W18" s="183" t="s">
        <v>146</v>
      </c>
      <c r="X18" s="183" t="s">
        <v>146</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c r="AU18" s="183" t="s">
        <v>146</v>
      </c>
      <c r="AV18" s="183" t="s">
        <v>146</v>
      </c>
      <c r="AW18" s="183" t="s">
        <v>146</v>
      </c>
      <c r="AX18" s="183" t="s">
        <v>146</v>
      </c>
      <c r="AY18" s="183" t="s">
        <v>146</v>
      </c>
      <c r="AZ18" s="183" t="s">
        <v>146</v>
      </c>
      <c r="BA18" s="183" t="s">
        <v>146</v>
      </c>
      <c r="BB18" s="183" t="s">
        <v>146</v>
      </c>
      <c r="BC18" s="183" t="s">
        <v>146</v>
      </c>
      <c r="BD18" s="183" t="s">
        <v>146</v>
      </c>
      <c r="BE18" s="183" t="s">
        <v>146</v>
      </c>
      <c r="BF18" s="183" t="s">
        <v>146</v>
      </c>
      <c r="BG18" s="183" t="s">
        <v>146</v>
      </c>
      <c r="BH18" s="183" t="s">
        <v>146</v>
      </c>
    </row>
    <row r="19" spans="1:60" ht="15" customHeight="1">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45292</v>
      </c>
      <c r="AZ19" s="184">
        <v>45292</v>
      </c>
      <c r="BA19" s="184">
        <v>45292</v>
      </c>
      <c r="BB19" s="184">
        <v>45292</v>
      </c>
      <c r="BC19" s="184">
        <v>45292</v>
      </c>
      <c r="BD19" s="184">
        <v>45292</v>
      </c>
      <c r="BE19" s="184">
        <v>45292</v>
      </c>
      <c r="BF19" s="184">
        <v>45292</v>
      </c>
      <c r="BG19" s="184">
        <v>45292</v>
      </c>
      <c r="BH19" s="184">
        <v>45292</v>
      </c>
    </row>
    <row r="20" spans="1:60" ht="15" customHeight="1">
      <c r="B20" s="146" t="s">
        <v>150</v>
      </c>
      <c r="C20" s="168" t="s">
        <v>109</v>
      </c>
      <c r="D20" s="221"/>
      <c r="E20" s="185">
        <v>0.12900809919890599</v>
      </c>
      <c r="F20" s="185">
        <v>9.2740335572233601E-2</v>
      </c>
      <c r="G20" s="185">
        <v>6.2981796910694499E-2</v>
      </c>
      <c r="H20" s="185">
        <v>0.10199929763054499</v>
      </c>
      <c r="I20" s="185">
        <v>9.3468521002073604E-2</v>
      </c>
      <c r="J20" s="185">
        <v>6.4133903530934094E-2</v>
      </c>
      <c r="K20" s="185">
        <v>0.107723576045234</v>
      </c>
      <c r="L20" s="185">
        <v>0</v>
      </c>
      <c r="M20" s="185">
        <v>0</v>
      </c>
      <c r="N20" s="185">
        <v>0</v>
      </c>
      <c r="O20" s="185">
        <v>9.1889625012967005E-2</v>
      </c>
      <c r="P20" s="185">
        <v>0</v>
      </c>
      <c r="Q20" s="185">
        <v>0.105757140146555</v>
      </c>
      <c r="R20" s="185">
        <v>8.4215175655349306E-2</v>
      </c>
      <c r="S20" s="185">
        <v>0.161288916486064</v>
      </c>
      <c r="T20" s="185">
        <v>9.1446796013609402E-2</v>
      </c>
      <c r="U20" s="185">
        <v>0.15376780149604699</v>
      </c>
      <c r="V20" s="185">
        <v>9.5035677843435098E-2</v>
      </c>
      <c r="W20" s="185">
        <v>9.4646177866716003E-2</v>
      </c>
      <c r="X20" s="185">
        <v>0.112193796029096</v>
      </c>
      <c r="Y20" s="185">
        <v>0.106266240315667</v>
      </c>
      <c r="Z20" s="185">
        <v>0.10791237063541199</v>
      </c>
      <c r="AA20" s="185">
        <v>0.113127107456071</v>
      </c>
      <c r="AB20" s="185">
        <v>0</v>
      </c>
      <c r="AC20" s="185">
        <v>0</v>
      </c>
      <c r="AD20" s="185">
        <v>0</v>
      </c>
      <c r="AE20" s="185">
        <v>0.10531881128236401</v>
      </c>
      <c r="AF20" s="185">
        <v>0</v>
      </c>
      <c r="AG20" s="185">
        <v>0.120160666480512</v>
      </c>
      <c r="AH20" s="185">
        <v>0.107164818436464</v>
      </c>
      <c r="AI20" s="185">
        <v>0.21271220540504299</v>
      </c>
      <c r="AJ20" s="185">
        <v>0.11248703537018</v>
      </c>
      <c r="AK20" s="185">
        <v>0.15183855774924601</v>
      </c>
      <c r="AL20" s="185">
        <v>0.19852505080079699</v>
      </c>
      <c r="AM20" s="185">
        <v>0</v>
      </c>
      <c r="AN20" s="185">
        <v>0.184768010150578</v>
      </c>
      <c r="AO20" s="185">
        <v>0</v>
      </c>
      <c r="AP20" s="185">
        <v>0</v>
      </c>
      <c r="AQ20" s="185">
        <v>0</v>
      </c>
      <c r="AR20" s="185">
        <v>0</v>
      </c>
      <c r="AS20" s="185">
        <v>0</v>
      </c>
      <c r="AT20" s="185">
        <v>0</v>
      </c>
      <c r="AU20" s="185">
        <v>0</v>
      </c>
      <c r="AV20" s="185">
        <v>0</v>
      </c>
      <c r="AW20" s="185">
        <v>0</v>
      </c>
      <c r="AX20" s="185">
        <v>0</v>
      </c>
      <c r="AY20" s="185">
        <v>0</v>
      </c>
      <c r="AZ20" s="185">
        <v>0</v>
      </c>
      <c r="BA20" s="185">
        <v>0</v>
      </c>
      <c r="BB20" s="185">
        <v>0</v>
      </c>
      <c r="BC20" s="185">
        <v>0</v>
      </c>
      <c r="BD20" s="185">
        <v>0</v>
      </c>
      <c r="BE20" s="185">
        <v>0</v>
      </c>
      <c r="BF20" s="185">
        <v>0</v>
      </c>
      <c r="BG20" s="185">
        <v>0</v>
      </c>
      <c r="BH20" s="185">
        <v>0</v>
      </c>
    </row>
    <row r="21" spans="1:60" ht="15" customHeight="1">
      <c r="B21" s="146" t="s">
        <v>151</v>
      </c>
      <c r="C21" s="168" t="s">
        <v>84</v>
      </c>
      <c r="D21" s="221"/>
      <c r="E21" s="287">
        <f>IF(SUMPRODUCT((E16:BH16="Renewing")*((E14:BH14="Platinum")+(E14:BH14="Gold")+(E14:BH14="Silver")+(E14:BH14="Bronze")+(E14:BH14="Catastrophic")))=0, 0, ROUND(ROUND(SUMPRODUCT(1+E20:BH20,E34:BH34,E35:BH35,--(E16:BH16="Renewing")*((E14:BH14="Platinum")+(E14:BH14="Gold")+(E14:BH14="Silver")+(E14:BH14="Bronze")+(E14:BH14="Catastrophic")))/SUMPRODUCT(E34:BH34,E35:BH35,--(E16:BH16="Renewing")*((E14:BH14="Platinum")+(E14:BH14="Gold")+(E14:BH14="Silver")+(E14:BH14="Bronze")+(E14:BH14="Catastrophic"))), 4)-1, 4))</f>
        <v>0</v>
      </c>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c r="AM21" s="287"/>
      <c r="AN21" s="287"/>
      <c r="AO21" s="287"/>
      <c r="AP21" s="287"/>
      <c r="AQ21" s="287"/>
      <c r="AR21" s="287"/>
      <c r="AS21" s="287"/>
      <c r="AT21" s="287"/>
      <c r="AU21" s="287"/>
      <c r="AV21" s="287"/>
      <c r="AW21" s="287"/>
      <c r="AX21" s="287"/>
      <c r="AY21" s="287"/>
      <c r="AZ21" s="287"/>
      <c r="BA21" s="287"/>
      <c r="BB21" s="287"/>
      <c r="BC21" s="287"/>
      <c r="BD21" s="287"/>
      <c r="BE21" s="287"/>
      <c r="BF21" s="287"/>
      <c r="BG21" s="287"/>
      <c r="BH21" s="287"/>
    </row>
    <row r="22" spans="1:60" ht="15" customHeight="1">
      <c r="B22" s="148" t="s">
        <v>152</v>
      </c>
      <c r="C22" s="139" t="s">
        <v>212</v>
      </c>
      <c r="D22" s="222"/>
      <c r="E22" s="287">
        <f>IF(SUMPRODUCT((E16:BH16="Renewing")*((E14:BH14="Platinum")+(E14:BH14="Gold")+(E14:BH14="Silver")+(E14:BH14="Bronze")+(E14:BH14="Catastrophic")))=0, 0, ROUND(ROUND(SUMPRODUCT(1+E20:BH20,E34:BH34,E35:BH35,--(E16:BH16="Renewing")*((E14:BH14="Platinum")+(E14:BH14="Gold")+(E14:BH14="Silver")+(E14:BH14="Bronze")+(E14:BH14="Catastrophic")))/SUMPRODUCT(E34:BH34,E35:BH35,--(E16:BH16="Renewing")*((E14:BH14="Platinum")+(E14:BH14="Gold")+(E14:BH14="Silver")+(E14:BH14="Bronze")+(E14:BH14="Catastrophic"))), 4)-1, 4))</f>
        <v>0</v>
      </c>
      <c r="F22" s="287"/>
      <c r="G22" s="287"/>
      <c r="H22" s="287"/>
      <c r="I22" s="287"/>
      <c r="J22" s="287"/>
      <c r="K22" s="287"/>
      <c r="L22" s="287"/>
      <c r="M22" s="287"/>
      <c r="N22" s="287"/>
      <c r="O22" s="287"/>
      <c r="P22" s="287"/>
      <c r="Q22" s="287"/>
      <c r="R22" s="287"/>
      <c r="S22" s="287"/>
      <c r="T22" s="287"/>
      <c r="U22" s="287"/>
      <c r="V22" s="287"/>
      <c r="W22" s="287"/>
      <c r="X22" s="287"/>
      <c r="Y22" s="287"/>
      <c r="Z22" s="287"/>
      <c r="AA22" s="287"/>
      <c r="AB22" s="287"/>
      <c r="AC22" s="287"/>
      <c r="AD22" s="287"/>
      <c r="AE22" s="287"/>
      <c r="AF22" s="287"/>
      <c r="AG22" s="287"/>
      <c r="AH22" s="287"/>
      <c r="AI22" s="287"/>
      <c r="AJ22" s="287"/>
      <c r="AK22" s="287"/>
      <c r="AL22" s="287"/>
      <c r="AM22" s="287"/>
      <c r="AN22" s="287"/>
      <c r="AO22" s="287"/>
      <c r="AP22" s="287"/>
      <c r="AQ22" s="287"/>
      <c r="AR22" s="287"/>
      <c r="AS22" s="287"/>
      <c r="AT22" s="287"/>
      <c r="AU22" s="287"/>
      <c r="AV22" s="287"/>
      <c r="AW22" s="287"/>
      <c r="AX22" s="287"/>
      <c r="AY22" s="287"/>
      <c r="AZ22" s="287"/>
      <c r="BA22" s="287"/>
      <c r="BB22" s="287"/>
      <c r="BC22" s="287"/>
      <c r="BD22" s="287"/>
      <c r="BE22" s="287"/>
      <c r="BF22" s="287"/>
      <c r="BG22" s="287"/>
      <c r="BH22" s="287"/>
    </row>
    <row r="23" spans="1:60" ht="15" customHeight="1"/>
    <row r="24" spans="1:60" ht="15" customHeight="1">
      <c r="A24" s="71" t="s">
        <v>119</v>
      </c>
      <c r="C24" s="19" t="s">
        <v>110</v>
      </c>
      <c r="D24" s="19"/>
    </row>
    <row r="25" spans="1:60" ht="15" customHeight="1">
      <c r="A25" s="149"/>
      <c r="B25" s="146" t="s">
        <v>162</v>
      </c>
      <c r="C25" s="152" t="s">
        <v>106</v>
      </c>
      <c r="D25" s="150" t="s">
        <v>2</v>
      </c>
      <c r="E25" s="90">
        <f t="shared" ref="E25:AJ25" si="0">E13</f>
        <v>0</v>
      </c>
      <c r="F25" s="90">
        <f t="shared" si="0"/>
        <v>0</v>
      </c>
      <c r="G25" s="90">
        <f t="shared" si="0"/>
        <v>0</v>
      </c>
      <c r="H25" s="90">
        <f t="shared" si="0"/>
        <v>0</v>
      </c>
      <c r="I25" s="90">
        <f t="shared" si="0"/>
        <v>0</v>
      </c>
      <c r="J25" s="90">
        <f t="shared" si="0"/>
        <v>0</v>
      </c>
      <c r="K25" s="90">
        <f t="shared" si="0"/>
        <v>0</v>
      </c>
      <c r="L25" s="90">
        <f t="shared" si="0"/>
        <v>0</v>
      </c>
      <c r="M25" s="90">
        <f t="shared" si="0"/>
        <v>0</v>
      </c>
      <c r="N25" s="90">
        <f t="shared" si="0"/>
        <v>0</v>
      </c>
      <c r="O25" s="90">
        <f t="shared" si="0"/>
        <v>0</v>
      </c>
      <c r="P25" s="90">
        <f t="shared" si="0"/>
        <v>0</v>
      </c>
      <c r="Q25" s="90">
        <f t="shared" si="0"/>
        <v>0</v>
      </c>
      <c r="R25" s="90">
        <f t="shared" si="0"/>
        <v>0</v>
      </c>
      <c r="S25" s="90">
        <f t="shared" si="0"/>
        <v>0</v>
      </c>
      <c r="T25" s="90">
        <f t="shared" si="0"/>
        <v>0</v>
      </c>
      <c r="U25" s="90">
        <f t="shared" si="0"/>
        <v>0</v>
      </c>
      <c r="V25" s="90">
        <f t="shared" si="0"/>
        <v>0</v>
      </c>
      <c r="W25" s="90">
        <f t="shared" si="0"/>
        <v>0</v>
      </c>
      <c r="X25" s="90">
        <f t="shared" si="0"/>
        <v>0</v>
      </c>
      <c r="Y25" s="90">
        <f t="shared" si="0"/>
        <v>0</v>
      </c>
      <c r="Z25" s="90">
        <f t="shared" si="0"/>
        <v>0</v>
      </c>
      <c r="AA25" s="90">
        <f t="shared" si="0"/>
        <v>0</v>
      </c>
      <c r="AB25" s="90">
        <f t="shared" si="0"/>
        <v>0</v>
      </c>
      <c r="AC25" s="90">
        <f t="shared" si="0"/>
        <v>0</v>
      </c>
      <c r="AD25" s="90">
        <f t="shared" si="0"/>
        <v>0</v>
      </c>
      <c r="AE25" s="90">
        <f t="shared" si="0"/>
        <v>0</v>
      </c>
      <c r="AF25" s="90">
        <f t="shared" si="0"/>
        <v>0</v>
      </c>
      <c r="AG25" s="90">
        <f t="shared" si="0"/>
        <v>0</v>
      </c>
      <c r="AH25" s="90">
        <f t="shared" si="0"/>
        <v>0</v>
      </c>
      <c r="AI25" s="90">
        <f t="shared" si="0"/>
        <v>0</v>
      </c>
      <c r="AJ25" s="90">
        <f t="shared" si="0"/>
        <v>0</v>
      </c>
      <c r="AK25" s="90">
        <f t="shared" ref="AK25:BH25" si="1">AK13</f>
        <v>0</v>
      </c>
      <c r="AL25" s="90">
        <f t="shared" si="1"/>
        <v>0</v>
      </c>
      <c r="AM25" s="90">
        <f t="shared" si="1"/>
        <v>0</v>
      </c>
      <c r="AN25" s="90">
        <f t="shared" si="1"/>
        <v>0</v>
      </c>
      <c r="AO25" s="90">
        <f t="shared" si="1"/>
        <v>0</v>
      </c>
      <c r="AP25" s="90">
        <f t="shared" si="1"/>
        <v>0</v>
      </c>
      <c r="AQ25" s="90">
        <f t="shared" si="1"/>
        <v>0</v>
      </c>
      <c r="AR25" s="90">
        <f t="shared" si="1"/>
        <v>0</v>
      </c>
      <c r="AS25" s="90">
        <f t="shared" si="1"/>
        <v>0</v>
      </c>
      <c r="AT25" s="90">
        <f t="shared" si="1"/>
        <v>0</v>
      </c>
      <c r="AU25" s="90">
        <f t="shared" si="1"/>
        <v>0</v>
      </c>
      <c r="AV25" s="90">
        <f t="shared" si="1"/>
        <v>0</v>
      </c>
      <c r="AW25" s="90">
        <f t="shared" si="1"/>
        <v>0</v>
      </c>
      <c r="AX25" s="90">
        <f t="shared" si="1"/>
        <v>0</v>
      </c>
      <c r="AY25" s="90">
        <f t="shared" si="1"/>
        <v>0</v>
      </c>
      <c r="AZ25" s="90">
        <f t="shared" si="1"/>
        <v>0</v>
      </c>
      <c r="BA25" s="90">
        <f t="shared" si="1"/>
        <v>0</v>
      </c>
      <c r="BB25" s="90">
        <f t="shared" si="1"/>
        <v>0</v>
      </c>
      <c r="BC25" s="90">
        <f t="shared" si="1"/>
        <v>0</v>
      </c>
      <c r="BD25" s="90">
        <f t="shared" si="1"/>
        <v>0</v>
      </c>
      <c r="BE25" s="90">
        <f t="shared" si="1"/>
        <v>0</v>
      </c>
      <c r="BF25" s="90">
        <f t="shared" si="1"/>
        <v>0</v>
      </c>
      <c r="BG25" s="90">
        <f t="shared" si="1"/>
        <v>0</v>
      </c>
      <c r="BH25" s="90">
        <f t="shared" si="1"/>
        <v>0</v>
      </c>
    </row>
    <row r="26" spans="1:60" ht="15" customHeight="1">
      <c r="A26" s="151">
        <f>'Wksh 1 - Market Experience'!E14</f>
        <v>0</v>
      </c>
      <c r="B26" s="146" t="s">
        <v>163</v>
      </c>
      <c r="C26" s="200" t="s">
        <v>86</v>
      </c>
      <c r="D26" s="198">
        <f>SUM(E26:XFD26)</f>
        <v>126213402.7775</v>
      </c>
      <c r="E26" s="187">
        <f>120553.499489424</f>
        <v>0</v>
      </c>
      <c r="F26" s="187">
        <f>372678.196249784</f>
        <v>0</v>
      </c>
      <c r="G26" s="187">
        <f>757321.632260172</f>
        <v>0</v>
      </c>
      <c r="H26" s="187">
        <f>556707.909329995</f>
        <v>0</v>
      </c>
      <c r="I26" s="187">
        <f>849104.4981567</f>
        <v>0</v>
      </c>
      <c r="J26" s="187">
        <f>208947.751905904</f>
        <v>0</v>
      </c>
      <c r="K26" s="187">
        <f>76924.8375163638</f>
        <v>0</v>
      </c>
      <c r="L26" s="187">
        <f>0</f>
        <v>0</v>
      </c>
      <c r="M26" s="187">
        <f>0</f>
        <v>0</v>
      </c>
      <c r="N26" s="187">
        <f>0</f>
        <v>0</v>
      </c>
      <c r="O26" s="187">
        <f>547636.673468128</f>
        <v>0</v>
      </c>
      <c r="P26" s="187">
        <f>0</f>
        <v>0</v>
      </c>
      <c r="Q26" s="187">
        <f>103875.971292731</f>
        <v>0</v>
      </c>
      <c r="R26" s="187">
        <f>1364914.13598554</f>
        <v>0</v>
      </c>
      <c r="S26" s="187">
        <f>1156.04761340953</f>
        <v>0</v>
      </c>
      <c r="T26" s="187">
        <f>700302.90199606</f>
        <v>0</v>
      </c>
      <c r="U26" s="187">
        <f>991984.266259434</f>
        <v>0</v>
      </c>
      <c r="V26" s="187">
        <f>2083575.39488384</f>
        <v>0</v>
      </c>
      <c r="W26" s="187">
        <f>12379670.6861407</f>
        <v>0</v>
      </c>
      <c r="X26" s="187">
        <f>10214685.3638269</f>
        <v>0</v>
      </c>
      <c r="Y26" s="187">
        <f>18149858.1874475</f>
        <v>0</v>
      </c>
      <c r="Z26" s="187">
        <f>9662565.69045198</f>
        <v>0</v>
      </c>
      <c r="AA26" s="187">
        <f>2760627.52555073</f>
        <v>0</v>
      </c>
      <c r="AB26" s="187">
        <f>0</f>
        <v>0</v>
      </c>
      <c r="AC26" s="187">
        <f>0</f>
        <v>0</v>
      </c>
      <c r="AD26" s="187">
        <f>0</f>
        <v>0</v>
      </c>
      <c r="AE26" s="187">
        <f>7430110.51002915</f>
        <v>0</v>
      </c>
      <c r="AF26" s="187">
        <f>0</f>
        <v>0</v>
      </c>
      <c r="AG26" s="187">
        <f>3115143.29416976</f>
        <v>0</v>
      </c>
      <c r="AH26" s="187">
        <f>23504866.9504185</f>
        <v>0</v>
      </c>
      <c r="AI26" s="187">
        <f>1061127.62239384</f>
        <v>0</v>
      </c>
      <c r="AJ26" s="187">
        <f>5913924.4089232</f>
        <v>0</v>
      </c>
      <c r="AK26" s="187">
        <f>59074.070984444</f>
        <v>0</v>
      </c>
      <c r="AL26" s="187">
        <f>7016127.33546193</f>
        <v>0</v>
      </c>
      <c r="AM26" s="187">
        <f>0</f>
        <v>0</v>
      </c>
      <c r="AN26" s="187">
        <f>0</f>
        <v>0</v>
      </c>
      <c r="AO26" s="187">
        <f>0</f>
        <v>0</v>
      </c>
      <c r="AP26" s="187">
        <f>0</f>
        <v>0</v>
      </c>
      <c r="AQ26" s="187">
        <f>0</f>
        <v>0</v>
      </c>
      <c r="AR26" s="187">
        <f>0</f>
        <v>0</v>
      </c>
      <c r="AS26" s="187">
        <f>179250.882273757</f>
        <v>0</v>
      </c>
      <c r="AT26" s="187">
        <f>263365.634896303</f>
        <v>0</v>
      </c>
      <c r="AU26" s="187">
        <f>13255.0666314527</f>
        <v>0</v>
      </c>
      <c r="AV26" s="187">
        <f>9329.37682655974</f>
        <v>0</v>
      </c>
      <c r="AW26" s="187">
        <f>6563441.39461032</f>
        <v>0</v>
      </c>
      <c r="AX26" s="187">
        <f>4184278.1107422</f>
        <v>0</v>
      </c>
      <c r="AY26" s="187">
        <f>2846295.06392447</f>
        <v>0</v>
      </c>
      <c r="AZ26" s="187">
        <f>494534.998382136</f>
        <v>0</v>
      </c>
      <c r="BA26" s="187">
        <f>57597.6748639966</f>
        <v>0</v>
      </c>
      <c r="BB26" s="187">
        <f>361353.787503276</f>
        <v>0</v>
      </c>
      <c r="BC26" s="187">
        <f>41866.651164625</f>
        <v>0</v>
      </c>
      <c r="BD26" s="187">
        <f>2738.92563665853</f>
        <v>0</v>
      </c>
      <c r="BE26" s="187">
        <f>801080.332239473</f>
        <v>0</v>
      </c>
      <c r="BF26" s="187">
        <f>0</f>
        <v>0</v>
      </c>
      <c r="BG26" s="187">
        <f>390983.518641724</f>
        <v>0</v>
      </c>
      <c r="BH26" s="187">
        <f>565.996952492825</f>
        <v>0</v>
      </c>
    </row>
    <row r="27" spans="1:60" ht="15" customHeight="1">
      <c r="A27" s="153">
        <f>'Wksh 1 - Market Experience'!E15</f>
        <v>0</v>
      </c>
      <c r="B27" s="146" t="s">
        <v>164</v>
      </c>
      <c r="C27" s="200" t="s">
        <v>87</v>
      </c>
      <c r="D27" s="198">
        <f>SUM(E27:XFD27)</f>
        <v>0</v>
      </c>
      <c r="E27" s="187">
        <f>0</f>
        <v>0</v>
      </c>
      <c r="F27" s="187">
        <f>0</f>
        <v>0</v>
      </c>
      <c r="G27" s="187">
        <f>0</f>
        <v>0</v>
      </c>
      <c r="H27" s="187">
        <f>0</f>
        <v>0</v>
      </c>
      <c r="I27" s="187">
        <f>0</f>
        <v>0</v>
      </c>
      <c r="J27" s="187">
        <f>0</f>
        <v>0</v>
      </c>
      <c r="K27" s="187">
        <f>0</f>
        <v>0</v>
      </c>
      <c r="L27" s="187">
        <f>0</f>
        <v>0</v>
      </c>
      <c r="M27" s="187">
        <f>0</f>
        <v>0</v>
      </c>
      <c r="N27" s="187">
        <f>0</f>
        <v>0</v>
      </c>
      <c r="O27" s="187">
        <f>0</f>
        <v>0</v>
      </c>
      <c r="P27" s="187">
        <f>0</f>
        <v>0</v>
      </c>
      <c r="Q27" s="187">
        <f>0</f>
        <v>0</v>
      </c>
      <c r="R27" s="187">
        <f>0</f>
        <v>0</v>
      </c>
      <c r="S27" s="187">
        <f>0</f>
        <v>0</v>
      </c>
      <c r="T27" s="187">
        <f>0</f>
        <v>0</v>
      </c>
      <c r="U27" s="187">
        <f>0</f>
        <v>0</v>
      </c>
      <c r="V27" s="187">
        <f>0</f>
        <v>0</v>
      </c>
      <c r="W27" s="187">
        <f>0</f>
        <v>0</v>
      </c>
      <c r="X27" s="187">
        <f>0</f>
        <v>0</v>
      </c>
      <c r="Y27" s="187">
        <f>0</f>
        <v>0</v>
      </c>
      <c r="Z27" s="187">
        <f>0</f>
        <v>0</v>
      </c>
      <c r="AA27" s="187">
        <f>0</f>
        <v>0</v>
      </c>
      <c r="AB27" s="187">
        <f>0</f>
        <v>0</v>
      </c>
      <c r="AC27" s="187">
        <f>0</f>
        <v>0</v>
      </c>
      <c r="AD27" s="187">
        <f>0</f>
        <v>0</v>
      </c>
      <c r="AE27" s="187">
        <f>0</f>
        <v>0</v>
      </c>
      <c r="AF27" s="187">
        <f>0</f>
        <v>0</v>
      </c>
      <c r="AG27" s="187">
        <f>0</f>
        <v>0</v>
      </c>
      <c r="AH27" s="187">
        <f>0</f>
        <v>0</v>
      </c>
      <c r="AI27" s="187">
        <f>0</f>
        <v>0</v>
      </c>
      <c r="AJ27" s="187">
        <f>0</f>
        <v>0</v>
      </c>
      <c r="AK27" s="187">
        <f>0</f>
        <v>0</v>
      </c>
      <c r="AL27" s="187">
        <f>0</f>
        <v>0</v>
      </c>
      <c r="AM27" s="187">
        <f>0</f>
        <v>0</v>
      </c>
      <c r="AN27" s="187">
        <f>0</f>
        <v>0</v>
      </c>
      <c r="AO27" s="187">
        <f>0</f>
        <v>0</v>
      </c>
      <c r="AP27" s="187">
        <f>0</f>
        <v>0</v>
      </c>
      <c r="AQ27" s="187">
        <f>0</f>
        <v>0</v>
      </c>
      <c r="AR27" s="187">
        <f>0</f>
        <v>0</v>
      </c>
      <c r="AS27" s="187">
        <f>0</f>
        <v>0</v>
      </c>
      <c r="AT27" s="187">
        <f>0</f>
        <v>0</v>
      </c>
      <c r="AU27" s="187">
        <f>0</f>
        <v>0</v>
      </c>
      <c r="AV27" s="187">
        <f>0</f>
        <v>0</v>
      </c>
      <c r="AW27" s="187">
        <f>0</f>
        <v>0</v>
      </c>
      <c r="AX27" s="187">
        <f>0</f>
        <v>0</v>
      </c>
      <c r="AY27" s="187">
        <f>0</f>
        <v>0</v>
      </c>
      <c r="AZ27" s="187">
        <f>0</f>
        <v>0</v>
      </c>
      <c r="BA27" s="187">
        <f>0</f>
        <v>0</v>
      </c>
      <c r="BB27" s="187">
        <f>0</f>
        <v>0</v>
      </c>
      <c r="BC27" s="187">
        <f>0</f>
        <v>0</v>
      </c>
      <c r="BD27" s="187">
        <f>0</f>
        <v>0</v>
      </c>
      <c r="BE27" s="187">
        <f>0</f>
        <v>0</v>
      </c>
      <c r="BF27" s="187">
        <f>0</f>
        <v>0</v>
      </c>
      <c r="BG27" s="187">
        <f>0</f>
        <v>0</v>
      </c>
      <c r="BH27" s="187">
        <f>0</f>
        <v>0</v>
      </c>
    </row>
    <row r="28" spans="1:60" ht="15" customHeight="1">
      <c r="A28" s="154"/>
      <c r="B28" s="146" t="s">
        <v>165</v>
      </c>
      <c r="C28" s="147" t="s">
        <v>111</v>
      </c>
      <c r="D28" s="201">
        <f>SUM(E28:XFD28)</f>
        <v>22873926.618900001</v>
      </c>
      <c r="E28" s="187">
        <f>36982.6360771975</f>
        <v>0</v>
      </c>
      <c r="F28" s="187">
        <f>147633.014120381</f>
        <v>0</v>
      </c>
      <c r="G28" s="187">
        <f>74028.2495639437</f>
        <v>0</v>
      </c>
      <c r="H28" s="187">
        <f>132422.385905866</f>
        <v>0</v>
      </c>
      <c r="I28" s="187">
        <f>139638.76122027</f>
        <v>0</v>
      </c>
      <c r="J28" s="187">
        <f>35517.6362057565</f>
        <v>0</v>
      </c>
      <c r="K28" s="187">
        <f>2394.77229264798</f>
        <v>0</v>
      </c>
      <c r="L28" s="187">
        <f>0</f>
        <v>0</v>
      </c>
      <c r="M28" s="187">
        <f>0</f>
        <v>0</v>
      </c>
      <c r="N28" s="187">
        <f>0</f>
        <v>0</v>
      </c>
      <c r="O28" s="187">
        <f>124208.652235208</f>
        <v>0</v>
      </c>
      <c r="P28" s="187">
        <f>0</f>
        <v>0</v>
      </c>
      <c r="Q28" s="187">
        <f>35984.4032498828</f>
        <v>0</v>
      </c>
      <c r="R28" s="187">
        <f>400608.866003927</f>
        <v>0</v>
      </c>
      <c r="S28" s="187">
        <f>810.164966896643</f>
        <v>0</v>
      </c>
      <c r="T28" s="187">
        <f>226472.207067382</f>
        <v>0</v>
      </c>
      <c r="U28" s="187">
        <f>240074.876884423</f>
        <v>0</v>
      </c>
      <c r="V28" s="187">
        <f>523673.729895264</f>
        <v>0</v>
      </c>
      <c r="W28" s="187">
        <f>1454693.02615506</f>
        <v>0</v>
      </c>
      <c r="X28" s="187">
        <f>1426866.27680321</f>
        <v>0</v>
      </c>
      <c r="Y28" s="187">
        <f>2821410.98095837</f>
        <v>0</v>
      </c>
      <c r="Z28" s="187">
        <f>1259217.17696814</f>
        <v>0</v>
      </c>
      <c r="AA28" s="187">
        <f>197726.120060839</f>
        <v>0</v>
      </c>
      <c r="AB28" s="187">
        <f>0</f>
        <v>0</v>
      </c>
      <c r="AC28" s="187">
        <f>0</f>
        <v>0</v>
      </c>
      <c r="AD28" s="187">
        <f>0</f>
        <v>0</v>
      </c>
      <c r="AE28" s="187">
        <f>2069446.89119588</f>
        <v>0</v>
      </c>
      <c r="AF28" s="187">
        <f>0</f>
        <v>0</v>
      </c>
      <c r="AG28" s="187">
        <f>723743.642113469</f>
        <v>0</v>
      </c>
      <c r="AH28" s="187">
        <f>5365006.20767009</f>
        <v>0</v>
      </c>
      <c r="AI28" s="187">
        <f>214179.024672472</f>
        <v>0</v>
      </c>
      <c r="AJ28" s="187">
        <f>1526928.22246974</f>
        <v>0</v>
      </c>
      <c r="AK28" s="187">
        <f>29650.8854987799</f>
        <v>0</v>
      </c>
      <c r="AL28" s="187">
        <f>1225396.40641166</f>
        <v>0</v>
      </c>
      <c r="AM28" s="187">
        <f>0</f>
        <v>0</v>
      </c>
      <c r="AN28" s="187">
        <f>0</f>
        <v>0</v>
      </c>
      <c r="AO28" s="187">
        <f>0</f>
        <v>0</v>
      </c>
      <c r="AP28" s="187">
        <f>0</f>
        <v>0</v>
      </c>
      <c r="AQ28" s="187">
        <f>0</f>
        <v>0</v>
      </c>
      <c r="AR28" s="187">
        <f>0</f>
        <v>0</v>
      </c>
      <c r="AS28" s="187">
        <f>21534.2965368373</f>
        <v>0</v>
      </c>
      <c r="AT28" s="187">
        <f>88760.7246457458</f>
        <v>0</v>
      </c>
      <c r="AU28" s="187">
        <f>10868.37841305</f>
        <v>0</v>
      </c>
      <c r="AV28" s="187">
        <f>6250.11525394992</f>
        <v>0</v>
      </c>
      <c r="AW28" s="187">
        <f>519793.482090109</f>
        <v>0</v>
      </c>
      <c r="AX28" s="187">
        <f>933511.466091945</f>
        <v>0</v>
      </c>
      <c r="AY28" s="187">
        <f>441725.177044082</f>
        <v>0</v>
      </c>
      <c r="AZ28" s="187">
        <f>76586.6469295959</f>
        <v>0</v>
      </c>
      <c r="BA28" s="187">
        <f>14769.1253986411</f>
        <v>0</v>
      </c>
      <c r="BB28" s="187">
        <f>71050.2832034576</f>
        <v>0</v>
      </c>
      <c r="BC28" s="187">
        <f>13679.8438333457</f>
        <v>0</v>
      </c>
      <c r="BD28" s="187">
        <f>1760.82038507536</f>
        <v>0</v>
      </c>
      <c r="BE28" s="187">
        <f>155308.066660517</f>
        <v>0</v>
      </c>
      <c r="BF28" s="187">
        <f>0</f>
        <v>0</v>
      </c>
      <c r="BG28" s="187">
        <f>83565.2237087719</f>
        <v>0</v>
      </c>
      <c r="BH28" s="187">
        <f>47.7520507400558</f>
        <v>0</v>
      </c>
    </row>
    <row r="29" spans="1:60" ht="15" customHeight="1">
      <c r="A29" s="154"/>
      <c r="B29" s="146" t="s">
        <v>166</v>
      </c>
      <c r="C29" s="156" t="s">
        <v>112</v>
      </c>
      <c r="D29" s="201">
        <f>SUM(E29:XFD29)</f>
        <v>0</v>
      </c>
      <c r="E29" s="187">
        <f>0</f>
        <v>0</v>
      </c>
      <c r="F29" s="187">
        <f>0</f>
        <v>0</v>
      </c>
      <c r="G29" s="187">
        <f>0</f>
        <v>0</v>
      </c>
      <c r="H29" s="187">
        <f>0</f>
        <v>0</v>
      </c>
      <c r="I29" s="187">
        <f>0</f>
        <v>0</v>
      </c>
      <c r="J29" s="187">
        <f>0</f>
        <v>0</v>
      </c>
      <c r="K29" s="187">
        <f>0</f>
        <v>0</v>
      </c>
      <c r="L29" s="187">
        <f>0</f>
        <v>0</v>
      </c>
      <c r="M29" s="187">
        <f>0</f>
        <v>0</v>
      </c>
      <c r="N29" s="187">
        <f>0</f>
        <v>0</v>
      </c>
      <c r="O29" s="187">
        <f>0</f>
        <v>0</v>
      </c>
      <c r="P29" s="187">
        <f>0</f>
        <v>0</v>
      </c>
      <c r="Q29" s="187">
        <f>0</f>
        <v>0</v>
      </c>
      <c r="R29" s="187">
        <f>0</f>
        <v>0</v>
      </c>
      <c r="S29" s="187">
        <f>0</f>
        <v>0</v>
      </c>
      <c r="T29" s="187">
        <f>0</f>
        <v>0</v>
      </c>
      <c r="U29" s="187">
        <f>0</f>
        <v>0</v>
      </c>
      <c r="V29" s="187">
        <f>0</f>
        <v>0</v>
      </c>
      <c r="W29" s="187">
        <f>0</f>
        <v>0</v>
      </c>
      <c r="X29" s="187">
        <f>0</f>
        <v>0</v>
      </c>
      <c r="Y29" s="187">
        <f>0</f>
        <v>0</v>
      </c>
      <c r="Z29" s="187">
        <f>0</f>
        <v>0</v>
      </c>
      <c r="AA29" s="187">
        <f>0</f>
        <v>0</v>
      </c>
      <c r="AB29" s="187">
        <f>0</f>
        <v>0</v>
      </c>
      <c r="AC29" s="187">
        <f>0</f>
        <v>0</v>
      </c>
      <c r="AD29" s="187">
        <f>0</f>
        <v>0</v>
      </c>
      <c r="AE29" s="187">
        <f>0</f>
        <v>0</v>
      </c>
      <c r="AF29" s="187">
        <f>0</f>
        <v>0</v>
      </c>
      <c r="AG29" s="187">
        <f>0</f>
        <v>0</v>
      </c>
      <c r="AH29" s="187">
        <f>0</f>
        <v>0</v>
      </c>
      <c r="AI29" s="187">
        <f>0</f>
        <v>0</v>
      </c>
      <c r="AJ29" s="187">
        <f>0</f>
        <v>0</v>
      </c>
      <c r="AK29" s="187">
        <f>0</f>
        <v>0</v>
      </c>
      <c r="AL29" s="187">
        <f>0</f>
        <v>0</v>
      </c>
      <c r="AM29" s="187">
        <f>0</f>
        <v>0</v>
      </c>
      <c r="AN29" s="187">
        <f>0</f>
        <v>0</v>
      </c>
      <c r="AO29" s="187">
        <f>0</f>
        <v>0</v>
      </c>
      <c r="AP29" s="187">
        <f>0</f>
        <v>0</v>
      </c>
      <c r="AQ29" s="187">
        <f>0</f>
        <v>0</v>
      </c>
      <c r="AR29" s="187">
        <f>0</f>
        <v>0</v>
      </c>
      <c r="AS29" s="187">
        <f>0</f>
        <v>0</v>
      </c>
      <c r="AT29" s="187">
        <f>0</f>
        <v>0</v>
      </c>
      <c r="AU29" s="187">
        <f>0</f>
        <v>0</v>
      </c>
      <c r="AV29" s="187">
        <f>0</f>
        <v>0</v>
      </c>
      <c r="AW29" s="187">
        <f>0</f>
        <v>0</v>
      </c>
      <c r="AX29" s="187">
        <f>0</f>
        <v>0</v>
      </c>
      <c r="AY29" s="187">
        <f>0</f>
        <v>0</v>
      </c>
      <c r="AZ29" s="187">
        <f>0</f>
        <v>0</v>
      </c>
      <c r="BA29" s="187">
        <f>0</f>
        <v>0</v>
      </c>
      <c r="BB29" s="187">
        <f>0</f>
        <v>0</v>
      </c>
      <c r="BC29" s="187">
        <f>0</f>
        <v>0</v>
      </c>
      <c r="BD29" s="187">
        <f>0</f>
        <v>0</v>
      </c>
      <c r="BE29" s="187">
        <f>0</f>
        <v>0</v>
      </c>
      <c r="BF29" s="187">
        <f>0</f>
        <v>0</v>
      </c>
      <c r="BG29" s="187">
        <f>0</f>
        <v>0</v>
      </c>
      <c r="BH29" s="187">
        <f>0</f>
        <v>0</v>
      </c>
    </row>
    <row r="30" spans="1:60" ht="15" customHeight="1">
      <c r="A30" s="153">
        <f>'Wksh 1 - Market Experience'!E16</f>
        <v>0</v>
      </c>
      <c r="B30" s="146" t="s">
        <v>167</v>
      </c>
      <c r="C30" s="147" t="s">
        <v>113</v>
      </c>
      <c r="D30" s="201">
        <f t="shared" ref="D30:AI30" si="2">D26-D27-D28-D29</f>
        <v>103339476.1586</v>
      </c>
      <c r="E30" s="217">
        <f t="shared" si="2"/>
        <v>0</v>
      </c>
      <c r="F30" s="217">
        <f t="shared" si="2"/>
        <v>0</v>
      </c>
      <c r="G30" s="217">
        <f t="shared" si="2"/>
        <v>0</v>
      </c>
      <c r="H30" s="217">
        <f t="shared" si="2"/>
        <v>0</v>
      </c>
      <c r="I30" s="217">
        <f t="shared" si="2"/>
        <v>0</v>
      </c>
      <c r="J30" s="217">
        <f t="shared" si="2"/>
        <v>0</v>
      </c>
      <c r="K30" s="217">
        <f t="shared" si="2"/>
        <v>0</v>
      </c>
      <c r="L30" s="217">
        <f t="shared" si="2"/>
        <v>0</v>
      </c>
      <c r="M30" s="217">
        <f t="shared" si="2"/>
        <v>0</v>
      </c>
      <c r="N30" s="217">
        <f t="shared" si="2"/>
        <v>0</v>
      </c>
      <c r="O30" s="217">
        <f t="shared" si="2"/>
        <v>0</v>
      </c>
      <c r="P30" s="217">
        <f t="shared" si="2"/>
        <v>0</v>
      </c>
      <c r="Q30" s="217">
        <f t="shared" si="2"/>
        <v>0</v>
      </c>
      <c r="R30" s="217">
        <f t="shared" si="2"/>
        <v>0</v>
      </c>
      <c r="S30" s="217">
        <f t="shared" si="2"/>
        <v>0</v>
      </c>
      <c r="T30" s="217">
        <f t="shared" si="2"/>
        <v>0</v>
      </c>
      <c r="U30" s="217">
        <f t="shared" si="2"/>
        <v>0</v>
      </c>
      <c r="V30" s="217">
        <f t="shared" si="2"/>
        <v>0</v>
      </c>
      <c r="W30" s="217">
        <f t="shared" si="2"/>
        <v>0</v>
      </c>
      <c r="X30" s="217">
        <f t="shared" si="2"/>
        <v>0</v>
      </c>
      <c r="Y30" s="217">
        <f t="shared" si="2"/>
        <v>0</v>
      </c>
      <c r="Z30" s="217">
        <f t="shared" si="2"/>
        <v>0</v>
      </c>
      <c r="AA30" s="217">
        <f t="shared" si="2"/>
        <v>0</v>
      </c>
      <c r="AB30" s="217">
        <f t="shared" si="2"/>
        <v>0</v>
      </c>
      <c r="AC30" s="217">
        <f t="shared" si="2"/>
        <v>0</v>
      </c>
      <c r="AD30" s="217">
        <f t="shared" si="2"/>
        <v>0</v>
      </c>
      <c r="AE30" s="217">
        <f t="shared" si="2"/>
        <v>0</v>
      </c>
      <c r="AF30" s="217">
        <f t="shared" si="2"/>
        <v>0</v>
      </c>
      <c r="AG30" s="217">
        <f t="shared" si="2"/>
        <v>0</v>
      </c>
      <c r="AH30" s="217">
        <f t="shared" si="2"/>
        <v>0</v>
      </c>
      <c r="AI30" s="217">
        <f t="shared" si="2"/>
        <v>0</v>
      </c>
      <c r="AJ30" s="217">
        <f t="shared" ref="AJ30:BO30" si="3">AJ26-AJ27-AJ28-AJ29</f>
        <v>0</v>
      </c>
      <c r="AK30" s="217">
        <f t="shared" si="3"/>
        <v>0</v>
      </c>
      <c r="AL30" s="217">
        <f t="shared" si="3"/>
        <v>0</v>
      </c>
      <c r="AM30" s="217">
        <f t="shared" si="3"/>
        <v>0</v>
      </c>
      <c r="AN30" s="217">
        <f t="shared" si="3"/>
        <v>0</v>
      </c>
      <c r="AO30" s="217">
        <f t="shared" si="3"/>
        <v>0</v>
      </c>
      <c r="AP30" s="217">
        <f t="shared" si="3"/>
        <v>0</v>
      </c>
      <c r="AQ30" s="217">
        <f t="shared" si="3"/>
        <v>0</v>
      </c>
      <c r="AR30" s="217">
        <f t="shared" si="3"/>
        <v>0</v>
      </c>
      <c r="AS30" s="217">
        <f t="shared" si="3"/>
        <v>0</v>
      </c>
      <c r="AT30" s="217">
        <f t="shared" si="3"/>
        <v>0</v>
      </c>
      <c r="AU30" s="217">
        <f t="shared" si="3"/>
        <v>0</v>
      </c>
      <c r="AV30" s="217">
        <f t="shared" si="3"/>
        <v>0</v>
      </c>
      <c r="AW30" s="217">
        <f t="shared" si="3"/>
        <v>0</v>
      </c>
      <c r="AX30" s="217">
        <f t="shared" si="3"/>
        <v>0</v>
      </c>
      <c r="AY30" s="217">
        <f t="shared" si="3"/>
        <v>0</v>
      </c>
      <c r="AZ30" s="217">
        <f t="shared" si="3"/>
        <v>0</v>
      </c>
      <c r="BA30" s="217">
        <f t="shared" si="3"/>
        <v>0</v>
      </c>
      <c r="BB30" s="217">
        <f t="shared" si="3"/>
        <v>0</v>
      </c>
      <c r="BC30" s="217">
        <f t="shared" si="3"/>
        <v>0</v>
      </c>
      <c r="BD30" s="217">
        <f t="shared" si="3"/>
        <v>0</v>
      </c>
      <c r="BE30" s="217">
        <f t="shared" si="3"/>
        <v>0</v>
      </c>
      <c r="BF30" s="217">
        <f t="shared" si="3"/>
        <v>0</v>
      </c>
      <c r="BG30" s="217">
        <f t="shared" si="3"/>
        <v>0</v>
      </c>
      <c r="BH30" s="217">
        <f t="shared" si="3"/>
        <v>0</v>
      </c>
    </row>
    <row r="31" spans="1:60" ht="15" customHeight="1">
      <c r="A31" s="153">
        <f>'Wksh 1 - Market Experience'!E17</f>
        <v>0</v>
      </c>
      <c r="B31" s="146" t="s">
        <v>168</v>
      </c>
      <c r="C31" s="156" t="s">
        <v>114</v>
      </c>
      <c r="D31" s="201">
        <f>SUM(E31:XFD31)</f>
        <v>-11836659.779999999</v>
      </c>
      <c r="E31" s="187">
        <f>-75315.6946678451</f>
        <v>0</v>
      </c>
      <c r="F31" s="187">
        <f>-227997.960209777</f>
        <v>0</v>
      </c>
      <c r="G31" s="187">
        <f>102735.933660051</f>
        <v>0</v>
      </c>
      <c r="H31" s="187">
        <f>-208250.552737497</f>
        <v>0</v>
      </c>
      <c r="I31" s="187">
        <f>-79949.0973060987</f>
        <v>0</v>
      </c>
      <c r="J31" s="187">
        <f>81782.7401061944</f>
        <v>0</v>
      </c>
      <c r="K31" s="187">
        <f>-22812.6239122076</f>
        <v>0</v>
      </c>
      <c r="L31" s="187">
        <f>0</f>
        <v>0</v>
      </c>
      <c r="M31" s="187">
        <f>0</f>
        <v>0</v>
      </c>
      <c r="N31" s="187">
        <f>0</f>
        <v>0</v>
      </c>
      <c r="O31" s="187">
        <f>160947.240969359</f>
        <v>0</v>
      </c>
      <c r="P31" s="187">
        <f>0</f>
        <v>0</v>
      </c>
      <c r="Q31" s="187">
        <f>-67659.6759693204</f>
        <v>0</v>
      </c>
      <c r="R31" s="187">
        <f>-1005100.42445505</f>
        <v>0</v>
      </c>
      <c r="S31" s="187">
        <f>-4869.42013416453</f>
        <v>0</v>
      </c>
      <c r="T31" s="187">
        <f>-123520.599497118</f>
        <v>0</v>
      </c>
      <c r="U31" s="187">
        <f>-467687.92524155</f>
        <v>0</v>
      </c>
      <c r="V31" s="187">
        <f>-617627.401053415</f>
        <v>0</v>
      </c>
      <c r="W31" s="187">
        <f>277481.082706744</f>
        <v>0</v>
      </c>
      <c r="X31" s="187">
        <f>-353826.569035134</f>
        <v>0</v>
      </c>
      <c r="Y31" s="187">
        <f>-53802.0879074887</f>
        <v>0</v>
      </c>
      <c r="Z31" s="187">
        <f>-34927.6694620244</f>
        <v>0</v>
      </c>
      <c r="AA31" s="187">
        <f>-215472.048435319</f>
        <v>0</v>
      </c>
      <c r="AB31" s="187">
        <f>0</f>
        <v>0</v>
      </c>
      <c r="AC31" s="187">
        <f>0</f>
        <v>0</v>
      </c>
      <c r="AD31" s="187">
        <f>0</f>
        <v>0</v>
      </c>
      <c r="AE31" s="187">
        <f>-2115853.21484555</f>
        <v>0</v>
      </c>
      <c r="AF31" s="187">
        <f>0</f>
        <v>0</v>
      </c>
      <c r="AG31" s="187">
        <f>-339271.703804583</f>
        <v>0</v>
      </c>
      <c r="AH31" s="187">
        <f>-3417121.65098911</f>
        <v>0</v>
      </c>
      <c r="AI31" s="187">
        <f>-227475.688728101</f>
        <v>0</v>
      </c>
      <c r="AJ31" s="187">
        <f>-1459652.27130848</f>
        <v>0</v>
      </c>
      <c r="AK31" s="187">
        <f>-116578.449307833</f>
        <v>0</v>
      </c>
      <c r="AL31" s="187">
        <f>-145442.512465684</f>
        <v>0</v>
      </c>
      <c r="AM31" s="187">
        <f>0</f>
        <v>0</v>
      </c>
      <c r="AN31" s="187">
        <f>0</f>
        <v>0</v>
      </c>
      <c r="AO31" s="187">
        <f>0</f>
        <v>0</v>
      </c>
      <c r="AP31" s="187">
        <f>0</f>
        <v>0</v>
      </c>
      <c r="AQ31" s="187">
        <f>0</f>
        <v>0</v>
      </c>
      <c r="AR31" s="187">
        <f>0</f>
        <v>0</v>
      </c>
      <c r="AS31" s="187">
        <f>-106891.743823985</f>
        <v>0</v>
      </c>
      <c r="AT31" s="187">
        <f>-183013.515177245</f>
        <v>0</v>
      </c>
      <c r="AU31" s="187">
        <f>-59405.316457005</f>
        <v>0</v>
      </c>
      <c r="AV31" s="187">
        <f>-32442.7477923087</f>
        <v>0</v>
      </c>
      <c r="AW31" s="187">
        <f>126402.965647226</f>
        <v>0</v>
      </c>
      <c r="AX31" s="187">
        <f>-353621.102843134</f>
        <v>0</v>
      </c>
      <c r="AY31" s="187">
        <f>-351094.966441439</f>
        <v>0</v>
      </c>
      <c r="AZ31" s="187">
        <f>-88605.5619687023</f>
        <v>0</v>
      </c>
      <c r="BA31" s="187">
        <f>-3107.18355157603</f>
        <v>0</v>
      </c>
      <c r="BB31" s="187">
        <f>-67969.343631353</f>
        <v>0</v>
      </c>
      <c r="BC31" s="187">
        <f>43361.8987604756</f>
        <v>0</v>
      </c>
      <c r="BD31" s="187">
        <f>-15200.184708588</f>
        <v>0</v>
      </c>
      <c r="BE31" s="187">
        <f>120860.440968504</f>
        <v>0</v>
      </c>
      <c r="BF31" s="187">
        <f>-1236.13989760195</f>
        <v>0</v>
      </c>
      <c r="BG31" s="187">
        <f>-76714.4265340769</f>
        <v>0</v>
      </c>
      <c r="BH31" s="187">
        <f>-30714.6085181764</f>
        <v>0</v>
      </c>
    </row>
    <row r="32" spans="1:60" ht="15" customHeight="1">
      <c r="A32" s="153">
        <f>'Wksh 1 - Market Experience'!E18</f>
        <v>0</v>
      </c>
      <c r="B32" s="146" t="s">
        <v>169</v>
      </c>
      <c r="C32" s="156" t="s">
        <v>115</v>
      </c>
      <c r="D32" s="201">
        <f>SUM(E32:XFD32)</f>
        <v>113412116.5643</v>
      </c>
      <c r="E32" s="187">
        <f>157568.413027931</f>
        <v>0</v>
      </c>
      <c r="F32" s="187">
        <f>573899.645646487</f>
        <v>0</v>
      </c>
      <c r="G32" s="187">
        <f>686391.568845271</f>
        <v>0</v>
      </c>
      <c r="H32" s="187">
        <f>629773.324367006</f>
        <v>0</v>
      </c>
      <c r="I32" s="187">
        <f>843586.578555236</f>
        <v>0</v>
      </c>
      <c r="J32" s="187">
        <f>185875.527843855</f>
        <v>0</v>
      </c>
      <c r="K32" s="187">
        <f>71004.4376419784</f>
        <v>0</v>
      </c>
      <c r="L32" s="187">
        <f>0</f>
        <v>0</v>
      </c>
      <c r="M32" s="187">
        <f>0</f>
        <v>0</v>
      </c>
      <c r="N32" s="187">
        <f>0</f>
        <v>0</v>
      </c>
      <c r="O32" s="187">
        <f>541767.938351335</f>
        <v>0</v>
      </c>
      <c r="P32" s="187">
        <f>0</f>
        <v>0</v>
      </c>
      <c r="Q32" s="187">
        <f>134099.34190714</f>
        <v>0</v>
      </c>
      <c r="R32" s="187">
        <f>1950833.2773127</f>
        <v>0</v>
      </c>
      <c r="S32" s="187">
        <f>8746.22250662082</f>
        <v>0</v>
      </c>
      <c r="T32" s="187">
        <f>639227.434293652</f>
        <v>0</v>
      </c>
      <c r="U32" s="187">
        <f>1338240.89099685</f>
        <v>0</v>
      </c>
      <c r="V32" s="187">
        <f>1994029.65655233</f>
        <v>0</v>
      </c>
      <c r="W32" s="187">
        <f>11494603.951003</f>
        <v>0</v>
      </c>
      <c r="X32" s="187">
        <f>8037872.9062842</f>
        <v>0</v>
      </c>
      <c r="Y32" s="187">
        <f>15265627.4259945</f>
        <v>0</v>
      </c>
      <c r="Z32" s="187">
        <f>7181243.16388109</f>
        <v>0</v>
      </c>
      <c r="AA32" s="187">
        <f>2456799.87455015</f>
        <v>0</v>
      </c>
      <c r="AB32" s="187">
        <f>0</f>
        <v>0</v>
      </c>
      <c r="AC32" s="187">
        <f>0</f>
        <v>0</v>
      </c>
      <c r="AD32" s="187">
        <f>0</f>
        <v>0</v>
      </c>
      <c r="AE32" s="187">
        <f>8704330.83980119</f>
        <v>0</v>
      </c>
      <c r="AF32" s="187">
        <f>0</f>
        <v>0</v>
      </c>
      <c r="AG32" s="187">
        <f>3036860.48093449</f>
        <v>0</v>
      </c>
      <c r="AH32" s="187">
        <f>22017290.6920292</f>
        <v>0</v>
      </c>
      <c r="AI32" s="187">
        <f>864560.059356324</f>
        <v>0</v>
      </c>
      <c r="AJ32" s="187">
        <f>5355085.11930884</f>
        <v>0</v>
      </c>
      <c r="AK32" s="187">
        <f>190167.002134458</f>
        <v>0</v>
      </c>
      <c r="AL32" s="187">
        <f>4083208.59875926</f>
        <v>0</v>
      </c>
      <c r="AM32" s="187">
        <f>0</f>
        <v>0</v>
      </c>
      <c r="AN32" s="187">
        <f>0</f>
        <v>0</v>
      </c>
      <c r="AO32" s="187">
        <f>0</f>
        <v>0</v>
      </c>
      <c r="AP32" s="187">
        <f>0</f>
        <v>0</v>
      </c>
      <c r="AQ32" s="187">
        <f>0</f>
        <v>0</v>
      </c>
      <c r="AR32" s="187">
        <f>0</f>
        <v>0</v>
      </c>
      <c r="AS32" s="187">
        <f>314629.900935206</f>
        <v>0</v>
      </c>
      <c r="AT32" s="187">
        <f>593477.32216763</f>
        <v>0</v>
      </c>
      <c r="AU32" s="187">
        <f>118467.604505341</f>
        <v>0</v>
      </c>
      <c r="AV32" s="187">
        <f>49981.8787512508</f>
        <v>0</v>
      </c>
      <c r="AW32" s="187">
        <f>5892468.83700952</f>
        <v>0</v>
      </c>
      <c r="AX32" s="187">
        <f>3962213.51143131</f>
        <v>0</v>
      </c>
      <c r="AY32" s="187">
        <f>1951308.42789353</f>
        <v>0</v>
      </c>
      <c r="AZ32" s="187">
        <f>262932.969297222</f>
        <v>0</v>
      </c>
      <c r="BA32" s="187">
        <f>52445.9160809942</f>
        <v>0</v>
      </c>
      <c r="BB32" s="187">
        <f>451693.571592116</f>
        <v>0</v>
      </c>
      <c r="BC32" s="187">
        <f>30793.9333013453</f>
        <v>0</v>
      </c>
      <c r="BD32" s="187">
        <f>26088.4282939102</f>
        <v>0</v>
      </c>
      <c r="BE32" s="187">
        <f>669744.586303114</f>
        <v>0</v>
      </c>
      <c r="BF32" s="187">
        <f>2380.2934733418</f>
        <v>0</v>
      </c>
      <c r="BG32" s="187">
        <f>553911.717463543</f>
        <v>0</v>
      </c>
      <c r="BH32" s="187">
        <f>36883.2938871032</f>
        <v>0</v>
      </c>
    </row>
    <row r="33" spans="1:60" ht="15" customHeight="1">
      <c r="A33" s="157">
        <f>'Wksh 1 - Market Experience'!E19</f>
        <v>0</v>
      </c>
      <c r="B33" s="146" t="s">
        <v>170</v>
      </c>
      <c r="C33" s="156" t="s">
        <v>22</v>
      </c>
      <c r="D33" s="202">
        <f>SUM(E33:XFD33)</f>
        <v>182178</v>
      </c>
      <c r="E33" s="218">
        <f>346</f>
        <v>0</v>
      </c>
      <c r="F33" s="218">
        <f>1312</f>
        <v>0</v>
      </c>
      <c r="G33" s="218">
        <f>1112</f>
        <v>0</v>
      </c>
      <c r="H33" s="218">
        <f>1028</f>
        <v>0</v>
      </c>
      <c r="I33" s="218">
        <f>1533</f>
        <v>0</v>
      </c>
      <c r="J33" s="218">
        <f>277</f>
        <v>0</v>
      </c>
      <c r="K33" s="218">
        <f>72</f>
        <v>0</v>
      </c>
      <c r="L33" s="218">
        <f>0</f>
        <v>0</v>
      </c>
      <c r="M33" s="218">
        <f>0</f>
        <v>0</v>
      </c>
      <c r="N33" s="218">
        <f>0</f>
        <v>0</v>
      </c>
      <c r="O33" s="218">
        <f>955</f>
        <v>0</v>
      </c>
      <c r="P33" s="218">
        <f>0</f>
        <v>0</v>
      </c>
      <c r="Q33" s="218">
        <f>337</f>
        <v>0</v>
      </c>
      <c r="R33" s="218">
        <f>4056</f>
        <v>0</v>
      </c>
      <c r="S33" s="218">
        <f>18</f>
        <v>0</v>
      </c>
      <c r="T33" s="218">
        <f>1452</f>
        <v>0</v>
      </c>
      <c r="U33" s="218">
        <f>2379</f>
        <v>0</v>
      </c>
      <c r="V33" s="218">
        <f>3961</f>
        <v>0</v>
      </c>
      <c r="W33" s="218">
        <f>16190</f>
        <v>0</v>
      </c>
      <c r="X33" s="218">
        <f>12077</f>
        <v>0</v>
      </c>
      <c r="Y33" s="218">
        <f>22348</f>
        <v>0</v>
      </c>
      <c r="Z33" s="218">
        <f>9666</f>
        <v>0</v>
      </c>
      <c r="AA33" s="218">
        <f>2798</f>
        <v>0</v>
      </c>
      <c r="AB33" s="218">
        <f>0</f>
        <v>0</v>
      </c>
      <c r="AC33" s="218">
        <f>0</f>
        <v>0</v>
      </c>
      <c r="AD33" s="218">
        <f>0</f>
        <v>0</v>
      </c>
      <c r="AE33" s="218">
        <f>15580</f>
        <v>0</v>
      </c>
      <c r="AF33" s="218">
        <f>0</f>
        <v>0</v>
      </c>
      <c r="AG33" s="218">
        <f>5117</f>
        <v>0</v>
      </c>
      <c r="AH33" s="218">
        <f>39029</f>
        <v>0</v>
      </c>
      <c r="AI33" s="218">
        <f>1236</f>
        <v>0</v>
      </c>
      <c r="AJ33" s="218">
        <f>10387</f>
        <v>0</v>
      </c>
      <c r="AK33" s="218">
        <f>443</f>
        <v>0</v>
      </c>
      <c r="AL33" s="218">
        <f>7346</f>
        <v>0</v>
      </c>
      <c r="AM33" s="218">
        <f>0</f>
        <v>0</v>
      </c>
      <c r="AN33" s="218">
        <f>0</f>
        <v>0</v>
      </c>
      <c r="AO33" s="218">
        <f>0</f>
        <v>0</v>
      </c>
      <c r="AP33" s="218">
        <f>0</f>
        <v>0</v>
      </c>
      <c r="AQ33" s="218">
        <f>0</f>
        <v>0</v>
      </c>
      <c r="AR33" s="218">
        <f>0</f>
        <v>0</v>
      </c>
      <c r="AS33" s="218">
        <f>450</f>
        <v>0</v>
      </c>
      <c r="AT33" s="218">
        <f>919</f>
        <v>0</v>
      </c>
      <c r="AU33" s="218">
        <f>215</f>
        <v>0</v>
      </c>
      <c r="AV33" s="218">
        <f>88</f>
        <v>0</v>
      </c>
      <c r="AW33" s="218">
        <f>7134</f>
        <v>0</v>
      </c>
      <c r="AX33" s="218">
        <f>5915</f>
        <v>0</v>
      </c>
      <c r="AY33" s="218">
        <f>3087</f>
        <v>0</v>
      </c>
      <c r="AZ33" s="218">
        <f>441</f>
        <v>0</v>
      </c>
      <c r="BA33" s="218">
        <f>84</f>
        <v>0</v>
      </c>
      <c r="BB33" s="218">
        <f>652</f>
        <v>0</v>
      </c>
      <c r="BC33" s="218">
        <f>54</f>
        <v>0</v>
      </c>
      <c r="BD33" s="218">
        <f>30</f>
        <v>0</v>
      </c>
      <c r="BE33" s="218">
        <f>1005</f>
        <v>0</v>
      </c>
      <c r="BF33" s="218">
        <f>4</f>
        <v>0</v>
      </c>
      <c r="BG33" s="218">
        <f>977</f>
        <v>0</v>
      </c>
      <c r="BH33" s="218">
        <f>68</f>
        <v>0</v>
      </c>
    </row>
    <row r="34" spans="1:60" ht="15" customHeight="1">
      <c r="A34" s="154"/>
      <c r="B34" s="146" t="s">
        <v>171</v>
      </c>
      <c r="C34" s="156" t="s">
        <v>116</v>
      </c>
      <c r="D34" s="202">
        <f>SUM(E34:XFD34)</f>
        <v>18761</v>
      </c>
      <c r="E34" s="218">
        <f>48</f>
        <v>0</v>
      </c>
      <c r="F34" s="218">
        <f>162</f>
        <v>0</v>
      </c>
      <c r="G34" s="218">
        <f>75</f>
        <v>0</v>
      </c>
      <c r="H34" s="218">
        <f>127</f>
        <v>0</v>
      </c>
      <c r="I34" s="218">
        <f>107</f>
        <v>0</v>
      </c>
      <c r="J34" s="218">
        <f>27</f>
        <v>0</v>
      </c>
      <c r="K34" s="218">
        <f>14</f>
        <v>0</v>
      </c>
      <c r="L34" s="218">
        <f>0</f>
        <v>0</v>
      </c>
      <c r="M34" s="218">
        <f>0</f>
        <v>0</v>
      </c>
      <c r="N34" s="218">
        <f>0</f>
        <v>0</v>
      </c>
      <c r="O34" s="218">
        <f>164</f>
        <v>0</v>
      </c>
      <c r="P34" s="218">
        <f>0</f>
        <v>0</v>
      </c>
      <c r="Q34" s="218">
        <f>58</f>
        <v>0</v>
      </c>
      <c r="R34" s="218">
        <f>258</f>
        <v>0</v>
      </c>
      <c r="S34" s="218">
        <f>4</f>
        <v>0</v>
      </c>
      <c r="T34" s="218">
        <f>207</f>
        <v>0</v>
      </c>
      <c r="U34" s="218">
        <f>233</f>
        <v>0</v>
      </c>
      <c r="V34" s="218">
        <f>496</f>
        <v>0</v>
      </c>
      <c r="W34" s="218">
        <f>1669</f>
        <v>0</v>
      </c>
      <c r="X34" s="218">
        <f>1458</f>
        <v>0</v>
      </c>
      <c r="Y34" s="218">
        <f>2565</f>
        <v>0</v>
      </c>
      <c r="Z34" s="218">
        <f>901</f>
        <v>0</v>
      </c>
      <c r="AA34" s="218">
        <f>332</f>
        <v>0</v>
      </c>
      <c r="AB34" s="218">
        <f>0</f>
        <v>0</v>
      </c>
      <c r="AC34" s="218">
        <f>0</f>
        <v>0</v>
      </c>
      <c r="AD34" s="218">
        <f>0</f>
        <v>0</v>
      </c>
      <c r="AE34" s="218">
        <f>1947</f>
        <v>0</v>
      </c>
      <c r="AF34" s="218">
        <f>0</f>
        <v>0</v>
      </c>
      <c r="AG34" s="218">
        <f>580</f>
        <v>0</v>
      </c>
      <c r="AH34" s="218">
        <f>3288</f>
        <v>0</v>
      </c>
      <c r="AI34" s="218">
        <f>77</f>
        <v>0</v>
      </c>
      <c r="AJ34" s="218">
        <f>1550</f>
        <v>0</v>
      </c>
      <c r="AK34" s="218">
        <f>15</f>
        <v>0</v>
      </c>
      <c r="AL34" s="218">
        <f>657</f>
        <v>0</v>
      </c>
      <c r="AM34" s="218">
        <f>0</f>
        <v>0</v>
      </c>
      <c r="AN34" s="218">
        <f>27</f>
        <v>0</v>
      </c>
      <c r="AO34" s="218">
        <f>0</f>
        <v>0</v>
      </c>
      <c r="AP34" s="218">
        <f>0</f>
        <v>0</v>
      </c>
      <c r="AQ34" s="218">
        <f>0</f>
        <v>0</v>
      </c>
      <c r="AR34" s="218">
        <f>0</f>
        <v>0</v>
      </c>
      <c r="AS34" s="218">
        <f>24</f>
        <v>0</v>
      </c>
      <c r="AT34" s="218">
        <f>44</f>
        <v>0</v>
      </c>
      <c r="AU34" s="218">
        <f>17</f>
        <v>0</v>
      </c>
      <c r="AV34" s="218">
        <f>0</f>
        <v>0</v>
      </c>
      <c r="AW34" s="218">
        <f>676</f>
        <v>0</v>
      </c>
      <c r="AX34" s="218">
        <f>496</f>
        <v>0</v>
      </c>
      <c r="AY34" s="218">
        <f>211</f>
        <v>0</v>
      </c>
      <c r="AZ34" s="218">
        <f>70</f>
        <v>0</v>
      </c>
      <c r="BA34" s="218">
        <f>14</f>
        <v>0</v>
      </c>
      <c r="BB34" s="218">
        <f>114</f>
        <v>0</v>
      </c>
      <c r="BC34" s="218">
        <f>0</f>
        <v>0</v>
      </c>
      <c r="BD34" s="218">
        <f>0</f>
        <v>0</v>
      </c>
      <c r="BE34" s="218">
        <f>25</f>
        <v>0</v>
      </c>
      <c r="BF34" s="218">
        <f>2</f>
        <v>0</v>
      </c>
      <c r="BG34" s="218">
        <f>22</f>
        <v>0</v>
      </c>
      <c r="BH34" s="218">
        <f>0</f>
        <v>0</v>
      </c>
    </row>
    <row r="35" spans="1:60" ht="15" customHeight="1">
      <c r="A35" s="149"/>
      <c r="B35" s="148" t="s">
        <v>172</v>
      </c>
      <c r="C35" s="138" t="s">
        <v>117</v>
      </c>
      <c r="D35" s="203">
        <f>SUMPRODUCT(E35:XFD35,E34:XFD34)/D34</f>
        <v>654.27949999999998</v>
      </c>
      <c r="E35" s="188">
        <f>559.50664850821</f>
        <v>0</v>
      </c>
      <c r="F35" s="188">
        <f>586.364707986916</f>
        <v>0</v>
      </c>
      <c r="G35" s="188">
        <f>779.049221384948</f>
        <v>0</v>
      </c>
      <c r="H35" s="188">
        <f>688.112157806714</f>
        <v>0</v>
      </c>
      <c r="I35" s="188">
        <f>727.571621425494</f>
        <v>0</v>
      </c>
      <c r="J35" s="188">
        <f>827.146659744998</f>
        <v>0</v>
      </c>
      <c r="K35" s="188">
        <f>867.365851607658</f>
        <v>0</v>
      </c>
      <c r="L35" s="188">
        <f>0</f>
        <v>0</v>
      </c>
      <c r="M35" s="188">
        <f>0</f>
        <v>0</v>
      </c>
      <c r="N35" s="188">
        <f>0</f>
        <v>0</v>
      </c>
      <c r="O35" s="188">
        <f>654.230570231309</f>
        <v>0</v>
      </c>
      <c r="P35" s="188">
        <f>0</f>
        <v>0</v>
      </c>
      <c r="Q35" s="188">
        <f>638.276786407421</f>
        <v>0</v>
      </c>
      <c r="R35" s="188">
        <f>629.447617198511</f>
        <v>0</v>
      </c>
      <c r="S35" s="188">
        <f>576.20342232657</f>
        <v>0</v>
      </c>
      <c r="T35" s="188">
        <f>577.877692291165</f>
        <v>0</v>
      </c>
      <c r="U35" s="188">
        <f>595.748258619745</f>
        <v>0</v>
      </c>
      <c r="V35" s="188">
        <f>621.491363745257</f>
        <v>0</v>
      </c>
      <c r="W35" s="188">
        <f>861.215178897605</f>
        <v>0</v>
      </c>
      <c r="X35" s="188">
        <f>759.514483328535</f>
        <v>0</v>
      </c>
      <c r="Y35" s="188">
        <f>777.67671196806</f>
        <v>0</v>
      </c>
      <c r="Z35" s="188">
        <f>867.69059599578</f>
        <v>0</v>
      </c>
      <c r="AA35" s="188">
        <f>1033.92849721511</f>
        <v>0</v>
      </c>
      <c r="AB35" s="188">
        <f>0</f>
        <v>0</v>
      </c>
      <c r="AC35" s="188">
        <f>0</f>
        <v>0</v>
      </c>
      <c r="AD35" s="188">
        <f>0</f>
        <v>0</v>
      </c>
      <c r="AE35" s="188">
        <f>676.936418717175</f>
        <v>0</v>
      </c>
      <c r="AF35" s="188">
        <f>0</f>
        <v>0</v>
      </c>
      <c r="AG35" s="188">
        <f>683.655916228337</f>
        <v>0</v>
      </c>
      <c r="AH35" s="188">
        <f>658.093131161892</f>
        <v>0</v>
      </c>
      <c r="AI35" s="188">
        <f>743.540071651033</f>
        <v>0</v>
      </c>
      <c r="AJ35" s="188">
        <f>622.514015848986</f>
        <v>0</v>
      </c>
      <c r="AK35" s="188">
        <f>583.544127849882</f>
        <v>0</v>
      </c>
      <c r="AL35" s="188">
        <f>657.097734241395</f>
        <v>0</v>
      </c>
      <c r="AM35" s="188">
        <f>0</f>
        <v>0</v>
      </c>
      <c r="AN35" s="188">
        <f>509.776453026687</f>
        <v>0</v>
      </c>
      <c r="AO35" s="188">
        <f>0</f>
        <v>0</v>
      </c>
      <c r="AP35" s="188">
        <f>0</f>
        <v>0</v>
      </c>
      <c r="AQ35" s="188">
        <f>0</f>
        <v>0</v>
      </c>
      <c r="AR35" s="188">
        <f>0</f>
        <v>0</v>
      </c>
      <c r="AS35" s="188">
        <f>0</f>
        <v>0</v>
      </c>
      <c r="AT35" s="188">
        <f>0</f>
        <v>0</v>
      </c>
      <c r="AU35" s="188">
        <f>0</f>
        <v>0</v>
      </c>
      <c r="AV35" s="188">
        <f>0</f>
        <v>0</v>
      </c>
      <c r="AW35" s="188">
        <f>0</f>
        <v>0</v>
      </c>
      <c r="AX35" s="188">
        <f>0</f>
        <v>0</v>
      </c>
      <c r="AY35" s="188">
        <f>0</f>
        <v>0</v>
      </c>
      <c r="AZ35" s="188">
        <f>0</f>
        <v>0</v>
      </c>
      <c r="BA35" s="188">
        <f>0</f>
        <v>0</v>
      </c>
      <c r="BB35" s="188">
        <f>0</f>
        <v>0</v>
      </c>
      <c r="BC35" s="188">
        <f>0</f>
        <v>0</v>
      </c>
      <c r="BD35" s="188">
        <f>0</f>
        <v>0</v>
      </c>
      <c r="BE35" s="188">
        <f>0</f>
        <v>0</v>
      </c>
      <c r="BF35" s="188">
        <f>0</f>
        <v>0</v>
      </c>
      <c r="BG35" s="188">
        <f>0</f>
        <v>0</v>
      </c>
      <c r="BH35" s="188">
        <f>0</f>
        <v>0</v>
      </c>
    </row>
    <row r="36" spans="1:60" ht="15" customHeight="1">
      <c r="A36" s="149"/>
      <c r="B36" s="204" t="s">
        <v>173</v>
      </c>
      <c r="C36" s="205" t="s">
        <v>118</v>
      </c>
      <c r="D36" s="158">
        <f t="shared" ref="D36:AI36" si="4">D30/(D31+D32)</f>
        <v>1.0173665906131</v>
      </c>
      <c r="E36" s="88">
        <f t="shared" si="4"/>
        <v>0</v>
      </c>
      <c r="F36" s="88">
        <f t="shared" si="4"/>
        <v>0</v>
      </c>
      <c r="G36" s="88">
        <f t="shared" si="4"/>
        <v>0</v>
      </c>
      <c r="H36" s="88">
        <f t="shared" si="4"/>
        <v>0</v>
      </c>
      <c r="I36" s="88">
        <f t="shared" si="4"/>
        <v>0</v>
      </c>
      <c r="J36" s="88">
        <f t="shared" si="4"/>
        <v>0</v>
      </c>
      <c r="K36" s="88">
        <f t="shared" si="4"/>
        <v>0</v>
      </c>
      <c r="L36" s="88">
        <f t="shared" si="4"/>
        <v>0</v>
      </c>
      <c r="M36" s="88">
        <f t="shared" si="4"/>
        <v>0</v>
      </c>
      <c r="N36" s="88">
        <f t="shared" si="4"/>
        <v>0</v>
      </c>
      <c r="O36" s="88">
        <f t="shared" si="4"/>
        <v>0</v>
      </c>
      <c r="P36" s="88">
        <f t="shared" si="4"/>
        <v>0</v>
      </c>
      <c r="Q36" s="88">
        <f t="shared" si="4"/>
        <v>0</v>
      </c>
      <c r="R36" s="88">
        <f t="shared" si="4"/>
        <v>0</v>
      </c>
      <c r="S36" s="88">
        <f t="shared" si="4"/>
        <v>0</v>
      </c>
      <c r="T36" s="88">
        <f t="shared" si="4"/>
        <v>0</v>
      </c>
      <c r="U36" s="88">
        <f t="shared" si="4"/>
        <v>0</v>
      </c>
      <c r="V36" s="88">
        <f t="shared" si="4"/>
        <v>0</v>
      </c>
      <c r="W36" s="88">
        <f t="shared" si="4"/>
        <v>0</v>
      </c>
      <c r="X36" s="88">
        <f t="shared" si="4"/>
        <v>0</v>
      </c>
      <c r="Y36" s="88">
        <f t="shared" si="4"/>
        <v>0</v>
      </c>
      <c r="Z36" s="88">
        <f t="shared" si="4"/>
        <v>0</v>
      </c>
      <c r="AA36" s="88">
        <f t="shared" si="4"/>
        <v>0</v>
      </c>
      <c r="AB36" s="88">
        <f t="shared" si="4"/>
        <v>0</v>
      </c>
      <c r="AC36" s="88">
        <f t="shared" si="4"/>
        <v>0</v>
      </c>
      <c r="AD36" s="88">
        <f t="shared" si="4"/>
        <v>0</v>
      </c>
      <c r="AE36" s="88">
        <f t="shared" si="4"/>
        <v>0</v>
      </c>
      <c r="AF36" s="88">
        <f t="shared" si="4"/>
        <v>0</v>
      </c>
      <c r="AG36" s="88">
        <f t="shared" si="4"/>
        <v>0</v>
      </c>
      <c r="AH36" s="88">
        <f t="shared" si="4"/>
        <v>0</v>
      </c>
      <c r="AI36" s="88">
        <f t="shared" si="4"/>
        <v>0</v>
      </c>
      <c r="AJ36" s="88">
        <f t="shared" ref="AJ36:BH36" si="5">AJ30/(AJ31+AJ32)</f>
        <v>0</v>
      </c>
      <c r="AK36" s="88">
        <f t="shared" si="5"/>
        <v>0</v>
      </c>
      <c r="AL36" s="88">
        <f t="shared" si="5"/>
        <v>0</v>
      </c>
      <c r="AM36" s="88">
        <f t="shared" si="5"/>
        <v>0</v>
      </c>
      <c r="AN36" s="88">
        <f t="shared" si="5"/>
        <v>0</v>
      </c>
      <c r="AO36" s="88">
        <f t="shared" si="5"/>
        <v>0</v>
      </c>
      <c r="AP36" s="88">
        <f t="shared" si="5"/>
        <v>0</v>
      </c>
      <c r="AQ36" s="88">
        <f t="shared" si="5"/>
        <v>0</v>
      </c>
      <c r="AR36" s="88">
        <f t="shared" si="5"/>
        <v>0</v>
      </c>
      <c r="AS36" s="88">
        <f t="shared" si="5"/>
        <v>0</v>
      </c>
      <c r="AT36" s="88">
        <f t="shared" si="5"/>
        <v>0</v>
      </c>
      <c r="AU36" s="88">
        <f t="shared" si="5"/>
        <v>0</v>
      </c>
      <c r="AV36" s="88">
        <f t="shared" si="5"/>
        <v>0</v>
      </c>
      <c r="AW36" s="88">
        <f t="shared" si="5"/>
        <v>0</v>
      </c>
      <c r="AX36" s="88">
        <f t="shared" si="5"/>
        <v>0</v>
      </c>
      <c r="AY36" s="88">
        <f t="shared" si="5"/>
        <v>0</v>
      </c>
      <c r="AZ36" s="88">
        <f t="shared" si="5"/>
        <v>0</v>
      </c>
      <c r="BA36" s="88">
        <f t="shared" si="5"/>
        <v>0</v>
      </c>
      <c r="BB36" s="88">
        <f t="shared" si="5"/>
        <v>0</v>
      </c>
      <c r="BC36" s="88">
        <f t="shared" si="5"/>
        <v>0</v>
      </c>
      <c r="BD36" s="88">
        <f t="shared" si="5"/>
        <v>0</v>
      </c>
      <c r="BE36" s="88">
        <f t="shared" si="5"/>
        <v>0</v>
      </c>
      <c r="BF36" s="88">
        <f t="shared" si="5"/>
        <v>0</v>
      </c>
      <c r="BG36" s="88">
        <f t="shared" si="5"/>
        <v>0</v>
      </c>
      <c r="BH36" s="88">
        <f t="shared" si="5"/>
        <v>0</v>
      </c>
    </row>
    <row r="37" spans="1:60" ht="15" customHeight="1">
      <c r="A37" s="72"/>
      <c r="C37" s="76" t="s">
        <v>120</v>
      </c>
      <c r="D37" s="25"/>
      <c r="F37" s="5"/>
      <c r="G37" s="5"/>
      <c r="H37" s="5"/>
    </row>
    <row r="38" spans="1:60" ht="15" customHeight="1">
      <c r="A38" s="149"/>
      <c r="B38" s="146" t="s">
        <v>174</v>
      </c>
      <c r="C38" s="156" t="s">
        <v>86</v>
      </c>
      <c r="D38" s="86">
        <f t="shared" ref="D38:AI38" si="6">D26/D33</f>
        <v>692.80269999999996</v>
      </c>
      <c r="E38" s="86">
        <f t="shared" si="6"/>
        <v>0</v>
      </c>
      <c r="F38" s="86">
        <f t="shared" si="6"/>
        <v>0</v>
      </c>
      <c r="G38" s="86">
        <f t="shared" si="6"/>
        <v>0</v>
      </c>
      <c r="H38" s="86">
        <f t="shared" si="6"/>
        <v>0</v>
      </c>
      <c r="I38" s="86">
        <f t="shared" si="6"/>
        <v>0</v>
      </c>
      <c r="J38" s="86">
        <f t="shared" si="6"/>
        <v>0</v>
      </c>
      <c r="K38" s="86">
        <f t="shared" si="6"/>
        <v>0</v>
      </c>
      <c r="L38" s="86">
        <f t="shared" si="6"/>
        <v>0</v>
      </c>
      <c r="M38" s="86">
        <f t="shared" si="6"/>
        <v>0</v>
      </c>
      <c r="N38" s="86">
        <f t="shared" si="6"/>
        <v>0</v>
      </c>
      <c r="O38" s="86">
        <f t="shared" si="6"/>
        <v>0</v>
      </c>
      <c r="P38" s="86">
        <f t="shared" si="6"/>
        <v>0</v>
      </c>
      <c r="Q38" s="86">
        <f t="shared" si="6"/>
        <v>0</v>
      </c>
      <c r="R38" s="86">
        <f t="shared" si="6"/>
        <v>0</v>
      </c>
      <c r="S38" s="86">
        <f t="shared" si="6"/>
        <v>0</v>
      </c>
      <c r="T38" s="86">
        <f t="shared" si="6"/>
        <v>0</v>
      </c>
      <c r="U38" s="86">
        <f t="shared" si="6"/>
        <v>0</v>
      </c>
      <c r="V38" s="86">
        <f t="shared" si="6"/>
        <v>0</v>
      </c>
      <c r="W38" s="86">
        <f t="shared" si="6"/>
        <v>0</v>
      </c>
      <c r="X38" s="86">
        <f t="shared" si="6"/>
        <v>0</v>
      </c>
      <c r="Y38" s="86">
        <f t="shared" si="6"/>
        <v>0</v>
      </c>
      <c r="Z38" s="86">
        <f t="shared" si="6"/>
        <v>0</v>
      </c>
      <c r="AA38" s="86">
        <f t="shared" si="6"/>
        <v>0</v>
      </c>
      <c r="AB38" s="86">
        <f t="shared" si="6"/>
        <v>0</v>
      </c>
      <c r="AC38" s="86">
        <f t="shared" si="6"/>
        <v>0</v>
      </c>
      <c r="AD38" s="86">
        <f t="shared" si="6"/>
        <v>0</v>
      </c>
      <c r="AE38" s="86">
        <f t="shared" si="6"/>
        <v>0</v>
      </c>
      <c r="AF38" s="86">
        <f t="shared" si="6"/>
        <v>0</v>
      </c>
      <c r="AG38" s="86">
        <f t="shared" si="6"/>
        <v>0</v>
      </c>
      <c r="AH38" s="86">
        <f t="shared" si="6"/>
        <v>0</v>
      </c>
      <c r="AI38" s="86">
        <f t="shared" si="6"/>
        <v>0</v>
      </c>
      <c r="AJ38" s="86">
        <f t="shared" ref="AJ38:BH38" si="7">AJ26/AJ33</f>
        <v>0</v>
      </c>
      <c r="AK38" s="86">
        <f t="shared" si="7"/>
        <v>0</v>
      </c>
      <c r="AL38" s="86">
        <f t="shared" si="7"/>
        <v>0</v>
      </c>
      <c r="AM38" s="86">
        <f t="shared" si="7"/>
        <v>0</v>
      </c>
      <c r="AN38" s="86">
        <f t="shared" si="7"/>
        <v>0</v>
      </c>
      <c r="AO38" s="86">
        <f t="shared" si="7"/>
        <v>0</v>
      </c>
      <c r="AP38" s="86">
        <f t="shared" si="7"/>
        <v>0</v>
      </c>
      <c r="AQ38" s="86">
        <f t="shared" si="7"/>
        <v>0</v>
      </c>
      <c r="AR38" s="86">
        <f t="shared" si="7"/>
        <v>0</v>
      </c>
      <c r="AS38" s="86">
        <f t="shared" si="7"/>
        <v>0</v>
      </c>
      <c r="AT38" s="86">
        <f t="shared" si="7"/>
        <v>0</v>
      </c>
      <c r="AU38" s="86">
        <f t="shared" si="7"/>
        <v>0</v>
      </c>
      <c r="AV38" s="86">
        <f t="shared" si="7"/>
        <v>0</v>
      </c>
      <c r="AW38" s="86">
        <f t="shared" si="7"/>
        <v>0</v>
      </c>
      <c r="AX38" s="86">
        <f t="shared" si="7"/>
        <v>0</v>
      </c>
      <c r="AY38" s="86">
        <f t="shared" si="7"/>
        <v>0</v>
      </c>
      <c r="AZ38" s="86">
        <f t="shared" si="7"/>
        <v>0</v>
      </c>
      <c r="BA38" s="86">
        <f t="shared" si="7"/>
        <v>0</v>
      </c>
      <c r="BB38" s="86">
        <f t="shared" si="7"/>
        <v>0</v>
      </c>
      <c r="BC38" s="86">
        <f t="shared" si="7"/>
        <v>0</v>
      </c>
      <c r="BD38" s="86">
        <f t="shared" si="7"/>
        <v>0</v>
      </c>
      <c r="BE38" s="86">
        <f t="shared" si="7"/>
        <v>0</v>
      </c>
      <c r="BF38" s="86">
        <f t="shared" si="7"/>
        <v>0</v>
      </c>
      <c r="BG38" s="86">
        <f t="shared" si="7"/>
        <v>0</v>
      </c>
      <c r="BH38" s="86">
        <f t="shared" si="7"/>
        <v>0</v>
      </c>
    </row>
    <row r="39" spans="1:60" ht="15" customHeight="1">
      <c r="A39" s="149"/>
      <c r="B39" s="146" t="s">
        <v>175</v>
      </c>
      <c r="C39" s="156" t="s">
        <v>87</v>
      </c>
      <c r="D39" s="86">
        <f t="shared" ref="D39:AI39" si="8">D27/D33</f>
        <v>0</v>
      </c>
      <c r="E39" s="86">
        <f t="shared" si="8"/>
        <v>0</v>
      </c>
      <c r="F39" s="86">
        <f t="shared" si="8"/>
        <v>0</v>
      </c>
      <c r="G39" s="86">
        <f t="shared" si="8"/>
        <v>0</v>
      </c>
      <c r="H39" s="86">
        <f t="shared" si="8"/>
        <v>0</v>
      </c>
      <c r="I39" s="86">
        <f t="shared" si="8"/>
        <v>0</v>
      </c>
      <c r="J39" s="86">
        <f t="shared" si="8"/>
        <v>0</v>
      </c>
      <c r="K39" s="86">
        <f t="shared" si="8"/>
        <v>0</v>
      </c>
      <c r="L39" s="86">
        <f t="shared" si="8"/>
        <v>0</v>
      </c>
      <c r="M39" s="86">
        <f t="shared" si="8"/>
        <v>0</v>
      </c>
      <c r="N39" s="86">
        <f t="shared" si="8"/>
        <v>0</v>
      </c>
      <c r="O39" s="86">
        <f t="shared" si="8"/>
        <v>0</v>
      </c>
      <c r="P39" s="86">
        <f t="shared" si="8"/>
        <v>0</v>
      </c>
      <c r="Q39" s="86">
        <f t="shared" si="8"/>
        <v>0</v>
      </c>
      <c r="R39" s="86">
        <f t="shared" si="8"/>
        <v>0</v>
      </c>
      <c r="S39" s="86">
        <f t="shared" si="8"/>
        <v>0</v>
      </c>
      <c r="T39" s="86">
        <f t="shared" si="8"/>
        <v>0</v>
      </c>
      <c r="U39" s="86">
        <f t="shared" si="8"/>
        <v>0</v>
      </c>
      <c r="V39" s="86">
        <f t="shared" si="8"/>
        <v>0</v>
      </c>
      <c r="W39" s="86">
        <f t="shared" si="8"/>
        <v>0</v>
      </c>
      <c r="X39" s="86">
        <f t="shared" si="8"/>
        <v>0</v>
      </c>
      <c r="Y39" s="86">
        <f t="shared" si="8"/>
        <v>0</v>
      </c>
      <c r="Z39" s="86">
        <f t="shared" si="8"/>
        <v>0</v>
      </c>
      <c r="AA39" s="86">
        <f t="shared" si="8"/>
        <v>0</v>
      </c>
      <c r="AB39" s="86">
        <f t="shared" si="8"/>
        <v>0</v>
      </c>
      <c r="AC39" s="86">
        <f t="shared" si="8"/>
        <v>0</v>
      </c>
      <c r="AD39" s="86">
        <f t="shared" si="8"/>
        <v>0</v>
      </c>
      <c r="AE39" s="86">
        <f t="shared" si="8"/>
        <v>0</v>
      </c>
      <c r="AF39" s="86">
        <f t="shared" si="8"/>
        <v>0</v>
      </c>
      <c r="AG39" s="86">
        <f t="shared" si="8"/>
        <v>0</v>
      </c>
      <c r="AH39" s="86">
        <f t="shared" si="8"/>
        <v>0</v>
      </c>
      <c r="AI39" s="86">
        <f t="shared" si="8"/>
        <v>0</v>
      </c>
      <c r="AJ39" s="86">
        <f t="shared" ref="AJ39:BH39" si="9">AJ27/AJ33</f>
        <v>0</v>
      </c>
      <c r="AK39" s="86">
        <f t="shared" si="9"/>
        <v>0</v>
      </c>
      <c r="AL39" s="86">
        <f t="shared" si="9"/>
        <v>0</v>
      </c>
      <c r="AM39" s="86">
        <f t="shared" si="9"/>
        <v>0</v>
      </c>
      <c r="AN39" s="86">
        <f t="shared" si="9"/>
        <v>0</v>
      </c>
      <c r="AO39" s="86">
        <f t="shared" si="9"/>
        <v>0</v>
      </c>
      <c r="AP39" s="86">
        <f t="shared" si="9"/>
        <v>0</v>
      </c>
      <c r="AQ39" s="86">
        <f t="shared" si="9"/>
        <v>0</v>
      </c>
      <c r="AR39" s="86">
        <f t="shared" si="9"/>
        <v>0</v>
      </c>
      <c r="AS39" s="86">
        <f t="shared" si="9"/>
        <v>0</v>
      </c>
      <c r="AT39" s="86">
        <f t="shared" si="9"/>
        <v>0</v>
      </c>
      <c r="AU39" s="86">
        <f t="shared" si="9"/>
        <v>0</v>
      </c>
      <c r="AV39" s="86">
        <f t="shared" si="9"/>
        <v>0</v>
      </c>
      <c r="AW39" s="86">
        <f t="shared" si="9"/>
        <v>0</v>
      </c>
      <c r="AX39" s="86">
        <f t="shared" si="9"/>
        <v>0</v>
      </c>
      <c r="AY39" s="86">
        <f t="shared" si="9"/>
        <v>0</v>
      </c>
      <c r="AZ39" s="86">
        <f t="shared" si="9"/>
        <v>0</v>
      </c>
      <c r="BA39" s="86">
        <f t="shared" si="9"/>
        <v>0</v>
      </c>
      <c r="BB39" s="86">
        <f t="shared" si="9"/>
        <v>0</v>
      </c>
      <c r="BC39" s="86">
        <f t="shared" si="9"/>
        <v>0</v>
      </c>
      <c r="BD39" s="86">
        <f t="shared" si="9"/>
        <v>0</v>
      </c>
      <c r="BE39" s="86">
        <f t="shared" si="9"/>
        <v>0</v>
      </c>
      <c r="BF39" s="86">
        <f t="shared" si="9"/>
        <v>0</v>
      </c>
      <c r="BG39" s="86">
        <f t="shared" si="9"/>
        <v>0</v>
      </c>
      <c r="BH39" s="86">
        <f t="shared" si="9"/>
        <v>0</v>
      </c>
    </row>
    <row r="40" spans="1:60" ht="15" customHeight="1">
      <c r="A40" s="149"/>
      <c r="B40" s="146" t="s">
        <v>176</v>
      </c>
      <c r="C40" s="156" t="s">
        <v>111</v>
      </c>
      <c r="D40" s="86">
        <f t="shared" ref="D40:AI40" si="10">D28/D33</f>
        <v>125.5581</v>
      </c>
      <c r="E40" s="86">
        <f t="shared" si="10"/>
        <v>0</v>
      </c>
      <c r="F40" s="86">
        <f t="shared" si="10"/>
        <v>0</v>
      </c>
      <c r="G40" s="86">
        <f t="shared" si="10"/>
        <v>0</v>
      </c>
      <c r="H40" s="86">
        <f t="shared" si="10"/>
        <v>0</v>
      </c>
      <c r="I40" s="86">
        <f t="shared" si="10"/>
        <v>0</v>
      </c>
      <c r="J40" s="86">
        <f t="shared" si="10"/>
        <v>0</v>
      </c>
      <c r="K40" s="86">
        <f t="shared" si="10"/>
        <v>0</v>
      </c>
      <c r="L40" s="86">
        <f t="shared" si="10"/>
        <v>0</v>
      </c>
      <c r="M40" s="86">
        <f t="shared" si="10"/>
        <v>0</v>
      </c>
      <c r="N40" s="86">
        <f t="shared" si="10"/>
        <v>0</v>
      </c>
      <c r="O40" s="86">
        <f t="shared" si="10"/>
        <v>0</v>
      </c>
      <c r="P40" s="86">
        <f t="shared" si="10"/>
        <v>0</v>
      </c>
      <c r="Q40" s="86">
        <f t="shared" si="10"/>
        <v>0</v>
      </c>
      <c r="R40" s="86">
        <f t="shared" si="10"/>
        <v>0</v>
      </c>
      <c r="S40" s="86">
        <f t="shared" si="10"/>
        <v>0</v>
      </c>
      <c r="T40" s="86">
        <f t="shared" si="10"/>
        <v>0</v>
      </c>
      <c r="U40" s="86">
        <f t="shared" si="10"/>
        <v>0</v>
      </c>
      <c r="V40" s="86">
        <f t="shared" si="10"/>
        <v>0</v>
      </c>
      <c r="W40" s="86">
        <f t="shared" si="10"/>
        <v>0</v>
      </c>
      <c r="X40" s="86">
        <f t="shared" si="10"/>
        <v>0</v>
      </c>
      <c r="Y40" s="86">
        <f t="shared" si="10"/>
        <v>0</v>
      </c>
      <c r="Z40" s="86">
        <f t="shared" si="10"/>
        <v>0</v>
      </c>
      <c r="AA40" s="86">
        <f t="shared" si="10"/>
        <v>0</v>
      </c>
      <c r="AB40" s="86">
        <f t="shared" si="10"/>
        <v>0</v>
      </c>
      <c r="AC40" s="86">
        <f t="shared" si="10"/>
        <v>0</v>
      </c>
      <c r="AD40" s="86">
        <f t="shared" si="10"/>
        <v>0</v>
      </c>
      <c r="AE40" s="86">
        <f t="shared" si="10"/>
        <v>0</v>
      </c>
      <c r="AF40" s="86">
        <f t="shared" si="10"/>
        <v>0</v>
      </c>
      <c r="AG40" s="86">
        <f t="shared" si="10"/>
        <v>0</v>
      </c>
      <c r="AH40" s="86">
        <f t="shared" si="10"/>
        <v>0</v>
      </c>
      <c r="AI40" s="86">
        <f t="shared" si="10"/>
        <v>0</v>
      </c>
      <c r="AJ40" s="86">
        <f t="shared" ref="AJ40:BH40" si="11">AJ28/AJ33</f>
        <v>0</v>
      </c>
      <c r="AK40" s="86">
        <f t="shared" si="11"/>
        <v>0</v>
      </c>
      <c r="AL40" s="86">
        <f t="shared" si="11"/>
        <v>0</v>
      </c>
      <c r="AM40" s="86">
        <f t="shared" si="11"/>
        <v>0</v>
      </c>
      <c r="AN40" s="86">
        <f t="shared" si="11"/>
        <v>0</v>
      </c>
      <c r="AO40" s="86">
        <f t="shared" si="11"/>
        <v>0</v>
      </c>
      <c r="AP40" s="86">
        <f t="shared" si="11"/>
        <v>0</v>
      </c>
      <c r="AQ40" s="86">
        <f t="shared" si="11"/>
        <v>0</v>
      </c>
      <c r="AR40" s="86">
        <f t="shared" si="11"/>
        <v>0</v>
      </c>
      <c r="AS40" s="86">
        <f t="shared" si="11"/>
        <v>0</v>
      </c>
      <c r="AT40" s="86">
        <f t="shared" si="11"/>
        <v>0</v>
      </c>
      <c r="AU40" s="86">
        <f t="shared" si="11"/>
        <v>0</v>
      </c>
      <c r="AV40" s="86">
        <f t="shared" si="11"/>
        <v>0</v>
      </c>
      <c r="AW40" s="86">
        <f t="shared" si="11"/>
        <v>0</v>
      </c>
      <c r="AX40" s="86">
        <f t="shared" si="11"/>
        <v>0</v>
      </c>
      <c r="AY40" s="86">
        <f t="shared" si="11"/>
        <v>0</v>
      </c>
      <c r="AZ40" s="86">
        <f t="shared" si="11"/>
        <v>0</v>
      </c>
      <c r="BA40" s="86">
        <f t="shared" si="11"/>
        <v>0</v>
      </c>
      <c r="BB40" s="86">
        <f t="shared" si="11"/>
        <v>0</v>
      </c>
      <c r="BC40" s="86">
        <f t="shared" si="11"/>
        <v>0</v>
      </c>
      <c r="BD40" s="86">
        <f t="shared" si="11"/>
        <v>0</v>
      </c>
      <c r="BE40" s="86">
        <f t="shared" si="11"/>
        <v>0</v>
      </c>
      <c r="BF40" s="86">
        <f t="shared" si="11"/>
        <v>0</v>
      </c>
      <c r="BG40" s="86">
        <f t="shared" si="11"/>
        <v>0</v>
      </c>
      <c r="BH40" s="86">
        <f t="shared" si="11"/>
        <v>0</v>
      </c>
    </row>
    <row r="41" spans="1:60" ht="15" customHeight="1">
      <c r="A41" s="149"/>
      <c r="B41" s="146" t="s">
        <v>177</v>
      </c>
      <c r="C41" s="156" t="s">
        <v>112</v>
      </c>
      <c r="D41" s="86">
        <f t="shared" ref="D41:AI41" si="12">D29/D33</f>
        <v>0</v>
      </c>
      <c r="E41" s="86">
        <f t="shared" si="12"/>
        <v>0</v>
      </c>
      <c r="F41" s="86">
        <f t="shared" si="12"/>
        <v>0</v>
      </c>
      <c r="G41" s="86">
        <f t="shared" si="12"/>
        <v>0</v>
      </c>
      <c r="H41" s="86">
        <f t="shared" si="12"/>
        <v>0</v>
      </c>
      <c r="I41" s="86">
        <f t="shared" si="12"/>
        <v>0</v>
      </c>
      <c r="J41" s="86">
        <f t="shared" si="12"/>
        <v>0</v>
      </c>
      <c r="K41" s="86">
        <f t="shared" si="12"/>
        <v>0</v>
      </c>
      <c r="L41" s="86">
        <f t="shared" si="12"/>
        <v>0</v>
      </c>
      <c r="M41" s="86">
        <f t="shared" si="12"/>
        <v>0</v>
      </c>
      <c r="N41" s="86">
        <f t="shared" si="12"/>
        <v>0</v>
      </c>
      <c r="O41" s="86">
        <f t="shared" si="12"/>
        <v>0</v>
      </c>
      <c r="P41" s="86">
        <f t="shared" si="12"/>
        <v>0</v>
      </c>
      <c r="Q41" s="86">
        <f t="shared" si="12"/>
        <v>0</v>
      </c>
      <c r="R41" s="86">
        <f t="shared" si="12"/>
        <v>0</v>
      </c>
      <c r="S41" s="86">
        <f t="shared" si="12"/>
        <v>0</v>
      </c>
      <c r="T41" s="86">
        <f t="shared" si="12"/>
        <v>0</v>
      </c>
      <c r="U41" s="86">
        <f t="shared" si="12"/>
        <v>0</v>
      </c>
      <c r="V41" s="86">
        <f t="shared" si="12"/>
        <v>0</v>
      </c>
      <c r="W41" s="86">
        <f t="shared" si="12"/>
        <v>0</v>
      </c>
      <c r="X41" s="86">
        <f t="shared" si="12"/>
        <v>0</v>
      </c>
      <c r="Y41" s="86">
        <f t="shared" si="12"/>
        <v>0</v>
      </c>
      <c r="Z41" s="86">
        <f t="shared" si="12"/>
        <v>0</v>
      </c>
      <c r="AA41" s="86">
        <f t="shared" si="12"/>
        <v>0</v>
      </c>
      <c r="AB41" s="86">
        <f t="shared" si="12"/>
        <v>0</v>
      </c>
      <c r="AC41" s="86">
        <f t="shared" si="12"/>
        <v>0</v>
      </c>
      <c r="AD41" s="86">
        <f t="shared" si="12"/>
        <v>0</v>
      </c>
      <c r="AE41" s="86">
        <f t="shared" si="12"/>
        <v>0</v>
      </c>
      <c r="AF41" s="86">
        <f t="shared" si="12"/>
        <v>0</v>
      </c>
      <c r="AG41" s="86">
        <f t="shared" si="12"/>
        <v>0</v>
      </c>
      <c r="AH41" s="86">
        <f t="shared" si="12"/>
        <v>0</v>
      </c>
      <c r="AI41" s="86">
        <f t="shared" si="12"/>
        <v>0</v>
      </c>
      <c r="AJ41" s="86">
        <f t="shared" ref="AJ41:BH41" si="13">AJ29/AJ33</f>
        <v>0</v>
      </c>
      <c r="AK41" s="86">
        <f t="shared" si="13"/>
        <v>0</v>
      </c>
      <c r="AL41" s="86">
        <f t="shared" si="13"/>
        <v>0</v>
      </c>
      <c r="AM41" s="86">
        <f t="shared" si="13"/>
        <v>0</v>
      </c>
      <c r="AN41" s="86">
        <f t="shared" si="13"/>
        <v>0</v>
      </c>
      <c r="AO41" s="86">
        <f t="shared" si="13"/>
        <v>0</v>
      </c>
      <c r="AP41" s="86">
        <f t="shared" si="13"/>
        <v>0</v>
      </c>
      <c r="AQ41" s="86">
        <f t="shared" si="13"/>
        <v>0</v>
      </c>
      <c r="AR41" s="86">
        <f t="shared" si="13"/>
        <v>0</v>
      </c>
      <c r="AS41" s="86">
        <f t="shared" si="13"/>
        <v>0</v>
      </c>
      <c r="AT41" s="86">
        <f t="shared" si="13"/>
        <v>0</v>
      </c>
      <c r="AU41" s="86">
        <f t="shared" si="13"/>
        <v>0</v>
      </c>
      <c r="AV41" s="86">
        <f t="shared" si="13"/>
        <v>0</v>
      </c>
      <c r="AW41" s="86">
        <f t="shared" si="13"/>
        <v>0</v>
      </c>
      <c r="AX41" s="86">
        <f t="shared" si="13"/>
        <v>0</v>
      </c>
      <c r="AY41" s="86">
        <f t="shared" si="13"/>
        <v>0</v>
      </c>
      <c r="AZ41" s="86">
        <f t="shared" si="13"/>
        <v>0</v>
      </c>
      <c r="BA41" s="86">
        <f t="shared" si="13"/>
        <v>0</v>
      </c>
      <c r="BB41" s="86">
        <f t="shared" si="13"/>
        <v>0</v>
      </c>
      <c r="BC41" s="86">
        <f t="shared" si="13"/>
        <v>0</v>
      </c>
      <c r="BD41" s="86">
        <f t="shared" si="13"/>
        <v>0</v>
      </c>
      <c r="BE41" s="86">
        <f t="shared" si="13"/>
        <v>0</v>
      </c>
      <c r="BF41" s="86">
        <f t="shared" si="13"/>
        <v>0</v>
      </c>
      <c r="BG41" s="86">
        <f t="shared" si="13"/>
        <v>0</v>
      </c>
      <c r="BH41" s="86">
        <f t="shared" si="13"/>
        <v>0</v>
      </c>
    </row>
    <row r="42" spans="1:60" ht="15" customHeight="1">
      <c r="A42" s="149"/>
      <c r="B42" s="146" t="s">
        <v>178</v>
      </c>
      <c r="C42" s="156" t="s">
        <v>113</v>
      </c>
      <c r="D42" s="86">
        <f t="shared" ref="D42:AI42" si="14">D30/D33</f>
        <v>567.24450000000002</v>
      </c>
      <c r="E42" s="86">
        <f t="shared" si="14"/>
        <v>0</v>
      </c>
      <c r="F42" s="86">
        <f t="shared" si="14"/>
        <v>0</v>
      </c>
      <c r="G42" s="86">
        <f t="shared" si="14"/>
        <v>0</v>
      </c>
      <c r="H42" s="86">
        <f t="shared" si="14"/>
        <v>0</v>
      </c>
      <c r="I42" s="86">
        <f t="shared" si="14"/>
        <v>0</v>
      </c>
      <c r="J42" s="86">
        <f t="shared" si="14"/>
        <v>0</v>
      </c>
      <c r="K42" s="86">
        <f t="shared" si="14"/>
        <v>0</v>
      </c>
      <c r="L42" s="86">
        <f t="shared" si="14"/>
        <v>0</v>
      </c>
      <c r="M42" s="86">
        <f t="shared" si="14"/>
        <v>0</v>
      </c>
      <c r="N42" s="86">
        <f t="shared" si="14"/>
        <v>0</v>
      </c>
      <c r="O42" s="86">
        <f t="shared" si="14"/>
        <v>0</v>
      </c>
      <c r="P42" s="86">
        <f t="shared" si="14"/>
        <v>0</v>
      </c>
      <c r="Q42" s="86">
        <f t="shared" si="14"/>
        <v>0</v>
      </c>
      <c r="R42" s="86">
        <f t="shared" si="14"/>
        <v>0</v>
      </c>
      <c r="S42" s="86">
        <f t="shared" si="14"/>
        <v>0</v>
      </c>
      <c r="T42" s="86">
        <f t="shared" si="14"/>
        <v>0</v>
      </c>
      <c r="U42" s="86">
        <f t="shared" si="14"/>
        <v>0</v>
      </c>
      <c r="V42" s="86">
        <f t="shared" si="14"/>
        <v>0</v>
      </c>
      <c r="W42" s="86">
        <f t="shared" si="14"/>
        <v>0</v>
      </c>
      <c r="X42" s="86">
        <f t="shared" si="14"/>
        <v>0</v>
      </c>
      <c r="Y42" s="86">
        <f t="shared" si="14"/>
        <v>0</v>
      </c>
      <c r="Z42" s="86">
        <f t="shared" si="14"/>
        <v>0</v>
      </c>
      <c r="AA42" s="86">
        <f t="shared" si="14"/>
        <v>0</v>
      </c>
      <c r="AB42" s="86">
        <f t="shared" si="14"/>
        <v>0</v>
      </c>
      <c r="AC42" s="86">
        <f t="shared" si="14"/>
        <v>0</v>
      </c>
      <c r="AD42" s="86">
        <f t="shared" si="14"/>
        <v>0</v>
      </c>
      <c r="AE42" s="86">
        <f t="shared" si="14"/>
        <v>0</v>
      </c>
      <c r="AF42" s="86">
        <f t="shared" si="14"/>
        <v>0</v>
      </c>
      <c r="AG42" s="86">
        <f t="shared" si="14"/>
        <v>0</v>
      </c>
      <c r="AH42" s="86">
        <f t="shared" si="14"/>
        <v>0</v>
      </c>
      <c r="AI42" s="86">
        <f t="shared" si="14"/>
        <v>0</v>
      </c>
      <c r="AJ42" s="86">
        <f t="shared" ref="AJ42:BH42" si="15">AJ30/AJ33</f>
        <v>0</v>
      </c>
      <c r="AK42" s="86">
        <f t="shared" si="15"/>
        <v>0</v>
      </c>
      <c r="AL42" s="86">
        <f t="shared" si="15"/>
        <v>0</v>
      </c>
      <c r="AM42" s="86">
        <f t="shared" si="15"/>
        <v>0</v>
      </c>
      <c r="AN42" s="86">
        <f t="shared" si="15"/>
        <v>0</v>
      </c>
      <c r="AO42" s="86">
        <f t="shared" si="15"/>
        <v>0</v>
      </c>
      <c r="AP42" s="86">
        <f t="shared" si="15"/>
        <v>0</v>
      </c>
      <c r="AQ42" s="86">
        <f t="shared" si="15"/>
        <v>0</v>
      </c>
      <c r="AR42" s="86">
        <f t="shared" si="15"/>
        <v>0</v>
      </c>
      <c r="AS42" s="86">
        <f t="shared" si="15"/>
        <v>0</v>
      </c>
      <c r="AT42" s="86">
        <f t="shared" si="15"/>
        <v>0</v>
      </c>
      <c r="AU42" s="86">
        <f t="shared" si="15"/>
        <v>0</v>
      </c>
      <c r="AV42" s="86">
        <f t="shared" si="15"/>
        <v>0</v>
      </c>
      <c r="AW42" s="86">
        <f t="shared" si="15"/>
        <v>0</v>
      </c>
      <c r="AX42" s="86">
        <f t="shared" si="15"/>
        <v>0</v>
      </c>
      <c r="AY42" s="86">
        <f t="shared" si="15"/>
        <v>0</v>
      </c>
      <c r="AZ42" s="86">
        <f t="shared" si="15"/>
        <v>0</v>
      </c>
      <c r="BA42" s="86">
        <f t="shared" si="15"/>
        <v>0</v>
      </c>
      <c r="BB42" s="86">
        <f t="shared" si="15"/>
        <v>0</v>
      </c>
      <c r="BC42" s="86">
        <f t="shared" si="15"/>
        <v>0</v>
      </c>
      <c r="BD42" s="86">
        <f t="shared" si="15"/>
        <v>0</v>
      </c>
      <c r="BE42" s="86">
        <f t="shared" si="15"/>
        <v>0</v>
      </c>
      <c r="BF42" s="86">
        <f t="shared" si="15"/>
        <v>0</v>
      </c>
      <c r="BG42" s="86">
        <f t="shared" si="15"/>
        <v>0</v>
      </c>
      <c r="BH42" s="86">
        <f t="shared" si="15"/>
        <v>0</v>
      </c>
    </row>
    <row r="43" spans="1:60" ht="15" customHeight="1">
      <c r="A43" s="149"/>
      <c r="B43" s="146" t="s">
        <v>179</v>
      </c>
      <c r="C43" s="156" t="s">
        <v>114</v>
      </c>
      <c r="D43" s="86">
        <f t="shared" ref="D43:AI43" si="16">D31/D33</f>
        <v>-64.972999999999999</v>
      </c>
      <c r="E43" s="86">
        <f t="shared" si="16"/>
        <v>0</v>
      </c>
      <c r="F43" s="86">
        <f t="shared" si="16"/>
        <v>0</v>
      </c>
      <c r="G43" s="86">
        <f t="shared" si="16"/>
        <v>0</v>
      </c>
      <c r="H43" s="86">
        <f t="shared" si="16"/>
        <v>0</v>
      </c>
      <c r="I43" s="86">
        <f t="shared" si="16"/>
        <v>0</v>
      </c>
      <c r="J43" s="86">
        <f t="shared" si="16"/>
        <v>0</v>
      </c>
      <c r="K43" s="86">
        <f t="shared" si="16"/>
        <v>0</v>
      </c>
      <c r="L43" s="86">
        <f t="shared" si="16"/>
        <v>0</v>
      </c>
      <c r="M43" s="86">
        <f t="shared" si="16"/>
        <v>0</v>
      </c>
      <c r="N43" s="86">
        <f t="shared" si="16"/>
        <v>0</v>
      </c>
      <c r="O43" s="86">
        <f t="shared" si="16"/>
        <v>0</v>
      </c>
      <c r="P43" s="86">
        <f t="shared" si="16"/>
        <v>0</v>
      </c>
      <c r="Q43" s="86">
        <f t="shared" si="16"/>
        <v>0</v>
      </c>
      <c r="R43" s="86">
        <f t="shared" si="16"/>
        <v>0</v>
      </c>
      <c r="S43" s="86">
        <f t="shared" si="16"/>
        <v>0</v>
      </c>
      <c r="T43" s="86">
        <f t="shared" si="16"/>
        <v>0</v>
      </c>
      <c r="U43" s="86">
        <f t="shared" si="16"/>
        <v>0</v>
      </c>
      <c r="V43" s="86">
        <f t="shared" si="16"/>
        <v>0</v>
      </c>
      <c r="W43" s="86">
        <f t="shared" si="16"/>
        <v>0</v>
      </c>
      <c r="X43" s="86">
        <f t="shared" si="16"/>
        <v>0</v>
      </c>
      <c r="Y43" s="86">
        <f t="shared" si="16"/>
        <v>0</v>
      </c>
      <c r="Z43" s="86">
        <f t="shared" si="16"/>
        <v>0</v>
      </c>
      <c r="AA43" s="86">
        <f t="shared" si="16"/>
        <v>0</v>
      </c>
      <c r="AB43" s="86">
        <f t="shared" si="16"/>
        <v>0</v>
      </c>
      <c r="AC43" s="86">
        <f t="shared" si="16"/>
        <v>0</v>
      </c>
      <c r="AD43" s="86">
        <f t="shared" si="16"/>
        <v>0</v>
      </c>
      <c r="AE43" s="86">
        <f t="shared" si="16"/>
        <v>0</v>
      </c>
      <c r="AF43" s="86">
        <f t="shared" si="16"/>
        <v>0</v>
      </c>
      <c r="AG43" s="86">
        <f t="shared" si="16"/>
        <v>0</v>
      </c>
      <c r="AH43" s="86">
        <f t="shared" si="16"/>
        <v>0</v>
      </c>
      <c r="AI43" s="86">
        <f t="shared" si="16"/>
        <v>0</v>
      </c>
      <c r="AJ43" s="86">
        <f t="shared" ref="AJ43:BH43" si="17">AJ31/AJ33</f>
        <v>0</v>
      </c>
      <c r="AK43" s="86">
        <f t="shared" si="17"/>
        <v>0</v>
      </c>
      <c r="AL43" s="86">
        <f t="shared" si="17"/>
        <v>0</v>
      </c>
      <c r="AM43" s="86">
        <f t="shared" si="17"/>
        <v>0</v>
      </c>
      <c r="AN43" s="86">
        <f t="shared" si="17"/>
        <v>0</v>
      </c>
      <c r="AO43" s="86">
        <f t="shared" si="17"/>
        <v>0</v>
      </c>
      <c r="AP43" s="86">
        <f t="shared" si="17"/>
        <v>0</v>
      </c>
      <c r="AQ43" s="86">
        <f t="shared" si="17"/>
        <v>0</v>
      </c>
      <c r="AR43" s="86">
        <f t="shared" si="17"/>
        <v>0</v>
      </c>
      <c r="AS43" s="86">
        <f t="shared" si="17"/>
        <v>0</v>
      </c>
      <c r="AT43" s="86">
        <f t="shared" si="17"/>
        <v>0</v>
      </c>
      <c r="AU43" s="86">
        <f t="shared" si="17"/>
        <v>0</v>
      </c>
      <c r="AV43" s="86">
        <f t="shared" si="17"/>
        <v>0</v>
      </c>
      <c r="AW43" s="86">
        <f t="shared" si="17"/>
        <v>0</v>
      </c>
      <c r="AX43" s="86">
        <f t="shared" si="17"/>
        <v>0</v>
      </c>
      <c r="AY43" s="86">
        <f t="shared" si="17"/>
        <v>0</v>
      </c>
      <c r="AZ43" s="86">
        <f t="shared" si="17"/>
        <v>0</v>
      </c>
      <c r="BA43" s="86">
        <f t="shared" si="17"/>
        <v>0</v>
      </c>
      <c r="BB43" s="86">
        <f t="shared" si="17"/>
        <v>0</v>
      </c>
      <c r="BC43" s="86">
        <f t="shared" si="17"/>
        <v>0</v>
      </c>
      <c r="BD43" s="86">
        <f t="shared" si="17"/>
        <v>0</v>
      </c>
      <c r="BE43" s="86">
        <f t="shared" si="17"/>
        <v>0</v>
      </c>
      <c r="BF43" s="86">
        <f t="shared" si="17"/>
        <v>0</v>
      </c>
      <c r="BG43" s="86">
        <f t="shared" si="17"/>
        <v>0</v>
      </c>
      <c r="BH43" s="86">
        <f t="shared" si="17"/>
        <v>0</v>
      </c>
    </row>
    <row r="44" spans="1:60" ht="15" customHeight="1">
      <c r="A44" s="149"/>
      <c r="B44" s="148" t="s">
        <v>180</v>
      </c>
      <c r="C44" s="155" t="s">
        <v>115</v>
      </c>
      <c r="D44" s="86">
        <f t="shared" ref="D44:AI44" si="18">D32/D33</f>
        <v>622.53459999999995</v>
      </c>
      <c r="E44" s="86">
        <f t="shared" si="18"/>
        <v>0</v>
      </c>
      <c r="F44" s="86">
        <f t="shared" si="18"/>
        <v>0</v>
      </c>
      <c r="G44" s="86">
        <f t="shared" si="18"/>
        <v>0</v>
      </c>
      <c r="H44" s="86">
        <f t="shared" si="18"/>
        <v>0</v>
      </c>
      <c r="I44" s="86">
        <f t="shared" si="18"/>
        <v>0</v>
      </c>
      <c r="J44" s="86">
        <f t="shared" si="18"/>
        <v>0</v>
      </c>
      <c r="K44" s="86">
        <f t="shared" si="18"/>
        <v>0</v>
      </c>
      <c r="L44" s="86">
        <f t="shared" si="18"/>
        <v>0</v>
      </c>
      <c r="M44" s="86">
        <f t="shared" si="18"/>
        <v>0</v>
      </c>
      <c r="N44" s="86">
        <f t="shared" si="18"/>
        <v>0</v>
      </c>
      <c r="O44" s="86">
        <f t="shared" si="18"/>
        <v>0</v>
      </c>
      <c r="P44" s="86">
        <f t="shared" si="18"/>
        <v>0</v>
      </c>
      <c r="Q44" s="86">
        <f t="shared" si="18"/>
        <v>0</v>
      </c>
      <c r="R44" s="86">
        <f t="shared" si="18"/>
        <v>0</v>
      </c>
      <c r="S44" s="86">
        <f t="shared" si="18"/>
        <v>0</v>
      </c>
      <c r="T44" s="86">
        <f t="shared" si="18"/>
        <v>0</v>
      </c>
      <c r="U44" s="86">
        <f t="shared" si="18"/>
        <v>0</v>
      </c>
      <c r="V44" s="86">
        <f t="shared" si="18"/>
        <v>0</v>
      </c>
      <c r="W44" s="86">
        <f t="shared" si="18"/>
        <v>0</v>
      </c>
      <c r="X44" s="86">
        <f t="shared" si="18"/>
        <v>0</v>
      </c>
      <c r="Y44" s="86">
        <f t="shared" si="18"/>
        <v>0</v>
      </c>
      <c r="Z44" s="86">
        <f t="shared" si="18"/>
        <v>0</v>
      </c>
      <c r="AA44" s="86">
        <f t="shared" si="18"/>
        <v>0</v>
      </c>
      <c r="AB44" s="86">
        <f t="shared" si="18"/>
        <v>0</v>
      </c>
      <c r="AC44" s="86">
        <f t="shared" si="18"/>
        <v>0</v>
      </c>
      <c r="AD44" s="86">
        <f t="shared" si="18"/>
        <v>0</v>
      </c>
      <c r="AE44" s="86">
        <f t="shared" si="18"/>
        <v>0</v>
      </c>
      <c r="AF44" s="86">
        <f t="shared" si="18"/>
        <v>0</v>
      </c>
      <c r="AG44" s="86">
        <f t="shared" si="18"/>
        <v>0</v>
      </c>
      <c r="AH44" s="86">
        <f t="shared" si="18"/>
        <v>0</v>
      </c>
      <c r="AI44" s="86">
        <f t="shared" si="18"/>
        <v>0</v>
      </c>
      <c r="AJ44" s="86">
        <f t="shared" ref="AJ44:BH44" si="19">AJ32/AJ33</f>
        <v>0</v>
      </c>
      <c r="AK44" s="86">
        <f t="shared" si="19"/>
        <v>0</v>
      </c>
      <c r="AL44" s="86">
        <f t="shared" si="19"/>
        <v>0</v>
      </c>
      <c r="AM44" s="86">
        <f t="shared" si="19"/>
        <v>0</v>
      </c>
      <c r="AN44" s="86">
        <f t="shared" si="19"/>
        <v>0</v>
      </c>
      <c r="AO44" s="86">
        <f t="shared" si="19"/>
        <v>0</v>
      </c>
      <c r="AP44" s="86">
        <f t="shared" si="19"/>
        <v>0</v>
      </c>
      <c r="AQ44" s="86">
        <f t="shared" si="19"/>
        <v>0</v>
      </c>
      <c r="AR44" s="86">
        <f t="shared" si="19"/>
        <v>0</v>
      </c>
      <c r="AS44" s="86">
        <f t="shared" si="19"/>
        <v>0</v>
      </c>
      <c r="AT44" s="86">
        <f t="shared" si="19"/>
        <v>0</v>
      </c>
      <c r="AU44" s="86">
        <f t="shared" si="19"/>
        <v>0</v>
      </c>
      <c r="AV44" s="86">
        <f t="shared" si="19"/>
        <v>0</v>
      </c>
      <c r="AW44" s="86">
        <f t="shared" si="19"/>
        <v>0</v>
      </c>
      <c r="AX44" s="86">
        <f t="shared" si="19"/>
        <v>0</v>
      </c>
      <c r="AY44" s="86">
        <f t="shared" si="19"/>
        <v>0</v>
      </c>
      <c r="AZ44" s="86">
        <f t="shared" si="19"/>
        <v>0</v>
      </c>
      <c r="BA44" s="86">
        <f t="shared" si="19"/>
        <v>0</v>
      </c>
      <c r="BB44" s="86">
        <f t="shared" si="19"/>
        <v>0</v>
      </c>
      <c r="BC44" s="86">
        <f t="shared" si="19"/>
        <v>0</v>
      </c>
      <c r="BD44" s="86">
        <f t="shared" si="19"/>
        <v>0</v>
      </c>
      <c r="BE44" s="86">
        <f t="shared" si="19"/>
        <v>0</v>
      </c>
      <c r="BF44" s="86">
        <f t="shared" si="19"/>
        <v>0</v>
      </c>
      <c r="BG44" s="86">
        <f t="shared" si="19"/>
        <v>0</v>
      </c>
      <c r="BH44" s="86">
        <f t="shared" si="19"/>
        <v>0</v>
      </c>
    </row>
    <row r="45" spans="1:60" ht="15" customHeight="1"/>
    <row r="46" spans="1:60" ht="15" customHeight="1">
      <c r="C46" s="76" t="s">
        <v>121</v>
      </c>
    </row>
    <row r="47" spans="1:60" ht="15" customHeight="1">
      <c r="B47" s="146" t="s">
        <v>181</v>
      </c>
      <c r="C47" s="163" t="s">
        <v>106</v>
      </c>
      <c r="D47" s="165"/>
      <c r="E47" s="191">
        <f t="shared" ref="E47:AJ47" si="20">E13</f>
        <v>0</v>
      </c>
      <c r="F47" s="191">
        <f t="shared" si="20"/>
        <v>0</v>
      </c>
      <c r="G47" s="191">
        <f t="shared" si="20"/>
        <v>0</v>
      </c>
      <c r="H47" s="191">
        <f t="shared" si="20"/>
        <v>0</v>
      </c>
      <c r="I47" s="191">
        <f t="shared" si="20"/>
        <v>0</v>
      </c>
      <c r="J47" s="191">
        <f t="shared" si="20"/>
        <v>0</v>
      </c>
      <c r="K47" s="191">
        <f t="shared" si="20"/>
        <v>0</v>
      </c>
      <c r="L47" s="191">
        <f t="shared" si="20"/>
        <v>0</v>
      </c>
      <c r="M47" s="191">
        <f t="shared" si="20"/>
        <v>0</v>
      </c>
      <c r="N47" s="191">
        <f t="shared" si="20"/>
        <v>0</v>
      </c>
      <c r="O47" s="191">
        <f t="shared" si="20"/>
        <v>0</v>
      </c>
      <c r="P47" s="191">
        <f t="shared" si="20"/>
        <v>0</v>
      </c>
      <c r="Q47" s="191">
        <f t="shared" si="20"/>
        <v>0</v>
      </c>
      <c r="R47" s="191">
        <f t="shared" si="20"/>
        <v>0</v>
      </c>
      <c r="S47" s="191">
        <f t="shared" si="20"/>
        <v>0</v>
      </c>
      <c r="T47" s="191">
        <f t="shared" si="20"/>
        <v>0</v>
      </c>
      <c r="U47" s="191">
        <f t="shared" si="20"/>
        <v>0</v>
      </c>
      <c r="V47" s="191">
        <f t="shared" si="20"/>
        <v>0</v>
      </c>
      <c r="W47" s="191">
        <f t="shared" si="20"/>
        <v>0</v>
      </c>
      <c r="X47" s="191">
        <f t="shared" si="20"/>
        <v>0</v>
      </c>
      <c r="Y47" s="191">
        <f t="shared" si="20"/>
        <v>0</v>
      </c>
      <c r="Z47" s="191">
        <f t="shared" si="20"/>
        <v>0</v>
      </c>
      <c r="AA47" s="191">
        <f t="shared" si="20"/>
        <v>0</v>
      </c>
      <c r="AB47" s="191">
        <f t="shared" si="20"/>
        <v>0</v>
      </c>
      <c r="AC47" s="191">
        <f t="shared" si="20"/>
        <v>0</v>
      </c>
      <c r="AD47" s="191">
        <f t="shared" si="20"/>
        <v>0</v>
      </c>
      <c r="AE47" s="191">
        <f t="shared" si="20"/>
        <v>0</v>
      </c>
      <c r="AF47" s="191">
        <f t="shared" si="20"/>
        <v>0</v>
      </c>
      <c r="AG47" s="191">
        <f t="shared" si="20"/>
        <v>0</v>
      </c>
      <c r="AH47" s="191">
        <f t="shared" si="20"/>
        <v>0</v>
      </c>
      <c r="AI47" s="191">
        <f t="shared" si="20"/>
        <v>0</v>
      </c>
      <c r="AJ47" s="191">
        <f t="shared" si="20"/>
        <v>0</v>
      </c>
      <c r="AK47" s="191">
        <f t="shared" ref="AK47:BH47" si="21">AK13</f>
        <v>0</v>
      </c>
      <c r="AL47" s="191">
        <f t="shared" si="21"/>
        <v>0</v>
      </c>
      <c r="AM47" s="191">
        <f t="shared" si="21"/>
        <v>0</v>
      </c>
      <c r="AN47" s="191">
        <f t="shared" si="21"/>
        <v>0</v>
      </c>
      <c r="AO47" s="191">
        <f t="shared" si="21"/>
        <v>0</v>
      </c>
      <c r="AP47" s="191">
        <f t="shared" si="21"/>
        <v>0</v>
      </c>
      <c r="AQ47" s="191">
        <f t="shared" si="21"/>
        <v>0</v>
      </c>
      <c r="AR47" s="191">
        <f t="shared" si="21"/>
        <v>0</v>
      </c>
      <c r="AS47" s="191">
        <f t="shared" si="21"/>
        <v>0</v>
      </c>
      <c r="AT47" s="191">
        <f t="shared" si="21"/>
        <v>0</v>
      </c>
      <c r="AU47" s="191">
        <f t="shared" si="21"/>
        <v>0</v>
      </c>
      <c r="AV47" s="191">
        <f t="shared" si="21"/>
        <v>0</v>
      </c>
      <c r="AW47" s="191">
        <f t="shared" si="21"/>
        <v>0</v>
      </c>
      <c r="AX47" s="191">
        <f t="shared" si="21"/>
        <v>0</v>
      </c>
      <c r="AY47" s="191">
        <f t="shared" si="21"/>
        <v>0</v>
      </c>
      <c r="AZ47" s="191">
        <f t="shared" si="21"/>
        <v>0</v>
      </c>
      <c r="BA47" s="191">
        <f t="shared" si="21"/>
        <v>0</v>
      </c>
      <c r="BB47" s="191">
        <f t="shared" si="21"/>
        <v>0</v>
      </c>
      <c r="BC47" s="191">
        <f t="shared" si="21"/>
        <v>0</v>
      </c>
      <c r="BD47" s="191">
        <f t="shared" si="21"/>
        <v>0</v>
      </c>
      <c r="BE47" s="191">
        <f t="shared" si="21"/>
        <v>0</v>
      </c>
      <c r="BF47" s="191">
        <f t="shared" si="21"/>
        <v>0</v>
      </c>
      <c r="BG47" s="191">
        <f t="shared" si="21"/>
        <v>0</v>
      </c>
      <c r="BH47" s="191">
        <f t="shared" si="21"/>
        <v>0</v>
      </c>
    </row>
    <row r="48" spans="1:60" ht="15" customHeight="1">
      <c r="B48" s="146" t="s">
        <v>182</v>
      </c>
      <c r="C48" s="163" t="s">
        <v>122</v>
      </c>
      <c r="D48" s="166"/>
      <c r="E48" s="288">
        <f>'Wksh 1 - Market Experience'!F46</f>
        <v>0</v>
      </c>
      <c r="F48" s="288"/>
      <c r="G48" s="288"/>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c r="AS48" s="288"/>
      <c r="AT48" s="288"/>
      <c r="AU48" s="288"/>
      <c r="AV48" s="288"/>
      <c r="AW48" s="288"/>
      <c r="AX48" s="288"/>
      <c r="AY48" s="288"/>
      <c r="AZ48" s="288"/>
      <c r="BA48" s="288"/>
      <c r="BB48" s="288"/>
      <c r="BC48" s="288"/>
      <c r="BD48" s="288"/>
      <c r="BE48" s="288"/>
      <c r="BF48" s="288"/>
      <c r="BG48" s="288"/>
      <c r="BH48" s="288"/>
    </row>
    <row r="49" spans="2:60" ht="15" customHeight="1">
      <c r="B49" s="146" t="s">
        <v>183</v>
      </c>
      <c r="C49" s="163" t="s">
        <v>123</v>
      </c>
      <c r="D49" s="166"/>
      <c r="E49" s="193">
        <v>0.64353504923619498</v>
      </c>
      <c r="F49" s="193">
        <v>0.61365947893960404</v>
      </c>
      <c r="G49" s="193">
        <v>0.84545783157305399</v>
      </c>
      <c r="H49" s="193">
        <v>0.79266618082387696</v>
      </c>
      <c r="I49" s="193">
        <v>0.78375886595454802</v>
      </c>
      <c r="J49" s="193">
        <v>0.85654869348462603</v>
      </c>
      <c r="K49" s="193">
        <v>1.05757459201018</v>
      </c>
      <c r="L49" s="193">
        <v>1.0319614083812401</v>
      </c>
      <c r="M49" s="193">
        <v>0.755815943960224</v>
      </c>
      <c r="N49" s="193">
        <v>0.80529741587756398</v>
      </c>
      <c r="O49" s="193">
        <v>0.679458348484409</v>
      </c>
      <c r="P49" s="193">
        <v>0.788210342472772</v>
      </c>
      <c r="Q49" s="193">
        <v>0.66422109633169302</v>
      </c>
      <c r="R49" s="193">
        <v>0.64725619453823702</v>
      </c>
      <c r="S49" s="193">
        <v>0.81431816993435802</v>
      </c>
      <c r="T49" s="193">
        <v>0.602954857941292</v>
      </c>
      <c r="U49" s="193">
        <v>0.64935248395459</v>
      </c>
      <c r="V49" s="193">
        <v>0.62063886431062498</v>
      </c>
      <c r="W49" s="193">
        <v>0.85112973668934899</v>
      </c>
      <c r="X49" s="193">
        <v>0.79744349621441502</v>
      </c>
      <c r="Y49" s="193">
        <v>0.78841397444872696</v>
      </c>
      <c r="Z49" s="193">
        <v>0.862016549662734</v>
      </c>
      <c r="AA49" s="193">
        <v>1.0615061602332101</v>
      </c>
      <c r="AB49" s="193">
        <v>1.03632563550759</v>
      </c>
      <c r="AC49" s="193">
        <v>0.76099986267958097</v>
      </c>
      <c r="AD49" s="193">
        <v>0.81203725703926899</v>
      </c>
      <c r="AE49" s="193">
        <v>0.68424081259293801</v>
      </c>
      <c r="AF49" s="193">
        <v>0.79464533318158503</v>
      </c>
      <c r="AG49" s="193">
        <v>0.66867418479585805</v>
      </c>
      <c r="AH49" s="193">
        <v>0.651488627868686</v>
      </c>
      <c r="AI49" s="193">
        <v>0.82179320008726997</v>
      </c>
      <c r="AJ49" s="193">
        <v>0.60692367299807903</v>
      </c>
      <c r="AK49" s="193">
        <v>0.70293563382255897</v>
      </c>
      <c r="AL49" s="193">
        <v>0.70958287766753803</v>
      </c>
      <c r="AM49" s="193">
        <v>0.67902144800572295</v>
      </c>
      <c r="AN49" s="193">
        <v>0.68503727324630403</v>
      </c>
      <c r="AO49" s="193">
        <v>0.59713865593580295</v>
      </c>
      <c r="AP49" s="193">
        <v>0.60358831271117197</v>
      </c>
      <c r="AQ49" s="193">
        <v>0.92557491645614998</v>
      </c>
      <c r="AR49" s="193">
        <v>0.93178599122540695</v>
      </c>
      <c r="AS49" s="193">
        <v>0</v>
      </c>
      <c r="AT49" s="193">
        <v>0</v>
      </c>
      <c r="AU49" s="193">
        <v>0</v>
      </c>
      <c r="AV49" s="193">
        <v>0</v>
      </c>
      <c r="AW49" s="193">
        <v>0</v>
      </c>
      <c r="AX49" s="193">
        <v>0</v>
      </c>
      <c r="AY49" s="193">
        <v>0</v>
      </c>
      <c r="AZ49" s="193">
        <v>0</v>
      </c>
      <c r="BA49" s="193">
        <v>0</v>
      </c>
      <c r="BB49" s="193">
        <v>0</v>
      </c>
      <c r="BC49" s="193">
        <v>0</v>
      </c>
      <c r="BD49" s="193">
        <v>0</v>
      </c>
      <c r="BE49" s="193">
        <v>0</v>
      </c>
      <c r="BF49" s="193">
        <v>0</v>
      </c>
      <c r="BG49" s="193">
        <v>0</v>
      </c>
      <c r="BH49" s="193">
        <v>0</v>
      </c>
    </row>
    <row r="50" spans="2:60" ht="15" customHeight="1">
      <c r="B50" s="146" t="s">
        <v>184</v>
      </c>
      <c r="C50" s="163" t="s">
        <v>124</v>
      </c>
      <c r="D50" s="166"/>
      <c r="E50" s="193">
        <v>0.96039022829643095</v>
      </c>
      <c r="F50" s="193">
        <v>0.96039022829643095</v>
      </c>
      <c r="G50" s="193">
        <v>0.96039022829643095</v>
      </c>
      <c r="H50" s="193">
        <v>0.96039022829643095</v>
      </c>
      <c r="I50" s="193">
        <v>0.96039022829643095</v>
      </c>
      <c r="J50" s="193">
        <v>0.96039022829643095</v>
      </c>
      <c r="K50" s="193">
        <v>0.96039022829643095</v>
      </c>
      <c r="L50" s="193">
        <v>0.96039022829643095</v>
      </c>
      <c r="M50" s="193">
        <v>0.96039022829643095</v>
      </c>
      <c r="N50" s="193">
        <v>0.96039022829643095</v>
      </c>
      <c r="O50" s="193">
        <v>0.96039022829643095</v>
      </c>
      <c r="P50" s="193">
        <v>0.96039022829643095</v>
      </c>
      <c r="Q50" s="193">
        <v>0.96039022829643095</v>
      </c>
      <c r="R50" s="193">
        <v>0.96039022829643095</v>
      </c>
      <c r="S50" s="193">
        <v>0.96039022829643095</v>
      </c>
      <c r="T50" s="193">
        <v>0.96039022829643095</v>
      </c>
      <c r="U50" s="193">
        <v>1.0034898299766599</v>
      </c>
      <c r="V50" s="193">
        <v>1.0034898299766599</v>
      </c>
      <c r="W50" s="193">
        <v>1.0034898299766599</v>
      </c>
      <c r="X50" s="193">
        <v>1.0034898299766599</v>
      </c>
      <c r="Y50" s="193">
        <v>1.0034898299766599</v>
      </c>
      <c r="Z50" s="193">
        <v>1.0034898299766599</v>
      </c>
      <c r="AA50" s="193">
        <v>1.0034898299766599</v>
      </c>
      <c r="AB50" s="193">
        <v>1.0034898299766599</v>
      </c>
      <c r="AC50" s="193">
        <v>1.0034898299766599</v>
      </c>
      <c r="AD50" s="193">
        <v>1.0034898299766599</v>
      </c>
      <c r="AE50" s="193">
        <v>1.0034898299766599</v>
      </c>
      <c r="AF50" s="193">
        <v>1.0034898299766599</v>
      </c>
      <c r="AG50" s="193">
        <v>1.0034898299766599</v>
      </c>
      <c r="AH50" s="193">
        <v>1.0034898299766599</v>
      </c>
      <c r="AI50" s="193">
        <v>1.0034898299766599</v>
      </c>
      <c r="AJ50" s="193">
        <v>1.0034898299766599</v>
      </c>
      <c r="AK50" s="193">
        <v>0.96039022829643095</v>
      </c>
      <c r="AL50" s="193">
        <v>1.0034898299766599</v>
      </c>
      <c r="AM50" s="193">
        <v>0.96039022829643095</v>
      </c>
      <c r="AN50" s="193">
        <v>1.0034898299766599</v>
      </c>
      <c r="AO50" s="193">
        <v>0.96039022829643095</v>
      </c>
      <c r="AP50" s="193">
        <v>1.0034898299766599</v>
      </c>
      <c r="AQ50" s="193">
        <v>0.96039022829643095</v>
      </c>
      <c r="AR50" s="193">
        <v>1.0034898299766599</v>
      </c>
      <c r="AS50" s="193">
        <v>0</v>
      </c>
      <c r="AT50" s="193">
        <v>0</v>
      </c>
      <c r="AU50" s="193">
        <v>0</v>
      </c>
      <c r="AV50" s="193">
        <v>0</v>
      </c>
      <c r="AW50" s="193">
        <v>0</v>
      </c>
      <c r="AX50" s="193">
        <v>0</v>
      </c>
      <c r="AY50" s="193">
        <v>0</v>
      </c>
      <c r="AZ50" s="193">
        <v>0</v>
      </c>
      <c r="BA50" s="193">
        <v>0</v>
      </c>
      <c r="BB50" s="193">
        <v>0</v>
      </c>
      <c r="BC50" s="193">
        <v>0</v>
      </c>
      <c r="BD50" s="193">
        <v>0</v>
      </c>
      <c r="BE50" s="193">
        <v>0</v>
      </c>
      <c r="BF50" s="193">
        <v>0</v>
      </c>
      <c r="BG50" s="193">
        <v>0</v>
      </c>
      <c r="BH50" s="193">
        <v>0</v>
      </c>
    </row>
    <row r="51" spans="2:60" ht="15" customHeight="1">
      <c r="B51" s="148" t="s">
        <v>185</v>
      </c>
      <c r="C51" s="164" t="s">
        <v>125</v>
      </c>
      <c r="D51" s="167"/>
      <c r="E51" s="193">
        <v>1.0071590107156601</v>
      </c>
      <c r="F51" s="193">
        <v>1.0071590107156601</v>
      </c>
      <c r="G51" s="193">
        <v>1.0071590107156601</v>
      </c>
      <c r="H51" s="193">
        <v>1.0071590107156601</v>
      </c>
      <c r="I51" s="193">
        <v>1.0071590107156601</v>
      </c>
      <c r="J51" s="193">
        <v>1.0071590107156601</v>
      </c>
      <c r="K51" s="193">
        <v>1.0071590107156601</v>
      </c>
      <c r="L51" s="193">
        <v>1.0071590107156601</v>
      </c>
      <c r="M51" s="193">
        <v>1.0071590107156601</v>
      </c>
      <c r="N51" s="193">
        <v>1.0071590107156601</v>
      </c>
      <c r="O51" s="193">
        <v>1.0071590107156601</v>
      </c>
      <c r="P51" s="193">
        <v>1.0071590107156601</v>
      </c>
      <c r="Q51" s="193">
        <v>1.0071590107156601</v>
      </c>
      <c r="R51" s="193">
        <v>1.0071590107156601</v>
      </c>
      <c r="S51" s="193">
        <v>1.0071590107156601</v>
      </c>
      <c r="T51" s="193">
        <v>1.0071590107156601</v>
      </c>
      <c r="U51" s="193">
        <v>1.0071590107156601</v>
      </c>
      <c r="V51" s="193">
        <v>1.0071590107156601</v>
      </c>
      <c r="W51" s="193">
        <v>1.0071590107156601</v>
      </c>
      <c r="X51" s="193">
        <v>1.0071590107156601</v>
      </c>
      <c r="Y51" s="193">
        <v>1.0071590107156601</v>
      </c>
      <c r="Z51" s="193">
        <v>1.0071590107156601</v>
      </c>
      <c r="AA51" s="193">
        <v>1.0071590107156601</v>
      </c>
      <c r="AB51" s="193">
        <v>1.0071590107156601</v>
      </c>
      <c r="AC51" s="193">
        <v>1.0071590107156601</v>
      </c>
      <c r="AD51" s="193">
        <v>1.0071590107156601</v>
      </c>
      <c r="AE51" s="193">
        <v>1.0071590107156601</v>
      </c>
      <c r="AF51" s="193">
        <v>1.0071590107156601</v>
      </c>
      <c r="AG51" s="193">
        <v>1.0071590107156601</v>
      </c>
      <c r="AH51" s="193">
        <v>1.0071590107156601</v>
      </c>
      <c r="AI51" s="193">
        <v>1.0071590107156601</v>
      </c>
      <c r="AJ51" s="193">
        <v>1.0071590107156601</v>
      </c>
      <c r="AK51" s="193">
        <v>1.0071590107156601</v>
      </c>
      <c r="AL51" s="193">
        <v>1.0071590107156601</v>
      </c>
      <c r="AM51" s="193">
        <v>1.0071590107156601</v>
      </c>
      <c r="AN51" s="193">
        <v>1.0071590107156601</v>
      </c>
      <c r="AO51" s="193">
        <v>1.0071590107156601</v>
      </c>
      <c r="AP51" s="193">
        <v>1.0071590107156601</v>
      </c>
      <c r="AQ51" s="193">
        <v>1.0071590107156601</v>
      </c>
      <c r="AR51" s="193">
        <v>1.0071590107156601</v>
      </c>
      <c r="AS51" s="193">
        <v>0</v>
      </c>
      <c r="AT51" s="193">
        <v>0</v>
      </c>
      <c r="AU51" s="193">
        <v>0</v>
      </c>
      <c r="AV51" s="193">
        <v>0</v>
      </c>
      <c r="AW51" s="193">
        <v>0</v>
      </c>
      <c r="AX51" s="193">
        <v>0</v>
      </c>
      <c r="AY51" s="193">
        <v>0</v>
      </c>
      <c r="AZ51" s="193">
        <v>0</v>
      </c>
      <c r="BA51" s="193">
        <v>0</v>
      </c>
      <c r="BB51" s="193">
        <v>0</v>
      </c>
      <c r="BC51" s="193">
        <v>0</v>
      </c>
      <c r="BD51" s="193">
        <v>0</v>
      </c>
      <c r="BE51" s="193">
        <v>0</v>
      </c>
      <c r="BF51" s="193">
        <v>0</v>
      </c>
      <c r="BG51" s="193">
        <v>0</v>
      </c>
      <c r="BH51" s="193">
        <v>0</v>
      </c>
    </row>
    <row r="52" spans="2:60" ht="15" customHeight="1">
      <c r="C52" s="77" t="s">
        <v>133</v>
      </c>
    </row>
    <row r="53" spans="2:60" ht="15" customHeight="1">
      <c r="B53" s="146" t="s">
        <v>186</v>
      </c>
      <c r="C53" s="172" t="s">
        <v>134</v>
      </c>
      <c r="D53" s="165"/>
      <c r="E53" s="196">
        <v>9.8016587864233506E-2</v>
      </c>
      <c r="F53" s="196">
        <v>9.8016587864233506E-2</v>
      </c>
      <c r="G53" s="196">
        <v>9.8016587864233506E-2</v>
      </c>
      <c r="H53" s="196">
        <v>9.8016587864233506E-2</v>
      </c>
      <c r="I53" s="196">
        <v>9.8016587864233506E-2</v>
      </c>
      <c r="J53" s="196">
        <v>9.8016587864233506E-2</v>
      </c>
      <c r="K53" s="196">
        <v>9.8016587864233506E-2</v>
      </c>
      <c r="L53" s="196">
        <v>9.8016587864233506E-2</v>
      </c>
      <c r="M53" s="196">
        <v>9.8016587864233506E-2</v>
      </c>
      <c r="N53" s="196">
        <v>9.8016587864233506E-2</v>
      </c>
      <c r="O53" s="196">
        <v>9.8016587864233506E-2</v>
      </c>
      <c r="P53" s="196">
        <v>9.8016587864233506E-2</v>
      </c>
      <c r="Q53" s="196">
        <v>9.8016587864233506E-2</v>
      </c>
      <c r="R53" s="196">
        <v>9.8016587864233506E-2</v>
      </c>
      <c r="S53" s="196">
        <v>9.8016587864233506E-2</v>
      </c>
      <c r="T53" s="196">
        <v>9.8016587864233506E-2</v>
      </c>
      <c r="U53" s="196">
        <v>9.8016587864233506E-2</v>
      </c>
      <c r="V53" s="196">
        <v>9.8016587864233506E-2</v>
      </c>
      <c r="W53" s="196">
        <v>9.8016587864233506E-2</v>
      </c>
      <c r="X53" s="196">
        <v>9.8016587864233506E-2</v>
      </c>
      <c r="Y53" s="196">
        <v>9.8016587864233506E-2</v>
      </c>
      <c r="Z53" s="196">
        <v>9.8016587864233506E-2</v>
      </c>
      <c r="AA53" s="196">
        <v>9.8016587864233506E-2</v>
      </c>
      <c r="AB53" s="196">
        <v>9.8016587864233506E-2</v>
      </c>
      <c r="AC53" s="196">
        <v>9.8016587864233506E-2</v>
      </c>
      <c r="AD53" s="196">
        <v>9.8016587864233506E-2</v>
      </c>
      <c r="AE53" s="196">
        <v>9.8016587864233506E-2</v>
      </c>
      <c r="AF53" s="196">
        <v>9.8016587864233506E-2</v>
      </c>
      <c r="AG53" s="196">
        <v>9.8016587864233506E-2</v>
      </c>
      <c r="AH53" s="196">
        <v>9.8016587864233506E-2</v>
      </c>
      <c r="AI53" s="196">
        <v>9.8016587864233506E-2</v>
      </c>
      <c r="AJ53" s="196">
        <v>9.8016587864233506E-2</v>
      </c>
      <c r="AK53" s="196">
        <v>9.8016587864233506E-2</v>
      </c>
      <c r="AL53" s="196">
        <v>9.8016587864233506E-2</v>
      </c>
      <c r="AM53" s="196">
        <v>9.8016587864233506E-2</v>
      </c>
      <c r="AN53" s="196">
        <v>9.8016587864233506E-2</v>
      </c>
      <c r="AO53" s="196">
        <v>9.8016587864233506E-2</v>
      </c>
      <c r="AP53" s="196">
        <v>9.8016587864233506E-2</v>
      </c>
      <c r="AQ53" s="196">
        <v>9.8016587864233506E-2</v>
      </c>
      <c r="AR53" s="196">
        <v>9.8016587864233506E-2</v>
      </c>
      <c r="AS53" s="196">
        <v>0</v>
      </c>
      <c r="AT53" s="196">
        <v>0</v>
      </c>
      <c r="AU53" s="196">
        <v>0</v>
      </c>
      <c r="AV53" s="196">
        <v>0</v>
      </c>
      <c r="AW53" s="196">
        <v>0</v>
      </c>
      <c r="AX53" s="196">
        <v>0</v>
      </c>
      <c r="AY53" s="196">
        <v>0</v>
      </c>
      <c r="AZ53" s="196">
        <v>0</v>
      </c>
      <c r="BA53" s="196">
        <v>0</v>
      </c>
      <c r="BB53" s="196">
        <v>0</v>
      </c>
      <c r="BC53" s="196">
        <v>0</v>
      </c>
      <c r="BD53" s="196">
        <v>0</v>
      </c>
      <c r="BE53" s="196">
        <v>0</v>
      </c>
      <c r="BF53" s="196">
        <v>0</v>
      </c>
      <c r="BG53" s="196">
        <v>0</v>
      </c>
      <c r="BH53" s="196">
        <v>0</v>
      </c>
    </row>
    <row r="54" spans="2:60" ht="15" customHeight="1">
      <c r="B54" s="146" t="s">
        <v>187</v>
      </c>
      <c r="C54" s="172" t="s">
        <v>135</v>
      </c>
      <c r="D54" s="166"/>
      <c r="E54" s="196">
        <v>3.10499901002592E-2</v>
      </c>
      <c r="F54" s="196">
        <v>3.10499901002592E-2</v>
      </c>
      <c r="G54" s="196">
        <v>3.10499901002592E-2</v>
      </c>
      <c r="H54" s="196">
        <v>3.10499901002592E-2</v>
      </c>
      <c r="I54" s="196">
        <v>3.10499901002592E-2</v>
      </c>
      <c r="J54" s="196">
        <v>3.10499901002592E-2</v>
      </c>
      <c r="K54" s="196">
        <v>3.10499901002592E-2</v>
      </c>
      <c r="L54" s="196">
        <v>3.10499901002592E-2</v>
      </c>
      <c r="M54" s="196">
        <v>3.10499901002592E-2</v>
      </c>
      <c r="N54" s="196">
        <v>3.10499901002592E-2</v>
      </c>
      <c r="O54" s="196">
        <v>3.10499901002592E-2</v>
      </c>
      <c r="P54" s="196">
        <v>3.10499901002592E-2</v>
      </c>
      <c r="Q54" s="196">
        <v>3.10499901002592E-2</v>
      </c>
      <c r="R54" s="196">
        <v>3.10499901002592E-2</v>
      </c>
      <c r="S54" s="196">
        <v>3.10499901002592E-2</v>
      </c>
      <c r="T54" s="196">
        <v>3.10499901002592E-2</v>
      </c>
      <c r="U54" s="196">
        <v>3.10499901002592E-2</v>
      </c>
      <c r="V54" s="196">
        <v>3.10499901002592E-2</v>
      </c>
      <c r="W54" s="196">
        <v>3.10499901002592E-2</v>
      </c>
      <c r="X54" s="196">
        <v>3.10499901002592E-2</v>
      </c>
      <c r="Y54" s="196">
        <v>3.10499901002592E-2</v>
      </c>
      <c r="Z54" s="196">
        <v>3.10499901002592E-2</v>
      </c>
      <c r="AA54" s="196">
        <v>3.10499901002592E-2</v>
      </c>
      <c r="AB54" s="196">
        <v>3.10499901002592E-2</v>
      </c>
      <c r="AC54" s="196">
        <v>3.10499901002592E-2</v>
      </c>
      <c r="AD54" s="196">
        <v>3.10499901002592E-2</v>
      </c>
      <c r="AE54" s="196">
        <v>3.10499901002592E-2</v>
      </c>
      <c r="AF54" s="196">
        <v>3.10499901002592E-2</v>
      </c>
      <c r="AG54" s="196">
        <v>3.10499901002592E-2</v>
      </c>
      <c r="AH54" s="196">
        <v>3.10499901002592E-2</v>
      </c>
      <c r="AI54" s="196">
        <v>3.10499901002592E-2</v>
      </c>
      <c r="AJ54" s="196">
        <v>3.10499901002592E-2</v>
      </c>
      <c r="AK54" s="196">
        <v>3.10499901002592E-2</v>
      </c>
      <c r="AL54" s="196">
        <v>3.10499901002592E-2</v>
      </c>
      <c r="AM54" s="196">
        <v>3.10499901002592E-2</v>
      </c>
      <c r="AN54" s="196">
        <v>3.10499901002592E-2</v>
      </c>
      <c r="AO54" s="196">
        <v>3.10499901002592E-2</v>
      </c>
      <c r="AP54" s="196">
        <v>3.10499901002592E-2</v>
      </c>
      <c r="AQ54" s="196">
        <v>3.10499901002592E-2</v>
      </c>
      <c r="AR54" s="196">
        <v>3.10499901002592E-2</v>
      </c>
      <c r="AS54" s="196">
        <v>0</v>
      </c>
      <c r="AT54" s="196">
        <v>0</v>
      </c>
      <c r="AU54" s="196">
        <v>0</v>
      </c>
      <c r="AV54" s="196">
        <v>0</v>
      </c>
      <c r="AW54" s="196">
        <v>0</v>
      </c>
      <c r="AX54" s="196">
        <v>0</v>
      </c>
      <c r="AY54" s="196">
        <v>0</v>
      </c>
      <c r="AZ54" s="196">
        <v>0</v>
      </c>
      <c r="BA54" s="196">
        <v>0</v>
      </c>
      <c r="BB54" s="196">
        <v>0</v>
      </c>
      <c r="BC54" s="196">
        <v>0</v>
      </c>
      <c r="BD54" s="196">
        <v>0</v>
      </c>
      <c r="BE54" s="196">
        <v>0</v>
      </c>
      <c r="BF54" s="196">
        <v>0</v>
      </c>
      <c r="BG54" s="196">
        <v>0</v>
      </c>
      <c r="BH54" s="196">
        <v>0</v>
      </c>
    </row>
    <row r="55" spans="2:60" ht="15" customHeight="1">
      <c r="B55" s="146" t="s">
        <v>188</v>
      </c>
      <c r="C55" s="172" t="s">
        <v>12</v>
      </c>
      <c r="D55" s="166"/>
      <c r="E55" s="196">
        <v>0.03</v>
      </c>
      <c r="F55" s="196">
        <v>0.03</v>
      </c>
      <c r="G55" s="196">
        <v>0.03</v>
      </c>
      <c r="H55" s="196">
        <v>0.03</v>
      </c>
      <c r="I55" s="196">
        <v>0.03</v>
      </c>
      <c r="J55" s="196">
        <v>0.03</v>
      </c>
      <c r="K55" s="196">
        <v>0.03</v>
      </c>
      <c r="L55" s="196">
        <v>0.03</v>
      </c>
      <c r="M55" s="196">
        <v>0.03</v>
      </c>
      <c r="N55" s="196">
        <v>0.03</v>
      </c>
      <c r="O55" s="196">
        <v>0.03</v>
      </c>
      <c r="P55" s="196">
        <v>0.03</v>
      </c>
      <c r="Q55" s="196">
        <v>0.03</v>
      </c>
      <c r="R55" s="196">
        <v>0.03</v>
      </c>
      <c r="S55" s="196">
        <v>0.03</v>
      </c>
      <c r="T55" s="196">
        <v>0.03</v>
      </c>
      <c r="U55" s="196">
        <v>0.03</v>
      </c>
      <c r="V55" s="196">
        <v>0.03</v>
      </c>
      <c r="W55" s="196">
        <v>0.03</v>
      </c>
      <c r="X55" s="196">
        <v>0.03</v>
      </c>
      <c r="Y55" s="196">
        <v>0.03</v>
      </c>
      <c r="Z55" s="196">
        <v>0.03</v>
      </c>
      <c r="AA55" s="196">
        <v>0.03</v>
      </c>
      <c r="AB55" s="196">
        <v>0.03</v>
      </c>
      <c r="AC55" s="196">
        <v>0.03</v>
      </c>
      <c r="AD55" s="196">
        <v>0.03</v>
      </c>
      <c r="AE55" s="196">
        <v>0.03</v>
      </c>
      <c r="AF55" s="196">
        <v>0.03</v>
      </c>
      <c r="AG55" s="196">
        <v>0.03</v>
      </c>
      <c r="AH55" s="196">
        <v>0.03</v>
      </c>
      <c r="AI55" s="196">
        <v>0.03</v>
      </c>
      <c r="AJ55" s="196">
        <v>0.03</v>
      </c>
      <c r="AK55" s="196">
        <v>0.03</v>
      </c>
      <c r="AL55" s="196">
        <v>0.03</v>
      </c>
      <c r="AM55" s="196">
        <v>0.03</v>
      </c>
      <c r="AN55" s="196">
        <v>0.03</v>
      </c>
      <c r="AO55" s="196">
        <v>0.03</v>
      </c>
      <c r="AP55" s="196">
        <v>0.03</v>
      </c>
      <c r="AQ55" s="196">
        <v>0.03</v>
      </c>
      <c r="AR55" s="196">
        <v>0.03</v>
      </c>
      <c r="AS55" s="196">
        <v>0</v>
      </c>
      <c r="AT55" s="196">
        <v>0</v>
      </c>
      <c r="AU55" s="196">
        <v>0</v>
      </c>
      <c r="AV55" s="196">
        <v>0</v>
      </c>
      <c r="AW55" s="196">
        <v>0</v>
      </c>
      <c r="AX55" s="196">
        <v>0</v>
      </c>
      <c r="AY55" s="196">
        <v>0</v>
      </c>
      <c r="AZ55" s="196">
        <v>0</v>
      </c>
      <c r="BA55" s="196">
        <v>0</v>
      </c>
      <c r="BB55" s="196">
        <v>0</v>
      </c>
      <c r="BC55" s="196">
        <v>0</v>
      </c>
      <c r="BD55" s="196">
        <v>0</v>
      </c>
      <c r="BE55" s="196">
        <v>0</v>
      </c>
      <c r="BF55" s="196">
        <v>0</v>
      </c>
      <c r="BG55" s="196">
        <v>0</v>
      </c>
      <c r="BH55" s="196">
        <v>0</v>
      </c>
    </row>
    <row r="56" spans="2:60" ht="15" customHeight="1">
      <c r="B56" s="146" t="s">
        <v>189</v>
      </c>
      <c r="C56" s="163" t="s">
        <v>126</v>
      </c>
      <c r="D56" s="166"/>
      <c r="E56" s="193">
        <v>1</v>
      </c>
      <c r="F56" s="193">
        <v>1</v>
      </c>
      <c r="G56" s="193">
        <v>1</v>
      </c>
      <c r="H56" s="193">
        <v>1</v>
      </c>
      <c r="I56" s="193">
        <v>1</v>
      </c>
      <c r="J56" s="193">
        <v>1</v>
      </c>
      <c r="K56" s="193">
        <v>1</v>
      </c>
      <c r="L56" s="193">
        <v>1</v>
      </c>
      <c r="M56" s="193">
        <v>1</v>
      </c>
      <c r="N56" s="193">
        <v>1</v>
      </c>
      <c r="O56" s="193">
        <v>1</v>
      </c>
      <c r="P56" s="193">
        <v>1</v>
      </c>
      <c r="Q56" s="193">
        <v>1</v>
      </c>
      <c r="R56" s="193">
        <v>1</v>
      </c>
      <c r="S56" s="193">
        <v>1</v>
      </c>
      <c r="T56" s="193">
        <v>1</v>
      </c>
      <c r="U56" s="193">
        <v>1</v>
      </c>
      <c r="V56" s="193">
        <v>1</v>
      </c>
      <c r="W56" s="193">
        <v>1</v>
      </c>
      <c r="X56" s="193">
        <v>1</v>
      </c>
      <c r="Y56" s="193">
        <v>1</v>
      </c>
      <c r="Z56" s="193">
        <v>1</v>
      </c>
      <c r="AA56" s="193">
        <v>1</v>
      </c>
      <c r="AB56" s="193">
        <v>1</v>
      </c>
      <c r="AC56" s="193">
        <v>1</v>
      </c>
      <c r="AD56" s="193">
        <v>1</v>
      </c>
      <c r="AE56" s="193">
        <v>1</v>
      </c>
      <c r="AF56" s="193">
        <v>1</v>
      </c>
      <c r="AG56" s="193">
        <v>1</v>
      </c>
      <c r="AH56" s="193">
        <v>1</v>
      </c>
      <c r="AI56" s="193">
        <v>1</v>
      </c>
      <c r="AJ56" s="193">
        <v>1</v>
      </c>
      <c r="AK56" s="193">
        <v>1</v>
      </c>
      <c r="AL56" s="193">
        <v>1</v>
      </c>
      <c r="AM56" s="193">
        <v>1</v>
      </c>
      <c r="AN56" s="193">
        <v>1</v>
      </c>
      <c r="AO56" s="193">
        <v>1</v>
      </c>
      <c r="AP56" s="193">
        <v>1</v>
      </c>
      <c r="AQ56" s="193">
        <v>1</v>
      </c>
      <c r="AR56" s="193">
        <v>1</v>
      </c>
      <c r="AS56" s="193">
        <v>0</v>
      </c>
      <c r="AT56" s="193">
        <v>0</v>
      </c>
      <c r="AU56" s="193">
        <v>0</v>
      </c>
      <c r="AV56" s="193">
        <v>0</v>
      </c>
      <c r="AW56" s="193">
        <v>0</v>
      </c>
      <c r="AX56" s="193">
        <v>0</v>
      </c>
      <c r="AY56" s="193">
        <v>0</v>
      </c>
      <c r="AZ56" s="193">
        <v>0</v>
      </c>
      <c r="BA56" s="193">
        <v>0</v>
      </c>
      <c r="BB56" s="193">
        <v>0</v>
      </c>
      <c r="BC56" s="193">
        <v>0</v>
      </c>
      <c r="BD56" s="193">
        <v>0</v>
      </c>
      <c r="BE56" s="193">
        <v>0</v>
      </c>
      <c r="BF56" s="193">
        <v>0</v>
      </c>
      <c r="BG56" s="193">
        <v>0</v>
      </c>
      <c r="BH56" s="193">
        <v>0</v>
      </c>
    </row>
    <row r="57" spans="2:60" ht="15" customHeight="1">
      <c r="B57" s="148" t="s">
        <v>190</v>
      </c>
      <c r="C57" s="173" t="s">
        <v>79</v>
      </c>
      <c r="D57" s="167"/>
      <c r="E57" s="195">
        <f t="shared" ref="E57:AJ57" si="22">($E$48*PRODUCT(E49:E51)*E56)/(1-SUM(E53:E55))</f>
        <v>0</v>
      </c>
      <c r="F57" s="195">
        <f t="shared" si="22"/>
        <v>0</v>
      </c>
      <c r="G57" s="195">
        <f t="shared" si="22"/>
        <v>0</v>
      </c>
      <c r="H57" s="195">
        <f t="shared" si="22"/>
        <v>0</v>
      </c>
      <c r="I57" s="195">
        <f t="shared" si="22"/>
        <v>0</v>
      </c>
      <c r="J57" s="195">
        <f t="shared" si="22"/>
        <v>0</v>
      </c>
      <c r="K57" s="195">
        <f t="shared" si="22"/>
        <v>0</v>
      </c>
      <c r="L57" s="195">
        <f t="shared" si="22"/>
        <v>0</v>
      </c>
      <c r="M57" s="195">
        <f t="shared" si="22"/>
        <v>0</v>
      </c>
      <c r="N57" s="195">
        <f t="shared" si="22"/>
        <v>0</v>
      </c>
      <c r="O57" s="195">
        <f t="shared" si="22"/>
        <v>0</v>
      </c>
      <c r="P57" s="195">
        <f t="shared" si="22"/>
        <v>0</v>
      </c>
      <c r="Q57" s="195">
        <f t="shared" si="22"/>
        <v>0</v>
      </c>
      <c r="R57" s="195">
        <f t="shared" si="22"/>
        <v>0</v>
      </c>
      <c r="S57" s="195">
        <f t="shared" si="22"/>
        <v>0</v>
      </c>
      <c r="T57" s="195">
        <f t="shared" si="22"/>
        <v>0</v>
      </c>
      <c r="U57" s="195">
        <f t="shared" si="22"/>
        <v>0</v>
      </c>
      <c r="V57" s="195">
        <f t="shared" si="22"/>
        <v>0</v>
      </c>
      <c r="W57" s="195">
        <f t="shared" si="22"/>
        <v>0</v>
      </c>
      <c r="X57" s="195">
        <f t="shared" si="22"/>
        <v>0</v>
      </c>
      <c r="Y57" s="195">
        <f t="shared" si="22"/>
        <v>0</v>
      </c>
      <c r="Z57" s="195">
        <f t="shared" si="22"/>
        <v>0</v>
      </c>
      <c r="AA57" s="195">
        <f t="shared" si="22"/>
        <v>0</v>
      </c>
      <c r="AB57" s="195">
        <f t="shared" si="22"/>
        <v>0</v>
      </c>
      <c r="AC57" s="195">
        <f t="shared" si="22"/>
        <v>0</v>
      </c>
      <c r="AD57" s="195">
        <f t="shared" si="22"/>
        <v>0</v>
      </c>
      <c r="AE57" s="195">
        <f t="shared" si="22"/>
        <v>0</v>
      </c>
      <c r="AF57" s="195">
        <f t="shared" si="22"/>
        <v>0</v>
      </c>
      <c r="AG57" s="195">
        <f t="shared" si="22"/>
        <v>0</v>
      </c>
      <c r="AH57" s="195">
        <f t="shared" si="22"/>
        <v>0</v>
      </c>
      <c r="AI57" s="195">
        <f t="shared" si="22"/>
        <v>0</v>
      </c>
      <c r="AJ57" s="195">
        <f t="shared" si="22"/>
        <v>0</v>
      </c>
      <c r="AK57" s="195">
        <f t="shared" ref="AK57:BP57" si="23">($E$48*PRODUCT(AK49:AK51)*AK56)/(1-SUM(AK53:AK55))</f>
        <v>0</v>
      </c>
      <c r="AL57" s="195">
        <f t="shared" si="23"/>
        <v>0</v>
      </c>
      <c r="AM57" s="195">
        <f t="shared" si="23"/>
        <v>0</v>
      </c>
      <c r="AN57" s="195">
        <f t="shared" si="23"/>
        <v>0</v>
      </c>
      <c r="AO57" s="195">
        <f t="shared" si="23"/>
        <v>0</v>
      </c>
      <c r="AP57" s="195">
        <f t="shared" si="23"/>
        <v>0</v>
      </c>
      <c r="AQ57" s="195">
        <f t="shared" si="23"/>
        <v>0</v>
      </c>
      <c r="AR57" s="195">
        <f t="shared" si="23"/>
        <v>0</v>
      </c>
      <c r="AS57" s="195">
        <f t="shared" si="23"/>
        <v>0</v>
      </c>
      <c r="AT57" s="195">
        <f t="shared" si="23"/>
        <v>0</v>
      </c>
      <c r="AU57" s="195">
        <f t="shared" si="23"/>
        <v>0</v>
      </c>
      <c r="AV57" s="195">
        <f t="shared" si="23"/>
        <v>0</v>
      </c>
      <c r="AW57" s="195">
        <f t="shared" si="23"/>
        <v>0</v>
      </c>
      <c r="AX57" s="195">
        <f t="shared" si="23"/>
        <v>0</v>
      </c>
      <c r="AY57" s="195">
        <f t="shared" si="23"/>
        <v>0</v>
      </c>
      <c r="AZ57" s="195">
        <f t="shared" si="23"/>
        <v>0</v>
      </c>
      <c r="BA57" s="195">
        <f t="shared" si="23"/>
        <v>0</v>
      </c>
      <c r="BB57" s="195">
        <f t="shared" si="23"/>
        <v>0</v>
      </c>
      <c r="BC57" s="195">
        <f t="shared" si="23"/>
        <v>0</v>
      </c>
      <c r="BD57" s="195">
        <f t="shared" si="23"/>
        <v>0</v>
      </c>
      <c r="BE57" s="195">
        <f t="shared" si="23"/>
        <v>0</v>
      </c>
      <c r="BF57" s="195">
        <f t="shared" si="23"/>
        <v>0</v>
      </c>
      <c r="BG57" s="195">
        <f t="shared" si="23"/>
        <v>0</v>
      </c>
      <c r="BH57" s="195">
        <f t="shared" si="23"/>
        <v>0</v>
      </c>
    </row>
    <row r="58" spans="2:60" ht="15" customHeight="1"/>
    <row r="59" spans="2:60" ht="15" customHeight="1">
      <c r="B59" s="146" t="s">
        <v>191</v>
      </c>
      <c r="C59" s="156" t="s">
        <v>127</v>
      </c>
      <c r="D59" s="208">
        <v>0.68453089889914698</v>
      </c>
      <c r="E59" s="289">
        <f>IF(D59&lt;&gt;"", D59, "")</f>
        <v>0</v>
      </c>
      <c r="F59" s="289"/>
      <c r="G59" s="289"/>
      <c r="H59" s="289"/>
      <c r="I59" s="289"/>
      <c r="J59" s="289"/>
      <c r="K59" s="289"/>
      <c r="L59" s="289"/>
      <c r="M59" s="289"/>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row>
    <row r="60" spans="2:60" ht="15" customHeight="1">
      <c r="B60" s="146" t="s">
        <v>192</v>
      </c>
      <c r="C60" s="156" t="s">
        <v>128</v>
      </c>
      <c r="D60" s="208">
        <v>1</v>
      </c>
      <c r="E60" s="289">
        <f>IF(D60&lt;&gt;"", D60, "")</f>
        <v>0</v>
      </c>
      <c r="F60" s="289"/>
      <c r="G60" s="289"/>
      <c r="H60" s="289"/>
      <c r="I60" s="289"/>
      <c r="J60" s="289"/>
      <c r="K60" s="289"/>
      <c r="L60" s="289"/>
      <c r="M60" s="289"/>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row>
    <row r="61" spans="2:60" ht="15" customHeight="1">
      <c r="B61" s="146" t="s">
        <v>193</v>
      </c>
      <c r="C61" s="156" t="s">
        <v>129</v>
      </c>
      <c r="D61" s="208">
        <v>1</v>
      </c>
      <c r="E61" s="289">
        <f>IF(D61&lt;&gt;"", D61, "")</f>
        <v>0</v>
      </c>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row>
    <row r="62" spans="2:60" ht="15" customHeight="1">
      <c r="B62" s="148" t="s">
        <v>194</v>
      </c>
      <c r="C62" s="171" t="s">
        <v>136</v>
      </c>
      <c r="D62" s="170"/>
      <c r="E62" s="195">
        <f t="shared" ref="E62:AJ62" si="24">E57*(PRODUCT($E$59:$E$61))</f>
        <v>0</v>
      </c>
      <c r="F62" s="195">
        <f t="shared" si="24"/>
        <v>0</v>
      </c>
      <c r="G62" s="195">
        <f t="shared" si="24"/>
        <v>0</v>
      </c>
      <c r="H62" s="195">
        <f t="shared" si="24"/>
        <v>0</v>
      </c>
      <c r="I62" s="195">
        <f t="shared" si="24"/>
        <v>0</v>
      </c>
      <c r="J62" s="195">
        <f t="shared" si="24"/>
        <v>0</v>
      </c>
      <c r="K62" s="195">
        <f t="shared" si="24"/>
        <v>0</v>
      </c>
      <c r="L62" s="195">
        <f t="shared" si="24"/>
        <v>0</v>
      </c>
      <c r="M62" s="195">
        <f t="shared" si="24"/>
        <v>0</v>
      </c>
      <c r="N62" s="195">
        <f t="shared" si="24"/>
        <v>0</v>
      </c>
      <c r="O62" s="195">
        <f t="shared" si="24"/>
        <v>0</v>
      </c>
      <c r="P62" s="195">
        <f t="shared" si="24"/>
        <v>0</v>
      </c>
      <c r="Q62" s="195">
        <f t="shared" si="24"/>
        <v>0</v>
      </c>
      <c r="R62" s="195">
        <f t="shared" si="24"/>
        <v>0</v>
      </c>
      <c r="S62" s="195">
        <f t="shared" si="24"/>
        <v>0</v>
      </c>
      <c r="T62" s="195">
        <f t="shared" si="24"/>
        <v>0</v>
      </c>
      <c r="U62" s="195">
        <f t="shared" si="24"/>
        <v>0</v>
      </c>
      <c r="V62" s="195">
        <f t="shared" si="24"/>
        <v>0</v>
      </c>
      <c r="W62" s="195">
        <f t="shared" si="24"/>
        <v>0</v>
      </c>
      <c r="X62" s="195">
        <f t="shared" si="24"/>
        <v>0</v>
      </c>
      <c r="Y62" s="195">
        <f t="shared" si="24"/>
        <v>0</v>
      </c>
      <c r="Z62" s="195">
        <f t="shared" si="24"/>
        <v>0</v>
      </c>
      <c r="AA62" s="195">
        <f t="shared" si="24"/>
        <v>0</v>
      </c>
      <c r="AB62" s="195">
        <f t="shared" si="24"/>
        <v>0</v>
      </c>
      <c r="AC62" s="195">
        <f t="shared" si="24"/>
        <v>0</v>
      </c>
      <c r="AD62" s="195">
        <f t="shared" si="24"/>
        <v>0</v>
      </c>
      <c r="AE62" s="195">
        <f t="shared" si="24"/>
        <v>0</v>
      </c>
      <c r="AF62" s="195">
        <f t="shared" si="24"/>
        <v>0</v>
      </c>
      <c r="AG62" s="195">
        <f t="shared" si="24"/>
        <v>0</v>
      </c>
      <c r="AH62" s="195">
        <f t="shared" si="24"/>
        <v>0</v>
      </c>
      <c r="AI62" s="195">
        <f t="shared" si="24"/>
        <v>0</v>
      </c>
      <c r="AJ62" s="195">
        <f t="shared" si="24"/>
        <v>0</v>
      </c>
      <c r="AK62" s="195">
        <f t="shared" ref="AK62:BH62" si="25">AK57*(PRODUCT($E$59:$E$61))</f>
        <v>0</v>
      </c>
      <c r="AL62" s="195">
        <f t="shared" si="25"/>
        <v>0</v>
      </c>
      <c r="AM62" s="195">
        <f t="shared" si="25"/>
        <v>0</v>
      </c>
      <c r="AN62" s="195">
        <f t="shared" si="25"/>
        <v>0</v>
      </c>
      <c r="AO62" s="195">
        <f t="shared" si="25"/>
        <v>0</v>
      </c>
      <c r="AP62" s="195">
        <f t="shared" si="25"/>
        <v>0</v>
      </c>
      <c r="AQ62" s="195">
        <f t="shared" si="25"/>
        <v>0</v>
      </c>
      <c r="AR62" s="195">
        <f t="shared" si="25"/>
        <v>0</v>
      </c>
      <c r="AS62" s="195">
        <f t="shared" si="25"/>
        <v>0</v>
      </c>
      <c r="AT62" s="195">
        <f t="shared" si="25"/>
        <v>0</v>
      </c>
      <c r="AU62" s="195">
        <f t="shared" si="25"/>
        <v>0</v>
      </c>
      <c r="AV62" s="195">
        <f t="shared" si="25"/>
        <v>0</v>
      </c>
      <c r="AW62" s="195">
        <f t="shared" si="25"/>
        <v>0</v>
      </c>
      <c r="AX62" s="195">
        <f t="shared" si="25"/>
        <v>0</v>
      </c>
      <c r="AY62" s="195">
        <f t="shared" si="25"/>
        <v>0</v>
      </c>
      <c r="AZ62" s="195">
        <f t="shared" si="25"/>
        <v>0</v>
      </c>
      <c r="BA62" s="195">
        <f t="shared" si="25"/>
        <v>0</v>
      </c>
      <c r="BB62" s="195">
        <f t="shared" si="25"/>
        <v>0</v>
      </c>
      <c r="BC62" s="195">
        <f t="shared" si="25"/>
        <v>0</v>
      </c>
      <c r="BD62" s="195">
        <f t="shared" si="25"/>
        <v>0</v>
      </c>
      <c r="BE62" s="195">
        <f t="shared" si="25"/>
        <v>0</v>
      </c>
      <c r="BF62" s="195">
        <f t="shared" si="25"/>
        <v>0</v>
      </c>
      <c r="BG62" s="195">
        <f t="shared" si="25"/>
        <v>0</v>
      </c>
      <c r="BH62" s="195">
        <f t="shared" si="25"/>
        <v>0</v>
      </c>
    </row>
    <row r="63" spans="2:60" ht="15" customHeight="1"/>
    <row r="64" spans="2:60" ht="15" customHeight="1">
      <c r="C64" s="76" t="s">
        <v>130</v>
      </c>
    </row>
    <row r="65" spans="2:60" ht="15" customHeight="1">
      <c r="B65" s="146" t="s">
        <v>195</v>
      </c>
      <c r="C65" s="152" t="s">
        <v>106</v>
      </c>
      <c r="D65" s="174" t="s">
        <v>2</v>
      </c>
      <c r="E65" s="90">
        <f t="shared" ref="E65:AJ65" si="26">E13</f>
        <v>0</v>
      </c>
      <c r="F65" s="90">
        <f t="shared" si="26"/>
        <v>0</v>
      </c>
      <c r="G65" s="90">
        <f t="shared" si="26"/>
        <v>0</v>
      </c>
      <c r="H65" s="90">
        <f t="shared" si="26"/>
        <v>0</v>
      </c>
      <c r="I65" s="90">
        <f t="shared" si="26"/>
        <v>0</v>
      </c>
      <c r="J65" s="90">
        <f t="shared" si="26"/>
        <v>0</v>
      </c>
      <c r="K65" s="90">
        <f t="shared" si="26"/>
        <v>0</v>
      </c>
      <c r="L65" s="90">
        <f t="shared" si="26"/>
        <v>0</v>
      </c>
      <c r="M65" s="90">
        <f t="shared" si="26"/>
        <v>0</v>
      </c>
      <c r="N65" s="90">
        <f t="shared" si="26"/>
        <v>0</v>
      </c>
      <c r="O65" s="90">
        <f t="shared" si="26"/>
        <v>0</v>
      </c>
      <c r="P65" s="90">
        <f t="shared" si="26"/>
        <v>0</v>
      </c>
      <c r="Q65" s="90">
        <f t="shared" si="26"/>
        <v>0</v>
      </c>
      <c r="R65" s="90">
        <f t="shared" si="26"/>
        <v>0</v>
      </c>
      <c r="S65" s="90">
        <f t="shared" si="26"/>
        <v>0</v>
      </c>
      <c r="T65" s="90">
        <f t="shared" si="26"/>
        <v>0</v>
      </c>
      <c r="U65" s="90">
        <f t="shared" si="26"/>
        <v>0</v>
      </c>
      <c r="V65" s="90">
        <f t="shared" si="26"/>
        <v>0</v>
      </c>
      <c r="W65" s="90">
        <f t="shared" si="26"/>
        <v>0</v>
      </c>
      <c r="X65" s="90">
        <f t="shared" si="26"/>
        <v>0</v>
      </c>
      <c r="Y65" s="90">
        <f t="shared" si="26"/>
        <v>0</v>
      </c>
      <c r="Z65" s="90">
        <f t="shared" si="26"/>
        <v>0</v>
      </c>
      <c r="AA65" s="90">
        <f t="shared" si="26"/>
        <v>0</v>
      </c>
      <c r="AB65" s="90">
        <f t="shared" si="26"/>
        <v>0</v>
      </c>
      <c r="AC65" s="90">
        <f t="shared" si="26"/>
        <v>0</v>
      </c>
      <c r="AD65" s="90">
        <f t="shared" si="26"/>
        <v>0</v>
      </c>
      <c r="AE65" s="90">
        <f t="shared" si="26"/>
        <v>0</v>
      </c>
      <c r="AF65" s="90">
        <f t="shared" si="26"/>
        <v>0</v>
      </c>
      <c r="AG65" s="90">
        <f t="shared" si="26"/>
        <v>0</v>
      </c>
      <c r="AH65" s="90">
        <f t="shared" si="26"/>
        <v>0</v>
      </c>
      <c r="AI65" s="90">
        <f t="shared" si="26"/>
        <v>0</v>
      </c>
      <c r="AJ65" s="90">
        <f t="shared" si="26"/>
        <v>0</v>
      </c>
      <c r="AK65" s="90">
        <f t="shared" ref="AK65:BH65" si="27">AK13</f>
        <v>0</v>
      </c>
      <c r="AL65" s="90">
        <f t="shared" si="27"/>
        <v>0</v>
      </c>
      <c r="AM65" s="90">
        <f t="shared" si="27"/>
        <v>0</v>
      </c>
      <c r="AN65" s="90">
        <f t="shared" si="27"/>
        <v>0</v>
      </c>
      <c r="AO65" s="90">
        <f t="shared" si="27"/>
        <v>0</v>
      </c>
      <c r="AP65" s="90">
        <f t="shared" si="27"/>
        <v>0</v>
      </c>
      <c r="AQ65" s="90">
        <f t="shared" si="27"/>
        <v>0</v>
      </c>
      <c r="AR65" s="90">
        <f t="shared" si="27"/>
        <v>0</v>
      </c>
      <c r="AS65" s="90">
        <f t="shared" si="27"/>
        <v>0</v>
      </c>
      <c r="AT65" s="90">
        <f t="shared" si="27"/>
        <v>0</v>
      </c>
      <c r="AU65" s="90">
        <f t="shared" si="27"/>
        <v>0</v>
      </c>
      <c r="AV65" s="90">
        <f t="shared" si="27"/>
        <v>0</v>
      </c>
      <c r="AW65" s="90">
        <f t="shared" si="27"/>
        <v>0</v>
      </c>
      <c r="AX65" s="90">
        <f t="shared" si="27"/>
        <v>0</v>
      </c>
      <c r="AY65" s="90">
        <f t="shared" si="27"/>
        <v>0</v>
      </c>
      <c r="AZ65" s="90">
        <f t="shared" si="27"/>
        <v>0</v>
      </c>
      <c r="BA65" s="90">
        <f t="shared" si="27"/>
        <v>0</v>
      </c>
      <c r="BB65" s="90">
        <f t="shared" si="27"/>
        <v>0</v>
      </c>
      <c r="BC65" s="90">
        <f t="shared" si="27"/>
        <v>0</v>
      </c>
      <c r="BD65" s="90">
        <f t="shared" si="27"/>
        <v>0</v>
      </c>
      <c r="BE65" s="90">
        <f t="shared" si="27"/>
        <v>0</v>
      </c>
      <c r="BF65" s="90">
        <f t="shared" si="27"/>
        <v>0</v>
      </c>
      <c r="BG65" s="90">
        <f t="shared" si="27"/>
        <v>0</v>
      </c>
      <c r="BH65" s="90">
        <f t="shared" si="27"/>
        <v>0</v>
      </c>
    </row>
    <row r="66" spans="2:60" ht="15" customHeight="1">
      <c r="B66" s="146" t="s">
        <v>196</v>
      </c>
      <c r="C66" s="152" t="s">
        <v>86</v>
      </c>
      <c r="D66" s="159">
        <f>SUM(E66:XFD66)</f>
        <v>233411730.05309999</v>
      </c>
      <c r="E66" s="187">
        <f>269030.998979299</f>
        <v>0</v>
      </c>
      <c r="F66" s="187">
        <f>277351.545339483</f>
        <v>0</v>
      </c>
      <c r="G66" s="187">
        <f>1307334.94232414</f>
        <v>0</v>
      </c>
      <c r="H66" s="187">
        <f>1287724.91818928</f>
        <v>0</v>
      </c>
      <c r="I66" s="187">
        <f>1287724.91818928</f>
        <v>0</v>
      </c>
      <c r="J66" s="187">
        <f>1405385.06299845</f>
        <v>0</v>
      </c>
      <c r="K66" s="187">
        <f>615682.543399224</f>
        <v>0</v>
      </c>
      <c r="L66" s="187">
        <f>615682.543399224</f>
        <v>0</v>
      </c>
      <c r="M66" s="187">
        <f>1120322.01748199</f>
        <v>0</v>
      </c>
      <c r="N66" s="187">
        <f>1211886.79775696</f>
        <v>0</v>
      </c>
      <c r="O66" s="187">
        <f>1017984.91011584</f>
        <v>0</v>
      </c>
      <c r="P66" s="187">
        <f>1211886.79775696</f>
        <v>0</v>
      </c>
      <c r="Q66" s="187">
        <f>991054.092387911</f>
        <v>0</v>
      </c>
      <c r="R66" s="187">
        <f>969509.438205565</f>
        <v>0</v>
      </c>
      <c r="S66" s="187">
        <f>1254302.83567845</f>
        <v>0</v>
      </c>
      <c r="T66" s="187">
        <f>915647.8027497</f>
        <v>0</v>
      </c>
      <c r="U66" s="187">
        <f>3190550.60723436</f>
        <v>0</v>
      </c>
      <c r="V66" s="187">
        <f>3289227.43013852</f>
        <v>0</v>
      </c>
      <c r="W66" s="187">
        <f>15504229.2892498</f>
        <v>0</v>
      </c>
      <c r="X66" s="187">
        <f>15271665.8499111</f>
        <v>0</v>
      </c>
      <c r="Y66" s="187">
        <f>15271665.8499111</f>
        <v>0</v>
      </c>
      <c r="Z66" s="187">
        <f>16667046.4859436</f>
        <v>0</v>
      </c>
      <c r="AA66" s="187">
        <f>7301635.57418581</f>
        <v>0</v>
      </c>
      <c r="AB66" s="187">
        <f>7301635.57418581</f>
        <v>0</v>
      </c>
      <c r="AC66" s="187">
        <f>13286365.165117</f>
        <v>0</v>
      </c>
      <c r="AD66" s="187">
        <f>14372270.0103429</f>
        <v>0</v>
      </c>
      <c r="AE66" s="187">
        <f>12072706.808688</f>
        <v>0</v>
      </c>
      <c r="AF66" s="187">
        <f>14372270.0103429</f>
        <v>0</v>
      </c>
      <c r="AG66" s="187">
        <f>11753323.0306804</f>
        <v>0</v>
      </c>
      <c r="AH66" s="187">
        <f>11497816.0082743</f>
        <v>0</v>
      </c>
      <c r="AI66" s="187">
        <f>14875299.4607049</f>
        <v>0</v>
      </c>
      <c r="AJ66" s="187">
        <f>10859048.4522591</f>
        <v>0</v>
      </c>
      <c r="AK66" s="187">
        <f>312020.488506919</f>
        <v>0</v>
      </c>
      <c r="AL66" s="187">
        <f>3700380.85890584</f>
        <v>0</v>
      </c>
      <c r="AM66" s="187">
        <f>291219.122606457</f>
        <v>0</v>
      </c>
      <c r="AN66" s="187">
        <f>3453688.80164545</f>
        <v>0</v>
      </c>
      <c r="AO66" s="187">
        <f>277351.545339483</f>
        <v>0</v>
      </c>
      <c r="AP66" s="187">
        <f>3289227.43013852</f>
        <v>0</v>
      </c>
      <c r="AQ66" s="187">
        <f>1511932.86079787</f>
        <v>0</v>
      </c>
      <c r="AR66" s="187">
        <f>17930641.1730174</f>
        <v>0</v>
      </c>
      <c r="AS66" s="187">
        <f>0</f>
        <v>0</v>
      </c>
      <c r="AT66" s="187">
        <f>0</f>
        <v>0</v>
      </c>
      <c r="AU66" s="187">
        <f>0</f>
        <v>0</v>
      </c>
      <c r="AV66" s="187">
        <f>0</f>
        <v>0</v>
      </c>
      <c r="AW66" s="187">
        <f>0</f>
        <v>0</v>
      </c>
      <c r="AX66" s="187">
        <f>0</f>
        <v>0</v>
      </c>
      <c r="AY66" s="187">
        <f>0</f>
        <v>0</v>
      </c>
      <c r="AZ66" s="187">
        <f>0</f>
        <v>0</v>
      </c>
      <c r="BA66" s="187">
        <f>0</f>
        <v>0</v>
      </c>
      <c r="BB66" s="187">
        <f>0</f>
        <v>0</v>
      </c>
      <c r="BC66" s="187">
        <f>0</f>
        <v>0</v>
      </c>
      <c r="BD66" s="187">
        <f>0</f>
        <v>0</v>
      </c>
      <c r="BE66" s="187">
        <f>0</f>
        <v>0</v>
      </c>
      <c r="BF66" s="187">
        <f>0</f>
        <v>0</v>
      </c>
      <c r="BG66" s="187">
        <f>0</f>
        <v>0</v>
      </c>
      <c r="BH66" s="187">
        <f>0</f>
        <v>0</v>
      </c>
    </row>
    <row r="67" spans="2:60" ht="15" customHeight="1">
      <c r="B67" s="146" t="s">
        <v>197</v>
      </c>
      <c r="C67" s="152" t="s">
        <v>87</v>
      </c>
      <c r="D67" s="159">
        <f>SUM(E67:XFD67)</f>
        <v>0</v>
      </c>
      <c r="E67" s="187">
        <f>0</f>
        <v>0</v>
      </c>
      <c r="F67" s="187">
        <f>0</f>
        <v>0</v>
      </c>
      <c r="G67" s="187">
        <f>0</f>
        <v>0</v>
      </c>
      <c r="H67" s="187">
        <f>0</f>
        <v>0</v>
      </c>
      <c r="I67" s="187">
        <f>0</f>
        <v>0</v>
      </c>
      <c r="J67" s="187">
        <f>0</f>
        <v>0</v>
      </c>
      <c r="K67" s="187">
        <f>0</f>
        <v>0</v>
      </c>
      <c r="L67" s="187">
        <f>0</f>
        <v>0</v>
      </c>
      <c r="M67" s="187">
        <f>0</f>
        <v>0</v>
      </c>
      <c r="N67" s="187">
        <f>0</f>
        <v>0</v>
      </c>
      <c r="O67" s="187">
        <f>0</f>
        <v>0</v>
      </c>
      <c r="P67" s="187">
        <f>0</f>
        <v>0</v>
      </c>
      <c r="Q67" s="187">
        <f>0</f>
        <v>0</v>
      </c>
      <c r="R67" s="187">
        <f>0</f>
        <v>0</v>
      </c>
      <c r="S67" s="187">
        <f>0</f>
        <v>0</v>
      </c>
      <c r="T67" s="187">
        <f>0</f>
        <v>0</v>
      </c>
      <c r="U67" s="187">
        <f>0</f>
        <v>0</v>
      </c>
      <c r="V67" s="187">
        <f>0</f>
        <v>0</v>
      </c>
      <c r="W67" s="187">
        <f>0</f>
        <v>0</v>
      </c>
      <c r="X67" s="187">
        <f>0</f>
        <v>0</v>
      </c>
      <c r="Y67" s="187">
        <f>0</f>
        <v>0</v>
      </c>
      <c r="Z67" s="187">
        <f>0</f>
        <v>0</v>
      </c>
      <c r="AA67" s="187">
        <f>0</f>
        <v>0</v>
      </c>
      <c r="AB67" s="187">
        <f>0</f>
        <v>0</v>
      </c>
      <c r="AC67" s="187">
        <f>0</f>
        <v>0</v>
      </c>
      <c r="AD67" s="187">
        <f>0</f>
        <v>0</v>
      </c>
      <c r="AE67" s="187">
        <f>0</f>
        <v>0</v>
      </c>
      <c r="AF67" s="187">
        <f>0</f>
        <v>0</v>
      </c>
      <c r="AG67" s="187">
        <f>0</f>
        <v>0</v>
      </c>
      <c r="AH67" s="187">
        <f>0</f>
        <v>0</v>
      </c>
      <c r="AI67" s="187">
        <f>0</f>
        <v>0</v>
      </c>
      <c r="AJ67" s="187">
        <f>0</f>
        <v>0</v>
      </c>
      <c r="AK67" s="187">
        <f>0</f>
        <v>0</v>
      </c>
      <c r="AL67" s="187">
        <f>0</f>
        <v>0</v>
      </c>
      <c r="AM67" s="187">
        <f>0</f>
        <v>0</v>
      </c>
      <c r="AN67" s="187">
        <f>0</f>
        <v>0</v>
      </c>
      <c r="AO67" s="187">
        <f>0</f>
        <v>0</v>
      </c>
      <c r="AP67" s="187">
        <f>0</f>
        <v>0</v>
      </c>
      <c r="AQ67" s="187">
        <f>0</f>
        <v>0</v>
      </c>
      <c r="AR67" s="187">
        <f>0</f>
        <v>0</v>
      </c>
      <c r="AS67" s="187">
        <f>0</f>
        <v>0</v>
      </c>
      <c r="AT67" s="187">
        <f>0</f>
        <v>0</v>
      </c>
      <c r="AU67" s="187">
        <f>0</f>
        <v>0</v>
      </c>
      <c r="AV67" s="187">
        <f>0</f>
        <v>0</v>
      </c>
      <c r="AW67" s="187">
        <f>0</f>
        <v>0</v>
      </c>
      <c r="AX67" s="187">
        <f>0</f>
        <v>0</v>
      </c>
      <c r="AY67" s="187">
        <f>0</f>
        <v>0</v>
      </c>
      <c r="AZ67" s="187">
        <f>0</f>
        <v>0</v>
      </c>
      <c r="BA67" s="187">
        <f>0</f>
        <v>0</v>
      </c>
      <c r="BB67" s="187">
        <f>0</f>
        <v>0</v>
      </c>
      <c r="BC67" s="187">
        <f>0</f>
        <v>0</v>
      </c>
      <c r="BD67" s="187">
        <f>0</f>
        <v>0</v>
      </c>
      <c r="BE67" s="187">
        <f>0</f>
        <v>0</v>
      </c>
      <c r="BF67" s="187">
        <f>0</f>
        <v>0</v>
      </c>
      <c r="BG67" s="187">
        <f>0</f>
        <v>0</v>
      </c>
      <c r="BH67" s="187">
        <f>0</f>
        <v>0</v>
      </c>
    </row>
    <row r="68" spans="2:60" ht="15" customHeight="1">
      <c r="B68" s="146" t="s">
        <v>198</v>
      </c>
      <c r="C68" s="152" t="s">
        <v>111</v>
      </c>
      <c r="D68" s="159">
        <f>SUM(E68:XFD68)</f>
        <v>51263580.058300003</v>
      </c>
      <c r="E68" s="187">
        <f>65454.3309704197</f>
        <v>0</v>
      </c>
      <c r="F68" s="187">
        <f>83225.7519380766</f>
        <v>0</v>
      </c>
      <c r="G68" s="187">
        <f>208698.187694135</f>
        <v>0</v>
      </c>
      <c r="H68" s="187">
        <f>257688.68470262</f>
        <v>0</v>
      </c>
      <c r="I68" s="187">
        <f>269263.364284569</f>
        <v>0</v>
      </c>
      <c r="J68" s="187">
        <f>292336.201600319</f>
        <v>0</v>
      </c>
      <c r="K68" s="187">
        <f>64777.7471411897</f>
        <v>0</v>
      </c>
      <c r="L68" s="187">
        <f>78119.9981892214</f>
        <v>0</v>
      </c>
      <c r="M68" s="187">
        <f>267174.522796171</f>
        <v>0</v>
      </c>
      <c r="N68" s="187">
        <f>302885.76605993</f>
        <v>0</v>
      </c>
      <c r="O68" s="187">
        <f>251028.096906116</f>
        <v>0</v>
      </c>
      <c r="P68" s="187">
        <f>322173.257919957</f>
        <v>0</v>
      </c>
      <c r="Q68" s="187">
        <f>241296.735744119</f>
        <v>0</v>
      </c>
      <c r="R68" s="187">
        <f>238901.668942586</f>
        <v>0</v>
      </c>
      <c r="S68" s="187">
        <f>335119.386178213</f>
        <v>0</v>
      </c>
      <c r="T68" s="187">
        <f>235046.353981735</f>
        <v>0</v>
      </c>
      <c r="U68" s="187">
        <f>754425.339959197</f>
        <v>0</v>
      </c>
      <c r="V68" s="187">
        <f>960824.818983173</f>
        <v>0</v>
      </c>
      <c r="W68" s="187">
        <f>2387630.02716937</f>
        <v>0</v>
      </c>
      <c r="X68" s="187">
        <f>2982415.07754085</f>
        <v>0</v>
      </c>
      <c r="Y68" s="187">
        <f>3121567.32827697</f>
        <v>0</v>
      </c>
      <c r="Z68" s="187">
        <f>3382672.60989116</f>
        <v>0</v>
      </c>
      <c r="AA68" s="187">
        <f>743938.105253805</f>
        <v>0</v>
      </c>
      <c r="AB68" s="187">
        <f>899496.564964768</f>
        <v>0</v>
      </c>
      <c r="AC68" s="187">
        <f>3099138.66169735</f>
        <v>0</v>
      </c>
      <c r="AD68" s="187">
        <f>3501824.5971908</f>
        <v>0</v>
      </c>
      <c r="AE68" s="187">
        <f>2913025.60161913</f>
        <v>0</v>
      </c>
      <c r="AF68" s="187">
        <f>3734643.91340538</f>
        <v>0</v>
      </c>
      <c r="AG68" s="187">
        <f>2802026.56983853</f>
        <v>0</v>
      </c>
      <c r="AH68" s="187">
        <f>2776576.30511444</f>
        <v>0</v>
      </c>
      <c r="AI68" s="187">
        <f>3874254.81034072</f>
        <v>0</v>
      </c>
      <c r="AJ68" s="187">
        <f>2734383.4814296</f>
        <v>0</v>
      </c>
      <c r="AK68" s="187">
        <f>89652.966600922</f>
        <v>0</v>
      </c>
      <c r="AL68" s="187">
        <f>1038293.90270564</f>
        <v>0</v>
      </c>
      <c r="AM68" s="187">
        <f>76416.6436185039</f>
        <v>0</v>
      </c>
      <c r="AN68" s="187">
        <f>883687.682657951</f>
        <v>0</v>
      </c>
      <c r="AO68" s="187">
        <f>88451.9693816646</f>
        <v>0</v>
      </c>
      <c r="AP68" s="187">
        <f>1024792.0487987</f>
        <v>0</v>
      </c>
      <c r="AQ68" s="187">
        <f>309187.337120667</f>
        <v>0</v>
      </c>
      <c r="AR68" s="187">
        <f>3571063.63967495</f>
        <v>0</v>
      </c>
      <c r="AS68" s="187">
        <f>0</f>
        <v>0</v>
      </c>
      <c r="AT68" s="187">
        <f>0</f>
        <v>0</v>
      </c>
      <c r="AU68" s="187">
        <f>0</f>
        <v>0</v>
      </c>
      <c r="AV68" s="187">
        <f>0</f>
        <v>0</v>
      </c>
      <c r="AW68" s="187">
        <f>0</f>
        <v>0</v>
      </c>
      <c r="AX68" s="187">
        <f>0</f>
        <v>0</v>
      </c>
      <c r="AY68" s="187">
        <f>0</f>
        <v>0</v>
      </c>
      <c r="AZ68" s="187">
        <f>0</f>
        <v>0</v>
      </c>
      <c r="BA68" s="187">
        <f>0</f>
        <v>0</v>
      </c>
      <c r="BB68" s="187">
        <f>0</f>
        <v>0</v>
      </c>
      <c r="BC68" s="187">
        <f>0</f>
        <v>0</v>
      </c>
      <c r="BD68" s="187">
        <f>0</f>
        <v>0</v>
      </c>
      <c r="BE68" s="187">
        <f>0</f>
        <v>0</v>
      </c>
      <c r="BF68" s="187">
        <f>0</f>
        <v>0</v>
      </c>
      <c r="BG68" s="187">
        <f>0</f>
        <v>0</v>
      </c>
      <c r="BH68" s="187">
        <f>0</f>
        <v>0</v>
      </c>
    </row>
    <row r="69" spans="2:60" ht="15" customHeight="1">
      <c r="B69" s="146" t="s">
        <v>199</v>
      </c>
      <c r="C69" s="152" t="s">
        <v>112</v>
      </c>
      <c r="D69" s="159">
        <f>SUM(E69:XFD69)</f>
        <v>0</v>
      </c>
      <c r="E69" s="187">
        <f>0</f>
        <v>0</v>
      </c>
      <c r="F69" s="187">
        <f>0</f>
        <v>0</v>
      </c>
      <c r="G69" s="187">
        <f>0</f>
        <v>0</v>
      </c>
      <c r="H69" s="187">
        <f>0</f>
        <v>0</v>
      </c>
      <c r="I69" s="187">
        <f>0</f>
        <v>0</v>
      </c>
      <c r="J69" s="187">
        <f>0</f>
        <v>0</v>
      </c>
      <c r="K69" s="187">
        <f>0</f>
        <v>0</v>
      </c>
      <c r="L69" s="187">
        <f>0</f>
        <v>0</v>
      </c>
      <c r="M69" s="187">
        <f>0</f>
        <v>0</v>
      </c>
      <c r="N69" s="187">
        <f>0</f>
        <v>0</v>
      </c>
      <c r="O69" s="187">
        <f>0</f>
        <v>0</v>
      </c>
      <c r="P69" s="187">
        <f>0</f>
        <v>0</v>
      </c>
      <c r="Q69" s="187">
        <f>0</f>
        <v>0</v>
      </c>
      <c r="R69" s="187">
        <f>0</f>
        <v>0</v>
      </c>
      <c r="S69" s="187">
        <f>0</f>
        <v>0</v>
      </c>
      <c r="T69" s="187">
        <f>0</f>
        <v>0</v>
      </c>
      <c r="U69" s="187">
        <f>0</f>
        <v>0</v>
      </c>
      <c r="V69" s="187">
        <f>0</f>
        <v>0</v>
      </c>
      <c r="W69" s="187">
        <f>0</f>
        <v>0</v>
      </c>
      <c r="X69" s="187">
        <f>0</f>
        <v>0</v>
      </c>
      <c r="Y69" s="187">
        <f>0</f>
        <v>0</v>
      </c>
      <c r="Z69" s="187">
        <f>0</f>
        <v>0</v>
      </c>
      <c r="AA69" s="187">
        <f>0</f>
        <v>0</v>
      </c>
      <c r="AB69" s="187">
        <f>0</f>
        <v>0</v>
      </c>
      <c r="AC69" s="187">
        <f>0</f>
        <v>0</v>
      </c>
      <c r="AD69" s="187">
        <f>0</f>
        <v>0</v>
      </c>
      <c r="AE69" s="187">
        <f>0</f>
        <v>0</v>
      </c>
      <c r="AF69" s="187">
        <f>0</f>
        <v>0</v>
      </c>
      <c r="AG69" s="187">
        <f>0</f>
        <v>0</v>
      </c>
      <c r="AH69" s="187">
        <f>0</f>
        <v>0</v>
      </c>
      <c r="AI69" s="187">
        <f>0</f>
        <v>0</v>
      </c>
      <c r="AJ69" s="187">
        <f>0</f>
        <v>0</v>
      </c>
      <c r="AK69" s="187">
        <f>0</f>
        <v>0</v>
      </c>
      <c r="AL69" s="187">
        <f>0</f>
        <v>0</v>
      </c>
      <c r="AM69" s="187">
        <f>0</f>
        <v>0</v>
      </c>
      <c r="AN69" s="187">
        <f>0</f>
        <v>0</v>
      </c>
      <c r="AO69" s="187">
        <f>0</f>
        <v>0</v>
      </c>
      <c r="AP69" s="187">
        <f>0</f>
        <v>0</v>
      </c>
      <c r="AQ69" s="187">
        <f>0</f>
        <v>0</v>
      </c>
      <c r="AR69" s="187">
        <f>0</f>
        <v>0</v>
      </c>
      <c r="AS69" s="187">
        <f>0</f>
        <v>0</v>
      </c>
      <c r="AT69" s="187">
        <f>0</f>
        <v>0</v>
      </c>
      <c r="AU69" s="187">
        <f>0</f>
        <v>0</v>
      </c>
      <c r="AV69" s="187">
        <f>0</f>
        <v>0</v>
      </c>
      <c r="AW69" s="187">
        <f>0</f>
        <v>0</v>
      </c>
      <c r="AX69" s="187">
        <f>0</f>
        <v>0</v>
      </c>
      <c r="AY69" s="187">
        <f>0</f>
        <v>0</v>
      </c>
      <c r="AZ69" s="187">
        <f>0</f>
        <v>0</v>
      </c>
      <c r="BA69" s="187">
        <f>0</f>
        <v>0</v>
      </c>
      <c r="BB69" s="187">
        <f>0</f>
        <v>0</v>
      </c>
      <c r="BC69" s="187">
        <f>0</f>
        <v>0</v>
      </c>
      <c r="BD69" s="187">
        <f>0</f>
        <v>0</v>
      </c>
      <c r="BE69" s="187">
        <f>0</f>
        <v>0</v>
      </c>
      <c r="BF69" s="187">
        <f>0</f>
        <v>0</v>
      </c>
      <c r="BG69" s="187">
        <f>0</f>
        <v>0</v>
      </c>
      <c r="BH69" s="187">
        <f>0</f>
        <v>0</v>
      </c>
    </row>
    <row r="70" spans="2:60" ht="15" customHeight="1">
      <c r="B70" s="146" t="s">
        <v>200</v>
      </c>
      <c r="C70" s="152" t="s">
        <v>113</v>
      </c>
      <c r="D70" s="159">
        <f t="shared" ref="D70:AI70" si="28">D66-D67-D68-D69</f>
        <v>182148149.9948</v>
      </c>
      <c r="E70" s="159">
        <f t="shared" si="28"/>
        <v>0</v>
      </c>
      <c r="F70" s="159">
        <f t="shared" si="28"/>
        <v>0</v>
      </c>
      <c r="G70" s="159">
        <f t="shared" si="28"/>
        <v>0</v>
      </c>
      <c r="H70" s="159">
        <f t="shared" si="28"/>
        <v>0</v>
      </c>
      <c r="I70" s="159">
        <f t="shared" si="28"/>
        <v>0</v>
      </c>
      <c r="J70" s="159">
        <f t="shared" si="28"/>
        <v>0</v>
      </c>
      <c r="K70" s="159">
        <f t="shared" si="28"/>
        <v>0</v>
      </c>
      <c r="L70" s="159">
        <f t="shared" si="28"/>
        <v>0</v>
      </c>
      <c r="M70" s="159">
        <f t="shared" si="28"/>
        <v>0</v>
      </c>
      <c r="N70" s="159">
        <f t="shared" si="28"/>
        <v>0</v>
      </c>
      <c r="O70" s="159">
        <f t="shared" si="28"/>
        <v>0</v>
      </c>
      <c r="P70" s="159">
        <f t="shared" si="28"/>
        <v>0</v>
      </c>
      <c r="Q70" s="159">
        <f t="shared" si="28"/>
        <v>0</v>
      </c>
      <c r="R70" s="159">
        <f t="shared" si="28"/>
        <v>0</v>
      </c>
      <c r="S70" s="159">
        <f t="shared" si="28"/>
        <v>0</v>
      </c>
      <c r="T70" s="159">
        <f t="shared" si="28"/>
        <v>0</v>
      </c>
      <c r="U70" s="159">
        <f t="shared" si="28"/>
        <v>0</v>
      </c>
      <c r="V70" s="159">
        <f t="shared" si="28"/>
        <v>0</v>
      </c>
      <c r="W70" s="159">
        <f t="shared" si="28"/>
        <v>0</v>
      </c>
      <c r="X70" s="159">
        <f t="shared" si="28"/>
        <v>0</v>
      </c>
      <c r="Y70" s="159">
        <f t="shared" si="28"/>
        <v>0</v>
      </c>
      <c r="Z70" s="159">
        <f t="shared" si="28"/>
        <v>0</v>
      </c>
      <c r="AA70" s="159">
        <f t="shared" si="28"/>
        <v>0</v>
      </c>
      <c r="AB70" s="159">
        <f t="shared" si="28"/>
        <v>0</v>
      </c>
      <c r="AC70" s="159">
        <f t="shared" si="28"/>
        <v>0</v>
      </c>
      <c r="AD70" s="159">
        <f t="shared" si="28"/>
        <v>0</v>
      </c>
      <c r="AE70" s="159">
        <f t="shared" si="28"/>
        <v>0</v>
      </c>
      <c r="AF70" s="159">
        <f t="shared" si="28"/>
        <v>0</v>
      </c>
      <c r="AG70" s="159">
        <f t="shared" si="28"/>
        <v>0</v>
      </c>
      <c r="AH70" s="159">
        <f t="shared" si="28"/>
        <v>0</v>
      </c>
      <c r="AI70" s="159">
        <f t="shared" si="28"/>
        <v>0</v>
      </c>
      <c r="AJ70" s="159">
        <f t="shared" ref="AJ70:BO70" si="29">AJ66-AJ67-AJ68-AJ69</f>
        <v>0</v>
      </c>
      <c r="AK70" s="159">
        <f t="shared" si="29"/>
        <v>0</v>
      </c>
      <c r="AL70" s="159">
        <f t="shared" si="29"/>
        <v>0</v>
      </c>
      <c r="AM70" s="159">
        <f t="shared" si="29"/>
        <v>0</v>
      </c>
      <c r="AN70" s="159">
        <f t="shared" si="29"/>
        <v>0</v>
      </c>
      <c r="AO70" s="159">
        <f t="shared" si="29"/>
        <v>0</v>
      </c>
      <c r="AP70" s="159">
        <f t="shared" si="29"/>
        <v>0</v>
      </c>
      <c r="AQ70" s="159">
        <f t="shared" si="29"/>
        <v>0</v>
      </c>
      <c r="AR70" s="159">
        <f t="shared" si="29"/>
        <v>0</v>
      </c>
      <c r="AS70" s="159">
        <f t="shared" si="29"/>
        <v>0</v>
      </c>
      <c r="AT70" s="159">
        <f t="shared" si="29"/>
        <v>0</v>
      </c>
      <c r="AU70" s="159">
        <f t="shared" si="29"/>
        <v>0</v>
      </c>
      <c r="AV70" s="159">
        <f t="shared" si="29"/>
        <v>0</v>
      </c>
      <c r="AW70" s="159">
        <f t="shared" si="29"/>
        <v>0</v>
      </c>
      <c r="AX70" s="159">
        <f t="shared" si="29"/>
        <v>0</v>
      </c>
      <c r="AY70" s="159">
        <f t="shared" si="29"/>
        <v>0</v>
      </c>
      <c r="AZ70" s="159">
        <f t="shared" si="29"/>
        <v>0</v>
      </c>
      <c r="BA70" s="159">
        <f t="shared" si="29"/>
        <v>0</v>
      </c>
      <c r="BB70" s="159">
        <f t="shared" si="29"/>
        <v>0</v>
      </c>
      <c r="BC70" s="159">
        <f t="shared" si="29"/>
        <v>0</v>
      </c>
      <c r="BD70" s="159">
        <f t="shared" si="29"/>
        <v>0</v>
      </c>
      <c r="BE70" s="159">
        <f t="shared" si="29"/>
        <v>0</v>
      </c>
      <c r="BF70" s="159">
        <f t="shared" si="29"/>
        <v>0</v>
      </c>
      <c r="BG70" s="159">
        <f t="shared" si="29"/>
        <v>0</v>
      </c>
      <c r="BH70" s="159">
        <f t="shared" si="29"/>
        <v>0</v>
      </c>
    </row>
    <row r="71" spans="2:60" ht="15" customHeight="1">
      <c r="B71" s="146" t="s">
        <v>201</v>
      </c>
      <c r="C71" s="152" t="s">
        <v>114</v>
      </c>
      <c r="D71" s="159">
        <f>SUM(E71:XFD71)</f>
        <v>-10551457.832</v>
      </c>
      <c r="E71" s="187">
        <f>-11792.766647008</f>
        <v>0</v>
      </c>
      <c r="F71" s="187">
        <f>-11245.2974308835</f>
        <v>0</v>
      </c>
      <c r="G71" s="187">
        <f>-63641.7080793009</f>
        <v>0</v>
      </c>
      <c r="H71" s="187">
        <f>-59667.8246985622</f>
        <v>0</v>
      </c>
      <c r="I71" s="187">
        <f>-58997.3279434141</f>
        <v>0</v>
      </c>
      <c r="J71" s="187">
        <f>-64476.5710018086</f>
        <v>0</v>
      </c>
      <c r="K71" s="187">
        <f>-31912.7519402426</f>
        <v>0</v>
      </c>
      <c r="L71" s="187">
        <f>-31139.8635012376</f>
        <v>0</v>
      </c>
      <c r="M71" s="187">
        <f>-49421.0334549267</f>
        <v>0</v>
      </c>
      <c r="N71" s="187">
        <f>-52656.5109525469</f>
        <v>0</v>
      </c>
      <c r="O71" s="187">
        <f>-44428.1892172473</f>
        <v>0</v>
      </c>
      <c r="P71" s="187">
        <f>-51539.2272631339</f>
        <v>0</v>
      </c>
      <c r="Q71" s="187">
        <f>-43431.8610047795</f>
        <v>0</v>
      </c>
      <c r="R71" s="187">
        <f>-42322.5658307444</f>
        <v>0</v>
      </c>
      <c r="S71" s="187">
        <f>-53246.3569217832</f>
        <v>0</v>
      </c>
      <c r="T71" s="187">
        <f>-39425.8052429963</f>
        <v>0</v>
      </c>
      <c r="U71" s="187">
        <f>-141119.594307355</f>
        <v>0</v>
      </c>
      <c r="V71" s="187">
        <f>-134879.448230489</f>
        <v>0</v>
      </c>
      <c r="W71" s="187">
        <f>-759816.907374109</f>
        <v>0</v>
      </c>
      <c r="X71" s="187">
        <f>-711890.355818202</f>
        <v>0</v>
      </c>
      <c r="Y71" s="187">
        <f>-703829.559670063</f>
        <v>0</v>
      </c>
      <c r="Z71" s="187">
        <f>-769535.736605447</f>
        <v>0</v>
      </c>
      <c r="AA71" s="187">
        <f>-379873.571707231</f>
        <v>0</v>
      </c>
      <c r="AB71" s="187">
        <f>-370862.398505107</f>
        <v>0</v>
      </c>
      <c r="AC71" s="187">
        <f>-590124.527088749</f>
        <v>0</v>
      </c>
      <c r="AD71" s="187">
        <f>-629701.956320211</f>
        <v>0</v>
      </c>
      <c r="AE71" s="187">
        <f>-530600.997120343</f>
        <v>0</v>
      </c>
      <c r="AF71" s="187">
        <f>-616215.224791061</f>
        <v>0</v>
      </c>
      <c r="AG71" s="187">
        <f>-518529.708651548</f>
        <v>0</v>
      </c>
      <c r="AH71" s="187">
        <f>-505203.006306695</f>
        <v>0</v>
      </c>
      <c r="AI71" s="187">
        <f>-637267.29444949</f>
        <v>0</v>
      </c>
      <c r="AJ71" s="187">
        <f>-470644.691374618</f>
        <v>0</v>
      </c>
      <c r="AK71" s="187">
        <f>-12881.2811475846</f>
        <v>0</v>
      </c>
      <c r="AL71" s="187">
        <f>-154209.077963411</f>
        <v>0</v>
      </c>
      <c r="AM71" s="187">
        <f>-12443.0541804196</f>
        <v>0</v>
      </c>
      <c r="AN71" s="187">
        <f>-148874.739798016</f>
        <v>0</v>
      </c>
      <c r="AO71" s="187">
        <f>-10942.5536864183</f>
        <v>0</v>
      </c>
      <c r="AP71" s="187">
        <f>-131173.961635939</f>
        <v>0</v>
      </c>
      <c r="AQ71" s="187">
        <f>-69672.5093066167</f>
        <v>0</v>
      </c>
      <c r="AR71" s="187">
        <f>-831820.014820858</f>
        <v>0</v>
      </c>
      <c r="AS71" s="187">
        <f>0</f>
        <v>0</v>
      </c>
      <c r="AT71" s="187">
        <f>0</f>
        <v>0</v>
      </c>
      <c r="AU71" s="187">
        <f>0</f>
        <v>0</v>
      </c>
      <c r="AV71" s="187">
        <f>0</f>
        <v>0</v>
      </c>
      <c r="AW71" s="187">
        <f>0</f>
        <v>0</v>
      </c>
      <c r="AX71" s="187">
        <f>0</f>
        <v>0</v>
      </c>
      <c r="AY71" s="187">
        <f>0</f>
        <v>0</v>
      </c>
      <c r="AZ71" s="187">
        <f>0</f>
        <v>0</v>
      </c>
      <c r="BA71" s="187">
        <f>0</f>
        <v>0</v>
      </c>
      <c r="BB71" s="187">
        <f>0</f>
        <v>0</v>
      </c>
      <c r="BC71" s="187">
        <f>0</f>
        <v>0</v>
      </c>
      <c r="BD71" s="187">
        <f>0</f>
        <v>0</v>
      </c>
      <c r="BE71" s="187">
        <f>0</f>
        <v>0</v>
      </c>
      <c r="BF71" s="187">
        <f>0</f>
        <v>0</v>
      </c>
      <c r="BG71" s="187">
        <f>0</f>
        <v>0</v>
      </c>
      <c r="BH71" s="187">
        <f>0</f>
        <v>0</v>
      </c>
    </row>
    <row r="72" spans="2:60" ht="15" customHeight="1">
      <c r="B72" s="146" t="s">
        <v>202</v>
      </c>
      <c r="C72" s="152" t="s">
        <v>115</v>
      </c>
      <c r="D72" s="159">
        <f>SUM(E72:XFD72)</f>
        <v>229149660.10069999</v>
      </c>
      <c r="E72" s="187">
        <f>256107.593077438</f>
        <v>0</v>
      </c>
      <c r="F72" s="187">
        <f>244218.014709396</f>
        <v>0</v>
      </c>
      <c r="G72" s="187">
        <f>1382128.99172918</f>
        <v>0</v>
      </c>
      <c r="H72" s="187">
        <f>1295826.79155212</f>
        <v>0</v>
      </c>
      <c r="I72" s="187">
        <f>1281265.38155672</f>
        <v>0</v>
      </c>
      <c r="J72" s="187">
        <f>1400259.99864496</f>
        <v>0</v>
      </c>
      <c r="K72" s="187">
        <f>693060.274364584</f>
        <v>0</v>
      </c>
      <c r="L72" s="187">
        <f>676275.188747615</f>
        <v>0</v>
      </c>
      <c r="M72" s="187">
        <f>1073293.6811526</f>
        <v>0</v>
      </c>
      <c r="N72" s="187">
        <f>1143559.6653084</f>
        <v>0</v>
      </c>
      <c r="O72" s="187">
        <f>964862.355527493</f>
        <v>0</v>
      </c>
      <c r="P72" s="187">
        <f>1119295.22889196</f>
        <v>0</v>
      </c>
      <c r="Q72" s="187">
        <f>943224.751049411</f>
        <v>0</v>
      </c>
      <c r="R72" s="187">
        <f>919133.803985124</f>
        <v>0</v>
      </c>
      <c r="S72" s="187">
        <f>1156369.55428436</f>
        <v>0</v>
      </c>
      <c r="T72" s="187">
        <f>856223.85214291</f>
        <v>0</v>
      </c>
      <c r="U72" s="187">
        <f>3064743.05105417</f>
        <v>0</v>
      </c>
      <c r="V72" s="187">
        <f>2929223.63987316</f>
        <v>0</v>
      </c>
      <c r="W72" s="187">
        <f>16501206.6423359</f>
        <v>0</v>
      </c>
      <c r="X72" s="187">
        <f>15460369.1416126</f>
        <v>0</v>
      </c>
      <c r="Y72" s="187">
        <f>15285310.0429649</f>
        <v>0</v>
      </c>
      <c r="Z72" s="187">
        <f>16712273.8190616</f>
        <v>0</v>
      </c>
      <c r="AA72" s="187">
        <f>8249845.77714442</f>
        <v>0</v>
      </c>
      <c r="AB72" s="187">
        <f>8054147.01122459</f>
        <v>0</v>
      </c>
      <c r="AC72" s="187">
        <f>12815938.5132077</f>
        <v>0</v>
      </c>
      <c r="AD72" s="187">
        <f>13675455.2359637</f>
        <v>0</v>
      </c>
      <c r="AE72" s="187">
        <f>11523245.4202303</f>
        <v>0</v>
      </c>
      <c r="AF72" s="187">
        <f>13382559.2214997</f>
        <v>0</v>
      </c>
      <c r="AG72" s="187">
        <f>11261089.0723922</f>
        <v>0</v>
      </c>
      <c r="AH72" s="187">
        <f>10971668.467087</f>
        <v>0</v>
      </c>
      <c r="AI72" s="187">
        <f>13839754.301408</f>
        <v>0</v>
      </c>
      <c r="AJ72" s="187">
        <f>10221153.5859746</f>
        <v>0</v>
      </c>
      <c r="AK72" s="187">
        <f>279747.239066981</f>
        <v>0</v>
      </c>
      <c r="AL72" s="187">
        <f>3349011.896027</f>
        <v>0</v>
      </c>
      <c r="AM72" s="187">
        <f>270230.112412844</f>
        <v>0</v>
      </c>
      <c r="AN72" s="187">
        <f>3233164.22863106</f>
        <v>0</v>
      </c>
      <c r="AO72" s="187">
        <f>237643.224074163</f>
        <v>0</v>
      </c>
      <c r="AP72" s="187">
        <f>2848750.30555583</f>
        <v>0</v>
      </c>
      <c r="AQ72" s="187">
        <f>1513101.98838796</f>
        <v>0</v>
      </c>
      <c r="AR72" s="187">
        <f>18064923.0368227</f>
        <v>0</v>
      </c>
      <c r="AS72" s="187">
        <f>0</f>
        <v>0</v>
      </c>
      <c r="AT72" s="187">
        <f>0</f>
        <v>0</v>
      </c>
      <c r="AU72" s="187">
        <f>0</f>
        <v>0</v>
      </c>
      <c r="AV72" s="187">
        <f>0</f>
        <v>0</v>
      </c>
      <c r="AW72" s="187">
        <f>0</f>
        <v>0</v>
      </c>
      <c r="AX72" s="187">
        <f>0</f>
        <v>0</v>
      </c>
      <c r="AY72" s="187">
        <f>0</f>
        <v>0</v>
      </c>
      <c r="AZ72" s="187">
        <f>0</f>
        <v>0</v>
      </c>
      <c r="BA72" s="187">
        <f>0</f>
        <v>0</v>
      </c>
      <c r="BB72" s="187">
        <f>0</f>
        <v>0</v>
      </c>
      <c r="BC72" s="187">
        <f>0</f>
        <v>0</v>
      </c>
      <c r="BD72" s="187">
        <f>0</f>
        <v>0</v>
      </c>
      <c r="BE72" s="187">
        <f>0</f>
        <v>0</v>
      </c>
      <c r="BF72" s="187">
        <f>0</f>
        <v>0</v>
      </c>
      <c r="BG72" s="187">
        <f>0</f>
        <v>0</v>
      </c>
      <c r="BH72" s="187">
        <f>0</f>
        <v>0</v>
      </c>
    </row>
    <row r="73" spans="2:60" ht="15" customHeight="1">
      <c r="B73" s="146" t="s">
        <v>203</v>
      </c>
      <c r="C73" s="152" t="s">
        <v>4</v>
      </c>
      <c r="D73" s="176">
        <f>SUM(E73:XFD73)</f>
        <v>273983</v>
      </c>
      <c r="E73" s="218">
        <f>387</f>
        <v>0</v>
      </c>
      <c r="F73" s="218">
        <f>387</f>
        <v>0</v>
      </c>
      <c r="G73" s="218">
        <f>1588</f>
        <v>0</v>
      </c>
      <c r="H73" s="218">
        <f>1588</f>
        <v>0</v>
      </c>
      <c r="I73" s="218">
        <f>1588</f>
        <v>0</v>
      </c>
      <c r="J73" s="218">
        <f>1588</f>
        <v>0</v>
      </c>
      <c r="K73" s="218">
        <f>637</f>
        <v>0</v>
      </c>
      <c r="L73" s="218">
        <f>637</f>
        <v>0</v>
      </c>
      <c r="M73" s="218">
        <f>1380</f>
        <v>0</v>
      </c>
      <c r="N73" s="218">
        <f>1380</f>
        <v>0</v>
      </c>
      <c r="O73" s="218">
        <f>1380</f>
        <v>0</v>
      </c>
      <c r="P73" s="218">
        <f>1380</f>
        <v>0</v>
      </c>
      <c r="Q73" s="218">
        <f>1380</f>
        <v>0</v>
      </c>
      <c r="R73" s="218">
        <f>1380</f>
        <v>0</v>
      </c>
      <c r="S73" s="218">
        <f>1380</f>
        <v>0</v>
      </c>
      <c r="T73" s="218">
        <f>1380</f>
        <v>0</v>
      </c>
      <c r="U73" s="218">
        <f>4388</f>
        <v>0</v>
      </c>
      <c r="V73" s="218">
        <f>4388</f>
        <v>0</v>
      </c>
      <c r="W73" s="218">
        <f>18026</f>
        <v>0</v>
      </c>
      <c r="X73" s="218">
        <f>18026</f>
        <v>0</v>
      </c>
      <c r="Y73" s="218">
        <f>18026</f>
        <v>0</v>
      </c>
      <c r="Z73" s="218">
        <f>18026</f>
        <v>0</v>
      </c>
      <c r="AA73" s="218">
        <f>7226</f>
        <v>0</v>
      </c>
      <c r="AB73" s="218">
        <f>7226</f>
        <v>0</v>
      </c>
      <c r="AC73" s="218">
        <f>15659</f>
        <v>0</v>
      </c>
      <c r="AD73" s="218">
        <f>15659</f>
        <v>0</v>
      </c>
      <c r="AE73" s="218">
        <f>15659</f>
        <v>0</v>
      </c>
      <c r="AF73" s="218">
        <f>15659</f>
        <v>0</v>
      </c>
      <c r="AG73" s="218">
        <f>15659</f>
        <v>0</v>
      </c>
      <c r="AH73" s="218">
        <f>15659</f>
        <v>0</v>
      </c>
      <c r="AI73" s="218">
        <f>15659</f>
        <v>0</v>
      </c>
      <c r="AJ73" s="218">
        <f>15659</f>
        <v>0</v>
      </c>
      <c r="AK73" s="218">
        <f>387</f>
        <v>0</v>
      </c>
      <c r="AL73" s="218">
        <f>4388</f>
        <v>0</v>
      </c>
      <c r="AM73" s="218">
        <f>387</f>
        <v>0</v>
      </c>
      <c r="AN73" s="218">
        <f>4388</f>
        <v>0</v>
      </c>
      <c r="AO73" s="218">
        <f>387</f>
        <v>0</v>
      </c>
      <c r="AP73" s="218">
        <f>4388</f>
        <v>0</v>
      </c>
      <c r="AQ73" s="218">
        <f>1588</f>
        <v>0</v>
      </c>
      <c r="AR73" s="218">
        <f>18026</f>
        <v>0</v>
      </c>
      <c r="AS73" s="218">
        <f>0</f>
        <v>0</v>
      </c>
      <c r="AT73" s="218">
        <f>0</f>
        <v>0</v>
      </c>
      <c r="AU73" s="218">
        <f>0</f>
        <v>0</v>
      </c>
      <c r="AV73" s="218">
        <f>0</f>
        <v>0</v>
      </c>
      <c r="AW73" s="218">
        <f>0</f>
        <v>0</v>
      </c>
      <c r="AX73" s="218">
        <f>0</f>
        <v>0</v>
      </c>
      <c r="AY73" s="218">
        <f>0</f>
        <v>0</v>
      </c>
      <c r="AZ73" s="218">
        <f>0</f>
        <v>0</v>
      </c>
      <c r="BA73" s="218">
        <f>0</f>
        <v>0</v>
      </c>
      <c r="BB73" s="218">
        <f>0</f>
        <v>0</v>
      </c>
      <c r="BC73" s="218">
        <f>0</f>
        <v>0</v>
      </c>
      <c r="BD73" s="218">
        <f>0</f>
        <v>0</v>
      </c>
      <c r="BE73" s="218">
        <f>0</f>
        <v>0</v>
      </c>
      <c r="BF73" s="218">
        <f>0</f>
        <v>0</v>
      </c>
      <c r="BG73" s="218">
        <f>0</f>
        <v>0</v>
      </c>
      <c r="BH73" s="218">
        <f>0</f>
        <v>0</v>
      </c>
    </row>
    <row r="74" spans="2:60" ht="15" customHeight="1">
      <c r="B74" s="148" t="s">
        <v>204</v>
      </c>
      <c r="C74" s="170" t="s">
        <v>118</v>
      </c>
      <c r="D74" s="89">
        <f t="shared" ref="D74:AI74" si="30">D70/(D71+D72)</f>
        <v>0.83325548016566497</v>
      </c>
      <c r="E74" s="89">
        <f t="shared" si="30"/>
        <v>0</v>
      </c>
      <c r="F74" s="89">
        <f t="shared" si="30"/>
        <v>0</v>
      </c>
      <c r="G74" s="89">
        <f t="shared" si="30"/>
        <v>0</v>
      </c>
      <c r="H74" s="89">
        <f t="shared" si="30"/>
        <v>0</v>
      </c>
      <c r="I74" s="89">
        <f t="shared" si="30"/>
        <v>0</v>
      </c>
      <c r="J74" s="89">
        <f t="shared" si="30"/>
        <v>0</v>
      </c>
      <c r="K74" s="89">
        <f t="shared" si="30"/>
        <v>0</v>
      </c>
      <c r="L74" s="89">
        <f t="shared" si="30"/>
        <v>0</v>
      </c>
      <c r="M74" s="89">
        <f t="shared" si="30"/>
        <v>0</v>
      </c>
      <c r="N74" s="89">
        <f t="shared" si="30"/>
        <v>0</v>
      </c>
      <c r="O74" s="89">
        <f t="shared" si="30"/>
        <v>0</v>
      </c>
      <c r="P74" s="89">
        <f t="shared" si="30"/>
        <v>0</v>
      </c>
      <c r="Q74" s="89">
        <f t="shared" si="30"/>
        <v>0</v>
      </c>
      <c r="R74" s="89">
        <f t="shared" si="30"/>
        <v>0</v>
      </c>
      <c r="S74" s="89">
        <f t="shared" si="30"/>
        <v>0</v>
      </c>
      <c r="T74" s="89">
        <f t="shared" si="30"/>
        <v>0</v>
      </c>
      <c r="U74" s="89">
        <f t="shared" si="30"/>
        <v>0</v>
      </c>
      <c r="V74" s="89">
        <f t="shared" si="30"/>
        <v>0</v>
      </c>
      <c r="W74" s="89">
        <f t="shared" si="30"/>
        <v>0</v>
      </c>
      <c r="X74" s="89">
        <f t="shared" si="30"/>
        <v>0</v>
      </c>
      <c r="Y74" s="89">
        <f t="shared" si="30"/>
        <v>0</v>
      </c>
      <c r="Z74" s="89">
        <f t="shared" si="30"/>
        <v>0</v>
      </c>
      <c r="AA74" s="89">
        <f t="shared" si="30"/>
        <v>0</v>
      </c>
      <c r="AB74" s="89">
        <f t="shared" si="30"/>
        <v>0</v>
      </c>
      <c r="AC74" s="89">
        <f t="shared" si="30"/>
        <v>0</v>
      </c>
      <c r="AD74" s="89">
        <f t="shared" si="30"/>
        <v>0</v>
      </c>
      <c r="AE74" s="89">
        <f t="shared" si="30"/>
        <v>0</v>
      </c>
      <c r="AF74" s="89">
        <f t="shared" si="30"/>
        <v>0</v>
      </c>
      <c r="AG74" s="89">
        <f t="shared" si="30"/>
        <v>0</v>
      </c>
      <c r="AH74" s="89">
        <f t="shared" si="30"/>
        <v>0</v>
      </c>
      <c r="AI74" s="89">
        <f t="shared" si="30"/>
        <v>0</v>
      </c>
      <c r="AJ74" s="89">
        <f t="shared" ref="AJ74:BH74" si="31">AJ70/(AJ71+AJ72)</f>
        <v>0</v>
      </c>
      <c r="AK74" s="89">
        <f t="shared" si="31"/>
        <v>0</v>
      </c>
      <c r="AL74" s="89">
        <f t="shared" si="31"/>
        <v>0</v>
      </c>
      <c r="AM74" s="89">
        <f t="shared" si="31"/>
        <v>0</v>
      </c>
      <c r="AN74" s="89">
        <f t="shared" si="31"/>
        <v>0</v>
      </c>
      <c r="AO74" s="89">
        <f t="shared" si="31"/>
        <v>0</v>
      </c>
      <c r="AP74" s="89">
        <f t="shared" si="31"/>
        <v>0</v>
      </c>
      <c r="AQ74" s="89">
        <f t="shared" si="31"/>
        <v>0</v>
      </c>
      <c r="AR74" s="89">
        <f t="shared" si="31"/>
        <v>0</v>
      </c>
      <c r="AS74" s="89">
        <f t="shared" si="31"/>
        <v>0</v>
      </c>
      <c r="AT74" s="89">
        <f t="shared" si="31"/>
        <v>0</v>
      </c>
      <c r="AU74" s="89">
        <f t="shared" si="31"/>
        <v>0</v>
      </c>
      <c r="AV74" s="89">
        <f t="shared" si="31"/>
        <v>0</v>
      </c>
      <c r="AW74" s="89">
        <f t="shared" si="31"/>
        <v>0</v>
      </c>
      <c r="AX74" s="89">
        <f t="shared" si="31"/>
        <v>0</v>
      </c>
      <c r="AY74" s="89">
        <f t="shared" si="31"/>
        <v>0</v>
      </c>
      <c r="AZ74" s="89">
        <f t="shared" si="31"/>
        <v>0</v>
      </c>
      <c r="BA74" s="89">
        <f t="shared" si="31"/>
        <v>0</v>
      </c>
      <c r="BB74" s="89">
        <f t="shared" si="31"/>
        <v>0</v>
      </c>
      <c r="BC74" s="89">
        <f t="shared" si="31"/>
        <v>0</v>
      </c>
      <c r="BD74" s="89">
        <f t="shared" si="31"/>
        <v>0</v>
      </c>
      <c r="BE74" s="89">
        <f t="shared" si="31"/>
        <v>0</v>
      </c>
      <c r="BF74" s="89">
        <f t="shared" si="31"/>
        <v>0</v>
      </c>
      <c r="BG74" s="89">
        <f t="shared" si="31"/>
        <v>0</v>
      </c>
      <c r="BH74" s="89">
        <f t="shared" si="31"/>
        <v>0</v>
      </c>
    </row>
    <row r="75" spans="2:60" ht="15" customHeight="1">
      <c r="C75" s="78" t="s">
        <v>120</v>
      </c>
    </row>
    <row r="76" spans="2:60" ht="15" customHeight="1">
      <c r="B76" s="146" t="s">
        <v>205</v>
      </c>
      <c r="C76" s="152" t="s">
        <v>86</v>
      </c>
      <c r="D76" s="107">
        <f t="shared" ref="D76:AI76" si="32">D66/D73</f>
        <v>851.92049999999995</v>
      </c>
      <c r="E76" s="107">
        <f t="shared" si="32"/>
        <v>0</v>
      </c>
      <c r="F76" s="107">
        <f t="shared" si="32"/>
        <v>0</v>
      </c>
      <c r="G76" s="107">
        <f t="shared" si="32"/>
        <v>0</v>
      </c>
      <c r="H76" s="107">
        <f t="shared" si="32"/>
        <v>0</v>
      </c>
      <c r="I76" s="107">
        <f t="shared" si="32"/>
        <v>0</v>
      </c>
      <c r="J76" s="107">
        <f t="shared" si="32"/>
        <v>0</v>
      </c>
      <c r="K76" s="107">
        <f t="shared" si="32"/>
        <v>0</v>
      </c>
      <c r="L76" s="107">
        <f t="shared" si="32"/>
        <v>0</v>
      </c>
      <c r="M76" s="107">
        <f t="shared" si="32"/>
        <v>0</v>
      </c>
      <c r="N76" s="107">
        <f t="shared" si="32"/>
        <v>0</v>
      </c>
      <c r="O76" s="107">
        <f t="shared" si="32"/>
        <v>0</v>
      </c>
      <c r="P76" s="107">
        <f t="shared" si="32"/>
        <v>0</v>
      </c>
      <c r="Q76" s="107">
        <f t="shared" si="32"/>
        <v>0</v>
      </c>
      <c r="R76" s="107">
        <f t="shared" si="32"/>
        <v>0</v>
      </c>
      <c r="S76" s="107">
        <f t="shared" si="32"/>
        <v>0</v>
      </c>
      <c r="T76" s="107">
        <f t="shared" si="32"/>
        <v>0</v>
      </c>
      <c r="U76" s="107">
        <f t="shared" si="32"/>
        <v>0</v>
      </c>
      <c r="V76" s="107">
        <f t="shared" si="32"/>
        <v>0</v>
      </c>
      <c r="W76" s="107">
        <f t="shared" si="32"/>
        <v>0</v>
      </c>
      <c r="X76" s="107">
        <f t="shared" si="32"/>
        <v>0</v>
      </c>
      <c r="Y76" s="107">
        <f t="shared" si="32"/>
        <v>0</v>
      </c>
      <c r="Z76" s="107">
        <f t="shared" si="32"/>
        <v>0</v>
      </c>
      <c r="AA76" s="107">
        <f t="shared" si="32"/>
        <v>0</v>
      </c>
      <c r="AB76" s="107">
        <f t="shared" si="32"/>
        <v>0</v>
      </c>
      <c r="AC76" s="107">
        <f t="shared" si="32"/>
        <v>0</v>
      </c>
      <c r="AD76" s="107">
        <f t="shared" si="32"/>
        <v>0</v>
      </c>
      <c r="AE76" s="107">
        <f t="shared" si="32"/>
        <v>0</v>
      </c>
      <c r="AF76" s="107">
        <f t="shared" si="32"/>
        <v>0</v>
      </c>
      <c r="AG76" s="107">
        <f t="shared" si="32"/>
        <v>0</v>
      </c>
      <c r="AH76" s="107">
        <f t="shared" si="32"/>
        <v>0</v>
      </c>
      <c r="AI76" s="107">
        <f t="shared" si="32"/>
        <v>0</v>
      </c>
      <c r="AJ76" s="107">
        <f t="shared" ref="AJ76:BH76" si="33">AJ66/AJ73</f>
        <v>0</v>
      </c>
      <c r="AK76" s="107">
        <f t="shared" si="33"/>
        <v>0</v>
      </c>
      <c r="AL76" s="107">
        <f t="shared" si="33"/>
        <v>0</v>
      </c>
      <c r="AM76" s="107">
        <f t="shared" si="33"/>
        <v>0</v>
      </c>
      <c r="AN76" s="107">
        <f t="shared" si="33"/>
        <v>0</v>
      </c>
      <c r="AO76" s="107">
        <f t="shared" si="33"/>
        <v>0</v>
      </c>
      <c r="AP76" s="107">
        <f t="shared" si="33"/>
        <v>0</v>
      </c>
      <c r="AQ76" s="107">
        <f t="shared" si="33"/>
        <v>0</v>
      </c>
      <c r="AR76" s="107">
        <f t="shared" si="33"/>
        <v>0</v>
      </c>
      <c r="AS76" s="107">
        <f t="shared" si="33"/>
        <v>0</v>
      </c>
      <c r="AT76" s="107">
        <f t="shared" si="33"/>
        <v>0</v>
      </c>
      <c r="AU76" s="107">
        <f t="shared" si="33"/>
        <v>0</v>
      </c>
      <c r="AV76" s="107">
        <f t="shared" si="33"/>
        <v>0</v>
      </c>
      <c r="AW76" s="107">
        <f t="shared" si="33"/>
        <v>0</v>
      </c>
      <c r="AX76" s="107">
        <f t="shared" si="33"/>
        <v>0</v>
      </c>
      <c r="AY76" s="107">
        <f t="shared" si="33"/>
        <v>0</v>
      </c>
      <c r="AZ76" s="107">
        <f t="shared" si="33"/>
        <v>0</v>
      </c>
      <c r="BA76" s="107">
        <f t="shared" si="33"/>
        <v>0</v>
      </c>
      <c r="BB76" s="107">
        <f t="shared" si="33"/>
        <v>0</v>
      </c>
      <c r="BC76" s="107">
        <f t="shared" si="33"/>
        <v>0</v>
      </c>
      <c r="BD76" s="107">
        <f t="shared" si="33"/>
        <v>0</v>
      </c>
      <c r="BE76" s="107">
        <f t="shared" si="33"/>
        <v>0</v>
      </c>
      <c r="BF76" s="107">
        <f t="shared" si="33"/>
        <v>0</v>
      </c>
      <c r="BG76" s="107">
        <f t="shared" si="33"/>
        <v>0</v>
      </c>
      <c r="BH76" s="107">
        <f t="shared" si="33"/>
        <v>0</v>
      </c>
    </row>
    <row r="77" spans="2:60" ht="15" customHeight="1">
      <c r="B77" s="146" t="s">
        <v>206</v>
      </c>
      <c r="C77" s="152" t="s">
        <v>87</v>
      </c>
      <c r="D77" s="86">
        <f t="shared" ref="D77:AI77" si="34">D67/D73</f>
        <v>0</v>
      </c>
      <c r="E77" s="86">
        <f t="shared" si="34"/>
        <v>0</v>
      </c>
      <c r="F77" s="86">
        <f t="shared" si="34"/>
        <v>0</v>
      </c>
      <c r="G77" s="86">
        <f t="shared" si="34"/>
        <v>0</v>
      </c>
      <c r="H77" s="86">
        <f t="shared" si="34"/>
        <v>0</v>
      </c>
      <c r="I77" s="86">
        <f t="shared" si="34"/>
        <v>0</v>
      </c>
      <c r="J77" s="86">
        <f t="shared" si="34"/>
        <v>0</v>
      </c>
      <c r="K77" s="86">
        <f t="shared" si="34"/>
        <v>0</v>
      </c>
      <c r="L77" s="86">
        <f t="shared" si="34"/>
        <v>0</v>
      </c>
      <c r="M77" s="86">
        <f t="shared" si="34"/>
        <v>0</v>
      </c>
      <c r="N77" s="86">
        <f t="shared" si="34"/>
        <v>0</v>
      </c>
      <c r="O77" s="86">
        <f t="shared" si="34"/>
        <v>0</v>
      </c>
      <c r="P77" s="86">
        <f t="shared" si="34"/>
        <v>0</v>
      </c>
      <c r="Q77" s="86">
        <f t="shared" si="34"/>
        <v>0</v>
      </c>
      <c r="R77" s="86">
        <f t="shared" si="34"/>
        <v>0</v>
      </c>
      <c r="S77" s="86">
        <f t="shared" si="34"/>
        <v>0</v>
      </c>
      <c r="T77" s="86">
        <f t="shared" si="34"/>
        <v>0</v>
      </c>
      <c r="U77" s="86">
        <f t="shared" si="34"/>
        <v>0</v>
      </c>
      <c r="V77" s="86">
        <f t="shared" si="34"/>
        <v>0</v>
      </c>
      <c r="W77" s="86">
        <f t="shared" si="34"/>
        <v>0</v>
      </c>
      <c r="X77" s="86">
        <f t="shared" si="34"/>
        <v>0</v>
      </c>
      <c r="Y77" s="86">
        <f t="shared" si="34"/>
        <v>0</v>
      </c>
      <c r="Z77" s="86">
        <f t="shared" si="34"/>
        <v>0</v>
      </c>
      <c r="AA77" s="86">
        <f t="shared" si="34"/>
        <v>0</v>
      </c>
      <c r="AB77" s="86">
        <f t="shared" si="34"/>
        <v>0</v>
      </c>
      <c r="AC77" s="86">
        <f t="shared" si="34"/>
        <v>0</v>
      </c>
      <c r="AD77" s="86">
        <f t="shared" si="34"/>
        <v>0</v>
      </c>
      <c r="AE77" s="86">
        <f t="shared" si="34"/>
        <v>0</v>
      </c>
      <c r="AF77" s="86">
        <f t="shared" si="34"/>
        <v>0</v>
      </c>
      <c r="AG77" s="86">
        <f t="shared" si="34"/>
        <v>0</v>
      </c>
      <c r="AH77" s="86">
        <f t="shared" si="34"/>
        <v>0</v>
      </c>
      <c r="AI77" s="86">
        <f t="shared" si="34"/>
        <v>0</v>
      </c>
      <c r="AJ77" s="86">
        <f t="shared" ref="AJ77:BH77" si="35">AJ67/AJ73</f>
        <v>0</v>
      </c>
      <c r="AK77" s="86">
        <f t="shared" si="35"/>
        <v>0</v>
      </c>
      <c r="AL77" s="86">
        <f t="shared" si="35"/>
        <v>0</v>
      </c>
      <c r="AM77" s="86">
        <f t="shared" si="35"/>
        <v>0</v>
      </c>
      <c r="AN77" s="86">
        <f t="shared" si="35"/>
        <v>0</v>
      </c>
      <c r="AO77" s="86">
        <f t="shared" si="35"/>
        <v>0</v>
      </c>
      <c r="AP77" s="86">
        <f t="shared" si="35"/>
        <v>0</v>
      </c>
      <c r="AQ77" s="86">
        <f t="shared" si="35"/>
        <v>0</v>
      </c>
      <c r="AR77" s="86">
        <f t="shared" si="35"/>
        <v>0</v>
      </c>
      <c r="AS77" s="86">
        <f t="shared" si="35"/>
        <v>0</v>
      </c>
      <c r="AT77" s="86">
        <f t="shared" si="35"/>
        <v>0</v>
      </c>
      <c r="AU77" s="86">
        <f t="shared" si="35"/>
        <v>0</v>
      </c>
      <c r="AV77" s="86">
        <f t="shared" si="35"/>
        <v>0</v>
      </c>
      <c r="AW77" s="86">
        <f t="shared" si="35"/>
        <v>0</v>
      </c>
      <c r="AX77" s="86">
        <f t="shared" si="35"/>
        <v>0</v>
      </c>
      <c r="AY77" s="86">
        <f t="shared" si="35"/>
        <v>0</v>
      </c>
      <c r="AZ77" s="86">
        <f t="shared" si="35"/>
        <v>0</v>
      </c>
      <c r="BA77" s="86">
        <f t="shared" si="35"/>
        <v>0</v>
      </c>
      <c r="BB77" s="86">
        <f t="shared" si="35"/>
        <v>0</v>
      </c>
      <c r="BC77" s="86">
        <f t="shared" si="35"/>
        <v>0</v>
      </c>
      <c r="BD77" s="86">
        <f t="shared" si="35"/>
        <v>0</v>
      </c>
      <c r="BE77" s="86">
        <f t="shared" si="35"/>
        <v>0</v>
      </c>
      <c r="BF77" s="86">
        <f t="shared" si="35"/>
        <v>0</v>
      </c>
      <c r="BG77" s="86">
        <f t="shared" si="35"/>
        <v>0</v>
      </c>
      <c r="BH77" s="86">
        <f t="shared" si="35"/>
        <v>0</v>
      </c>
    </row>
    <row r="78" spans="2:60" ht="15" customHeight="1">
      <c r="B78" s="146" t="s">
        <v>207</v>
      </c>
      <c r="C78" s="152" t="s">
        <v>111</v>
      </c>
      <c r="D78" s="107">
        <f t="shared" ref="D78:AI78" si="36">D68/D73</f>
        <v>187.10499999999999</v>
      </c>
      <c r="E78" s="107">
        <f t="shared" si="36"/>
        <v>0</v>
      </c>
      <c r="F78" s="107">
        <f t="shared" si="36"/>
        <v>0</v>
      </c>
      <c r="G78" s="107">
        <f t="shared" si="36"/>
        <v>0</v>
      </c>
      <c r="H78" s="107">
        <f t="shared" si="36"/>
        <v>0</v>
      </c>
      <c r="I78" s="107">
        <f t="shared" si="36"/>
        <v>0</v>
      </c>
      <c r="J78" s="107">
        <f t="shared" si="36"/>
        <v>0</v>
      </c>
      <c r="K78" s="107">
        <f t="shared" si="36"/>
        <v>0</v>
      </c>
      <c r="L78" s="107">
        <f t="shared" si="36"/>
        <v>0</v>
      </c>
      <c r="M78" s="107">
        <f t="shared" si="36"/>
        <v>0</v>
      </c>
      <c r="N78" s="107">
        <f t="shared" si="36"/>
        <v>0</v>
      </c>
      <c r="O78" s="107">
        <f t="shared" si="36"/>
        <v>0</v>
      </c>
      <c r="P78" s="107">
        <f t="shared" si="36"/>
        <v>0</v>
      </c>
      <c r="Q78" s="107">
        <f t="shared" si="36"/>
        <v>0</v>
      </c>
      <c r="R78" s="107">
        <f t="shared" si="36"/>
        <v>0</v>
      </c>
      <c r="S78" s="107">
        <f t="shared" si="36"/>
        <v>0</v>
      </c>
      <c r="T78" s="107">
        <f t="shared" si="36"/>
        <v>0</v>
      </c>
      <c r="U78" s="107">
        <f t="shared" si="36"/>
        <v>0</v>
      </c>
      <c r="V78" s="107">
        <f t="shared" si="36"/>
        <v>0</v>
      </c>
      <c r="W78" s="107">
        <f t="shared" si="36"/>
        <v>0</v>
      </c>
      <c r="X78" s="107">
        <f t="shared" si="36"/>
        <v>0</v>
      </c>
      <c r="Y78" s="107">
        <f t="shared" si="36"/>
        <v>0</v>
      </c>
      <c r="Z78" s="107">
        <f t="shared" si="36"/>
        <v>0</v>
      </c>
      <c r="AA78" s="107">
        <f t="shared" si="36"/>
        <v>0</v>
      </c>
      <c r="AB78" s="107">
        <f t="shared" si="36"/>
        <v>0</v>
      </c>
      <c r="AC78" s="107">
        <f t="shared" si="36"/>
        <v>0</v>
      </c>
      <c r="AD78" s="107">
        <f t="shared" si="36"/>
        <v>0</v>
      </c>
      <c r="AE78" s="107">
        <f t="shared" si="36"/>
        <v>0</v>
      </c>
      <c r="AF78" s="107">
        <f t="shared" si="36"/>
        <v>0</v>
      </c>
      <c r="AG78" s="107">
        <f t="shared" si="36"/>
        <v>0</v>
      </c>
      <c r="AH78" s="107">
        <f t="shared" si="36"/>
        <v>0</v>
      </c>
      <c r="AI78" s="107">
        <f t="shared" si="36"/>
        <v>0</v>
      </c>
      <c r="AJ78" s="107">
        <f t="shared" ref="AJ78:BH78" si="37">AJ68/AJ73</f>
        <v>0</v>
      </c>
      <c r="AK78" s="107">
        <f t="shared" si="37"/>
        <v>0</v>
      </c>
      <c r="AL78" s="107">
        <f t="shared" si="37"/>
        <v>0</v>
      </c>
      <c r="AM78" s="107">
        <f t="shared" si="37"/>
        <v>0</v>
      </c>
      <c r="AN78" s="107">
        <f t="shared" si="37"/>
        <v>0</v>
      </c>
      <c r="AO78" s="107">
        <f t="shared" si="37"/>
        <v>0</v>
      </c>
      <c r="AP78" s="107">
        <f t="shared" si="37"/>
        <v>0</v>
      </c>
      <c r="AQ78" s="107">
        <f t="shared" si="37"/>
        <v>0</v>
      </c>
      <c r="AR78" s="107">
        <f t="shared" si="37"/>
        <v>0</v>
      </c>
      <c r="AS78" s="107">
        <f t="shared" si="37"/>
        <v>0</v>
      </c>
      <c r="AT78" s="107">
        <f t="shared" si="37"/>
        <v>0</v>
      </c>
      <c r="AU78" s="107">
        <f t="shared" si="37"/>
        <v>0</v>
      </c>
      <c r="AV78" s="107">
        <f t="shared" si="37"/>
        <v>0</v>
      </c>
      <c r="AW78" s="107">
        <f t="shared" si="37"/>
        <v>0</v>
      </c>
      <c r="AX78" s="107">
        <f t="shared" si="37"/>
        <v>0</v>
      </c>
      <c r="AY78" s="107">
        <f t="shared" si="37"/>
        <v>0</v>
      </c>
      <c r="AZ78" s="107">
        <f t="shared" si="37"/>
        <v>0</v>
      </c>
      <c r="BA78" s="107">
        <f t="shared" si="37"/>
        <v>0</v>
      </c>
      <c r="BB78" s="107">
        <f t="shared" si="37"/>
        <v>0</v>
      </c>
      <c r="BC78" s="107">
        <f t="shared" si="37"/>
        <v>0</v>
      </c>
      <c r="BD78" s="107">
        <f t="shared" si="37"/>
        <v>0</v>
      </c>
      <c r="BE78" s="107">
        <f t="shared" si="37"/>
        <v>0</v>
      </c>
      <c r="BF78" s="107">
        <f t="shared" si="37"/>
        <v>0</v>
      </c>
      <c r="BG78" s="107">
        <f t="shared" si="37"/>
        <v>0</v>
      </c>
      <c r="BH78" s="107">
        <f t="shared" si="37"/>
        <v>0</v>
      </c>
    </row>
    <row r="79" spans="2:60" ht="15" customHeight="1">
      <c r="B79" s="146" t="s">
        <v>208</v>
      </c>
      <c r="C79" s="152" t="s">
        <v>112</v>
      </c>
      <c r="D79" s="107">
        <f t="shared" ref="D79:AI79" si="38">D69/D73</f>
        <v>0</v>
      </c>
      <c r="E79" s="107">
        <f t="shared" si="38"/>
        <v>0</v>
      </c>
      <c r="F79" s="107">
        <f t="shared" si="38"/>
        <v>0</v>
      </c>
      <c r="G79" s="107">
        <f t="shared" si="38"/>
        <v>0</v>
      </c>
      <c r="H79" s="107">
        <f t="shared" si="38"/>
        <v>0</v>
      </c>
      <c r="I79" s="107">
        <f t="shared" si="38"/>
        <v>0</v>
      </c>
      <c r="J79" s="107">
        <f t="shared" si="38"/>
        <v>0</v>
      </c>
      <c r="K79" s="107">
        <f t="shared" si="38"/>
        <v>0</v>
      </c>
      <c r="L79" s="107">
        <f t="shared" si="38"/>
        <v>0</v>
      </c>
      <c r="M79" s="107">
        <f t="shared" si="38"/>
        <v>0</v>
      </c>
      <c r="N79" s="107">
        <f t="shared" si="38"/>
        <v>0</v>
      </c>
      <c r="O79" s="107">
        <f t="shared" si="38"/>
        <v>0</v>
      </c>
      <c r="P79" s="107">
        <f t="shared" si="38"/>
        <v>0</v>
      </c>
      <c r="Q79" s="107">
        <f t="shared" si="38"/>
        <v>0</v>
      </c>
      <c r="R79" s="107">
        <f t="shared" si="38"/>
        <v>0</v>
      </c>
      <c r="S79" s="107">
        <f t="shared" si="38"/>
        <v>0</v>
      </c>
      <c r="T79" s="107">
        <f t="shared" si="38"/>
        <v>0</v>
      </c>
      <c r="U79" s="107">
        <f t="shared" si="38"/>
        <v>0</v>
      </c>
      <c r="V79" s="107">
        <f t="shared" si="38"/>
        <v>0</v>
      </c>
      <c r="W79" s="107">
        <f t="shared" si="38"/>
        <v>0</v>
      </c>
      <c r="X79" s="107">
        <f t="shared" si="38"/>
        <v>0</v>
      </c>
      <c r="Y79" s="107">
        <f t="shared" si="38"/>
        <v>0</v>
      </c>
      <c r="Z79" s="107">
        <f t="shared" si="38"/>
        <v>0</v>
      </c>
      <c r="AA79" s="107">
        <f t="shared" si="38"/>
        <v>0</v>
      </c>
      <c r="AB79" s="107">
        <f t="shared" si="38"/>
        <v>0</v>
      </c>
      <c r="AC79" s="107">
        <f t="shared" si="38"/>
        <v>0</v>
      </c>
      <c r="AD79" s="107">
        <f t="shared" si="38"/>
        <v>0</v>
      </c>
      <c r="AE79" s="107">
        <f t="shared" si="38"/>
        <v>0</v>
      </c>
      <c r="AF79" s="107">
        <f t="shared" si="38"/>
        <v>0</v>
      </c>
      <c r="AG79" s="107">
        <f t="shared" si="38"/>
        <v>0</v>
      </c>
      <c r="AH79" s="107">
        <f t="shared" si="38"/>
        <v>0</v>
      </c>
      <c r="AI79" s="107">
        <f t="shared" si="38"/>
        <v>0</v>
      </c>
      <c r="AJ79" s="107">
        <f t="shared" ref="AJ79:BH79" si="39">AJ69/AJ73</f>
        <v>0</v>
      </c>
      <c r="AK79" s="107">
        <f t="shared" si="39"/>
        <v>0</v>
      </c>
      <c r="AL79" s="107">
        <f t="shared" si="39"/>
        <v>0</v>
      </c>
      <c r="AM79" s="107">
        <f t="shared" si="39"/>
        <v>0</v>
      </c>
      <c r="AN79" s="107">
        <f t="shared" si="39"/>
        <v>0</v>
      </c>
      <c r="AO79" s="107">
        <f t="shared" si="39"/>
        <v>0</v>
      </c>
      <c r="AP79" s="107">
        <f t="shared" si="39"/>
        <v>0</v>
      </c>
      <c r="AQ79" s="107">
        <f t="shared" si="39"/>
        <v>0</v>
      </c>
      <c r="AR79" s="107">
        <f t="shared" si="39"/>
        <v>0</v>
      </c>
      <c r="AS79" s="107">
        <f t="shared" si="39"/>
        <v>0</v>
      </c>
      <c r="AT79" s="107">
        <f t="shared" si="39"/>
        <v>0</v>
      </c>
      <c r="AU79" s="107">
        <f t="shared" si="39"/>
        <v>0</v>
      </c>
      <c r="AV79" s="107">
        <f t="shared" si="39"/>
        <v>0</v>
      </c>
      <c r="AW79" s="107">
        <f t="shared" si="39"/>
        <v>0</v>
      </c>
      <c r="AX79" s="107">
        <f t="shared" si="39"/>
        <v>0</v>
      </c>
      <c r="AY79" s="107">
        <f t="shared" si="39"/>
        <v>0</v>
      </c>
      <c r="AZ79" s="107">
        <f t="shared" si="39"/>
        <v>0</v>
      </c>
      <c r="BA79" s="107">
        <f t="shared" si="39"/>
        <v>0</v>
      </c>
      <c r="BB79" s="107">
        <f t="shared" si="39"/>
        <v>0</v>
      </c>
      <c r="BC79" s="107">
        <f t="shared" si="39"/>
        <v>0</v>
      </c>
      <c r="BD79" s="107">
        <f t="shared" si="39"/>
        <v>0</v>
      </c>
      <c r="BE79" s="107">
        <f t="shared" si="39"/>
        <v>0</v>
      </c>
      <c r="BF79" s="107">
        <f t="shared" si="39"/>
        <v>0</v>
      </c>
      <c r="BG79" s="107">
        <f t="shared" si="39"/>
        <v>0</v>
      </c>
      <c r="BH79" s="107">
        <f t="shared" si="39"/>
        <v>0</v>
      </c>
    </row>
    <row r="80" spans="2:60" ht="15" customHeight="1">
      <c r="B80" s="146" t="s">
        <v>209</v>
      </c>
      <c r="C80" s="152" t="s">
        <v>113</v>
      </c>
      <c r="D80" s="107">
        <f t="shared" ref="D80:AI80" si="40">D70/D73</f>
        <v>664.81550000000004</v>
      </c>
      <c r="E80" s="107">
        <f t="shared" si="40"/>
        <v>0</v>
      </c>
      <c r="F80" s="107">
        <f t="shared" si="40"/>
        <v>0</v>
      </c>
      <c r="G80" s="107">
        <f t="shared" si="40"/>
        <v>0</v>
      </c>
      <c r="H80" s="107">
        <f t="shared" si="40"/>
        <v>0</v>
      </c>
      <c r="I80" s="107">
        <f t="shared" si="40"/>
        <v>0</v>
      </c>
      <c r="J80" s="107">
        <f t="shared" si="40"/>
        <v>0</v>
      </c>
      <c r="K80" s="107">
        <f t="shared" si="40"/>
        <v>0</v>
      </c>
      <c r="L80" s="107">
        <f t="shared" si="40"/>
        <v>0</v>
      </c>
      <c r="M80" s="107">
        <f t="shared" si="40"/>
        <v>0</v>
      </c>
      <c r="N80" s="107">
        <f t="shared" si="40"/>
        <v>0</v>
      </c>
      <c r="O80" s="107">
        <f t="shared" si="40"/>
        <v>0</v>
      </c>
      <c r="P80" s="107">
        <f t="shared" si="40"/>
        <v>0</v>
      </c>
      <c r="Q80" s="107">
        <f t="shared" si="40"/>
        <v>0</v>
      </c>
      <c r="R80" s="107">
        <f t="shared" si="40"/>
        <v>0</v>
      </c>
      <c r="S80" s="107">
        <f t="shared" si="40"/>
        <v>0</v>
      </c>
      <c r="T80" s="107">
        <f t="shared" si="40"/>
        <v>0</v>
      </c>
      <c r="U80" s="107">
        <f t="shared" si="40"/>
        <v>0</v>
      </c>
      <c r="V80" s="107">
        <f t="shared" si="40"/>
        <v>0</v>
      </c>
      <c r="W80" s="107">
        <f t="shared" si="40"/>
        <v>0</v>
      </c>
      <c r="X80" s="107">
        <f t="shared" si="40"/>
        <v>0</v>
      </c>
      <c r="Y80" s="107">
        <f t="shared" si="40"/>
        <v>0</v>
      </c>
      <c r="Z80" s="107">
        <f t="shared" si="40"/>
        <v>0</v>
      </c>
      <c r="AA80" s="107">
        <f t="shared" si="40"/>
        <v>0</v>
      </c>
      <c r="AB80" s="107">
        <f t="shared" si="40"/>
        <v>0</v>
      </c>
      <c r="AC80" s="107">
        <f t="shared" si="40"/>
        <v>0</v>
      </c>
      <c r="AD80" s="107">
        <f t="shared" si="40"/>
        <v>0</v>
      </c>
      <c r="AE80" s="107">
        <f t="shared" si="40"/>
        <v>0</v>
      </c>
      <c r="AF80" s="107">
        <f t="shared" si="40"/>
        <v>0</v>
      </c>
      <c r="AG80" s="107">
        <f t="shared" si="40"/>
        <v>0</v>
      </c>
      <c r="AH80" s="107">
        <f t="shared" si="40"/>
        <v>0</v>
      </c>
      <c r="AI80" s="107">
        <f t="shared" si="40"/>
        <v>0</v>
      </c>
      <c r="AJ80" s="107">
        <f t="shared" ref="AJ80:BH80" si="41">AJ70/AJ73</f>
        <v>0</v>
      </c>
      <c r="AK80" s="107">
        <f t="shared" si="41"/>
        <v>0</v>
      </c>
      <c r="AL80" s="107">
        <f t="shared" si="41"/>
        <v>0</v>
      </c>
      <c r="AM80" s="107">
        <f t="shared" si="41"/>
        <v>0</v>
      </c>
      <c r="AN80" s="107">
        <f t="shared" si="41"/>
        <v>0</v>
      </c>
      <c r="AO80" s="107">
        <f t="shared" si="41"/>
        <v>0</v>
      </c>
      <c r="AP80" s="107">
        <f t="shared" si="41"/>
        <v>0</v>
      </c>
      <c r="AQ80" s="107">
        <f t="shared" si="41"/>
        <v>0</v>
      </c>
      <c r="AR80" s="107">
        <f t="shared" si="41"/>
        <v>0</v>
      </c>
      <c r="AS80" s="107">
        <f t="shared" si="41"/>
        <v>0</v>
      </c>
      <c r="AT80" s="107">
        <f t="shared" si="41"/>
        <v>0</v>
      </c>
      <c r="AU80" s="107">
        <f t="shared" si="41"/>
        <v>0</v>
      </c>
      <c r="AV80" s="107">
        <f t="shared" si="41"/>
        <v>0</v>
      </c>
      <c r="AW80" s="107">
        <f t="shared" si="41"/>
        <v>0</v>
      </c>
      <c r="AX80" s="107">
        <f t="shared" si="41"/>
        <v>0</v>
      </c>
      <c r="AY80" s="107">
        <f t="shared" si="41"/>
        <v>0</v>
      </c>
      <c r="AZ80" s="107">
        <f t="shared" si="41"/>
        <v>0</v>
      </c>
      <c r="BA80" s="107">
        <f t="shared" si="41"/>
        <v>0</v>
      </c>
      <c r="BB80" s="107">
        <f t="shared" si="41"/>
        <v>0</v>
      </c>
      <c r="BC80" s="107">
        <f t="shared" si="41"/>
        <v>0</v>
      </c>
      <c r="BD80" s="107">
        <f t="shared" si="41"/>
        <v>0</v>
      </c>
      <c r="BE80" s="107">
        <f t="shared" si="41"/>
        <v>0</v>
      </c>
      <c r="BF80" s="107">
        <f t="shared" si="41"/>
        <v>0</v>
      </c>
      <c r="BG80" s="107">
        <f t="shared" si="41"/>
        <v>0</v>
      </c>
      <c r="BH80" s="107">
        <f t="shared" si="41"/>
        <v>0</v>
      </c>
    </row>
    <row r="81" spans="2:60" ht="15" customHeight="1">
      <c r="B81" s="146" t="s">
        <v>210</v>
      </c>
      <c r="C81" s="152" t="s">
        <v>114</v>
      </c>
      <c r="D81" s="107">
        <f t="shared" ref="D81:AI81" si="42">D71/D73</f>
        <v>-38.511400000000002</v>
      </c>
      <c r="E81" s="107">
        <f t="shared" si="42"/>
        <v>0</v>
      </c>
      <c r="F81" s="107">
        <f t="shared" si="42"/>
        <v>0</v>
      </c>
      <c r="G81" s="107">
        <f t="shared" si="42"/>
        <v>0</v>
      </c>
      <c r="H81" s="107">
        <f t="shared" si="42"/>
        <v>0</v>
      </c>
      <c r="I81" s="107">
        <f t="shared" si="42"/>
        <v>0</v>
      </c>
      <c r="J81" s="107">
        <f t="shared" si="42"/>
        <v>0</v>
      </c>
      <c r="K81" s="107">
        <f t="shared" si="42"/>
        <v>0</v>
      </c>
      <c r="L81" s="107">
        <f t="shared" si="42"/>
        <v>0</v>
      </c>
      <c r="M81" s="107">
        <f t="shared" si="42"/>
        <v>0</v>
      </c>
      <c r="N81" s="107">
        <f t="shared" si="42"/>
        <v>0</v>
      </c>
      <c r="O81" s="107">
        <f t="shared" si="42"/>
        <v>0</v>
      </c>
      <c r="P81" s="107">
        <f t="shared" si="42"/>
        <v>0</v>
      </c>
      <c r="Q81" s="107">
        <f t="shared" si="42"/>
        <v>0</v>
      </c>
      <c r="R81" s="107">
        <f t="shared" si="42"/>
        <v>0</v>
      </c>
      <c r="S81" s="107">
        <f t="shared" si="42"/>
        <v>0</v>
      </c>
      <c r="T81" s="107">
        <f t="shared" si="42"/>
        <v>0</v>
      </c>
      <c r="U81" s="107">
        <f t="shared" si="42"/>
        <v>0</v>
      </c>
      <c r="V81" s="107">
        <f t="shared" si="42"/>
        <v>0</v>
      </c>
      <c r="W81" s="107">
        <f t="shared" si="42"/>
        <v>0</v>
      </c>
      <c r="X81" s="107">
        <f t="shared" si="42"/>
        <v>0</v>
      </c>
      <c r="Y81" s="107">
        <f t="shared" si="42"/>
        <v>0</v>
      </c>
      <c r="Z81" s="107">
        <f t="shared" si="42"/>
        <v>0</v>
      </c>
      <c r="AA81" s="107">
        <f t="shared" si="42"/>
        <v>0</v>
      </c>
      <c r="AB81" s="107">
        <f t="shared" si="42"/>
        <v>0</v>
      </c>
      <c r="AC81" s="107">
        <f t="shared" si="42"/>
        <v>0</v>
      </c>
      <c r="AD81" s="107">
        <f t="shared" si="42"/>
        <v>0</v>
      </c>
      <c r="AE81" s="107">
        <f t="shared" si="42"/>
        <v>0</v>
      </c>
      <c r="AF81" s="107">
        <f t="shared" si="42"/>
        <v>0</v>
      </c>
      <c r="AG81" s="107">
        <f t="shared" si="42"/>
        <v>0</v>
      </c>
      <c r="AH81" s="107">
        <f t="shared" si="42"/>
        <v>0</v>
      </c>
      <c r="AI81" s="107">
        <f t="shared" si="42"/>
        <v>0</v>
      </c>
      <c r="AJ81" s="107">
        <f t="shared" ref="AJ81:BH81" si="43">AJ71/AJ73</f>
        <v>0</v>
      </c>
      <c r="AK81" s="107">
        <f t="shared" si="43"/>
        <v>0</v>
      </c>
      <c r="AL81" s="107">
        <f t="shared" si="43"/>
        <v>0</v>
      </c>
      <c r="AM81" s="107">
        <f t="shared" si="43"/>
        <v>0</v>
      </c>
      <c r="AN81" s="107">
        <f t="shared" si="43"/>
        <v>0</v>
      </c>
      <c r="AO81" s="107">
        <f t="shared" si="43"/>
        <v>0</v>
      </c>
      <c r="AP81" s="107">
        <f t="shared" si="43"/>
        <v>0</v>
      </c>
      <c r="AQ81" s="107">
        <f t="shared" si="43"/>
        <v>0</v>
      </c>
      <c r="AR81" s="107">
        <f t="shared" si="43"/>
        <v>0</v>
      </c>
      <c r="AS81" s="107">
        <f t="shared" si="43"/>
        <v>0</v>
      </c>
      <c r="AT81" s="107">
        <f t="shared" si="43"/>
        <v>0</v>
      </c>
      <c r="AU81" s="107">
        <f t="shared" si="43"/>
        <v>0</v>
      </c>
      <c r="AV81" s="107">
        <f t="shared" si="43"/>
        <v>0</v>
      </c>
      <c r="AW81" s="107">
        <f t="shared" si="43"/>
        <v>0</v>
      </c>
      <c r="AX81" s="107">
        <f t="shared" si="43"/>
        <v>0</v>
      </c>
      <c r="AY81" s="107">
        <f t="shared" si="43"/>
        <v>0</v>
      </c>
      <c r="AZ81" s="107">
        <f t="shared" si="43"/>
        <v>0</v>
      </c>
      <c r="BA81" s="107">
        <f t="shared" si="43"/>
        <v>0</v>
      </c>
      <c r="BB81" s="107">
        <f t="shared" si="43"/>
        <v>0</v>
      </c>
      <c r="BC81" s="107">
        <f t="shared" si="43"/>
        <v>0</v>
      </c>
      <c r="BD81" s="107">
        <f t="shared" si="43"/>
        <v>0</v>
      </c>
      <c r="BE81" s="107">
        <f t="shared" si="43"/>
        <v>0</v>
      </c>
      <c r="BF81" s="107">
        <f t="shared" si="43"/>
        <v>0</v>
      </c>
      <c r="BG81" s="107">
        <f t="shared" si="43"/>
        <v>0</v>
      </c>
      <c r="BH81" s="107">
        <f t="shared" si="43"/>
        <v>0</v>
      </c>
    </row>
    <row r="82" spans="2:60" ht="15" customHeight="1">
      <c r="B82" s="148" t="s">
        <v>211</v>
      </c>
      <c r="C82" s="170" t="s">
        <v>115</v>
      </c>
      <c r="D82" s="107">
        <f t="shared" ref="D82:AI82" si="44">D72/D73</f>
        <v>836.36450000000002</v>
      </c>
      <c r="E82" s="107">
        <f t="shared" si="44"/>
        <v>0</v>
      </c>
      <c r="F82" s="107">
        <f t="shared" si="44"/>
        <v>0</v>
      </c>
      <c r="G82" s="107">
        <f t="shared" si="44"/>
        <v>0</v>
      </c>
      <c r="H82" s="107">
        <f t="shared" si="44"/>
        <v>0</v>
      </c>
      <c r="I82" s="107">
        <f t="shared" si="44"/>
        <v>0</v>
      </c>
      <c r="J82" s="107">
        <f t="shared" si="44"/>
        <v>0</v>
      </c>
      <c r="K82" s="107">
        <f t="shared" si="44"/>
        <v>0</v>
      </c>
      <c r="L82" s="107">
        <f t="shared" si="44"/>
        <v>0</v>
      </c>
      <c r="M82" s="107">
        <f t="shared" si="44"/>
        <v>0</v>
      </c>
      <c r="N82" s="107">
        <f t="shared" si="44"/>
        <v>0</v>
      </c>
      <c r="O82" s="107">
        <f t="shared" si="44"/>
        <v>0</v>
      </c>
      <c r="P82" s="107">
        <f t="shared" si="44"/>
        <v>0</v>
      </c>
      <c r="Q82" s="107">
        <f t="shared" si="44"/>
        <v>0</v>
      </c>
      <c r="R82" s="107">
        <f t="shared" si="44"/>
        <v>0</v>
      </c>
      <c r="S82" s="107">
        <f t="shared" si="44"/>
        <v>0</v>
      </c>
      <c r="T82" s="107">
        <f t="shared" si="44"/>
        <v>0</v>
      </c>
      <c r="U82" s="107">
        <f t="shared" si="44"/>
        <v>0</v>
      </c>
      <c r="V82" s="107">
        <f t="shared" si="44"/>
        <v>0</v>
      </c>
      <c r="W82" s="107">
        <f t="shared" si="44"/>
        <v>0</v>
      </c>
      <c r="X82" s="107">
        <f t="shared" si="44"/>
        <v>0</v>
      </c>
      <c r="Y82" s="107">
        <f t="shared" si="44"/>
        <v>0</v>
      </c>
      <c r="Z82" s="107">
        <f t="shared" si="44"/>
        <v>0</v>
      </c>
      <c r="AA82" s="107">
        <f t="shared" si="44"/>
        <v>0</v>
      </c>
      <c r="AB82" s="107">
        <f t="shared" si="44"/>
        <v>0</v>
      </c>
      <c r="AC82" s="107">
        <f t="shared" si="44"/>
        <v>0</v>
      </c>
      <c r="AD82" s="107">
        <f t="shared" si="44"/>
        <v>0</v>
      </c>
      <c r="AE82" s="107">
        <f t="shared" si="44"/>
        <v>0</v>
      </c>
      <c r="AF82" s="107">
        <f t="shared" si="44"/>
        <v>0</v>
      </c>
      <c r="AG82" s="107">
        <f t="shared" si="44"/>
        <v>0</v>
      </c>
      <c r="AH82" s="107">
        <f t="shared" si="44"/>
        <v>0</v>
      </c>
      <c r="AI82" s="107">
        <f t="shared" si="44"/>
        <v>0</v>
      </c>
      <c r="AJ82" s="107">
        <f t="shared" ref="AJ82:BH82" si="45">AJ72/AJ73</f>
        <v>0</v>
      </c>
      <c r="AK82" s="107">
        <f t="shared" si="45"/>
        <v>0</v>
      </c>
      <c r="AL82" s="107">
        <f t="shared" si="45"/>
        <v>0</v>
      </c>
      <c r="AM82" s="107">
        <f t="shared" si="45"/>
        <v>0</v>
      </c>
      <c r="AN82" s="107">
        <f t="shared" si="45"/>
        <v>0</v>
      </c>
      <c r="AO82" s="107">
        <f t="shared" si="45"/>
        <v>0</v>
      </c>
      <c r="AP82" s="107">
        <f t="shared" si="45"/>
        <v>0</v>
      </c>
      <c r="AQ82" s="107">
        <f t="shared" si="45"/>
        <v>0</v>
      </c>
      <c r="AR82" s="107">
        <f t="shared" si="45"/>
        <v>0</v>
      </c>
      <c r="AS82" s="107">
        <f t="shared" si="45"/>
        <v>0</v>
      </c>
      <c r="AT82" s="107">
        <f t="shared" si="45"/>
        <v>0</v>
      </c>
      <c r="AU82" s="107">
        <f t="shared" si="45"/>
        <v>0</v>
      </c>
      <c r="AV82" s="107">
        <f t="shared" si="45"/>
        <v>0</v>
      </c>
      <c r="AW82" s="107">
        <f t="shared" si="45"/>
        <v>0</v>
      </c>
      <c r="AX82" s="107">
        <f t="shared" si="45"/>
        <v>0</v>
      </c>
      <c r="AY82" s="107">
        <f t="shared" si="45"/>
        <v>0</v>
      </c>
      <c r="AZ82" s="107">
        <f t="shared" si="45"/>
        <v>0</v>
      </c>
      <c r="BA82" s="107">
        <f t="shared" si="45"/>
        <v>0</v>
      </c>
      <c r="BB82" s="107">
        <f t="shared" si="45"/>
        <v>0</v>
      </c>
      <c r="BC82" s="107">
        <f t="shared" si="45"/>
        <v>0</v>
      </c>
      <c r="BD82" s="107">
        <f t="shared" si="45"/>
        <v>0</v>
      </c>
      <c r="BE82" s="107">
        <f t="shared" si="45"/>
        <v>0</v>
      </c>
      <c r="BF82" s="107">
        <f t="shared" si="45"/>
        <v>0</v>
      </c>
      <c r="BG82" s="107">
        <f t="shared" si="45"/>
        <v>0</v>
      </c>
      <c r="BH82" s="107">
        <f t="shared" si="45"/>
        <v>0</v>
      </c>
    </row>
    <row r="83" spans="2:60" ht="15" customHeight="1"/>
  </sheetData>
  <sheetProtection password="BD7E" sheet="1" objects="1" scenarios="1"/>
  <mergeCells count="9">
    <mergeCell ref="E59:BH59"/>
    <mergeCell ref="E60:BH60"/>
    <mergeCell ref="E61:BH61"/>
    <mergeCell ref="E22:BH22"/>
    <mergeCell ref="C7:V8"/>
    <mergeCell ref="E11:BH11"/>
    <mergeCell ref="E10:BH10"/>
    <mergeCell ref="E21:BH21"/>
    <mergeCell ref="E48:BH48"/>
  </mergeCells>
  <dataValidations xWindow="756" yWindow="613" count="3">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5</xdr:col>
                    <xdr:colOff>1038225</xdr:colOff>
                    <xdr:row>1</xdr:row>
                    <xdr:rowOff>47625</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114300</xdr:colOff>
                    <xdr:row>0</xdr:row>
                    <xdr:rowOff>0</xdr:rowOff>
                  </from>
                  <to>
                    <xdr:col>8</xdr:col>
                    <xdr:colOff>104775</xdr:colOff>
                    <xdr:row>1</xdr:row>
                    <xdr:rowOff>47625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171450</xdr:colOff>
                    <xdr:row>0</xdr:row>
                    <xdr:rowOff>0</xdr:rowOff>
                  </from>
                  <to>
                    <xdr:col>9</xdr:col>
                    <xdr:colOff>161925</xdr:colOff>
                    <xdr:row>1</xdr:row>
                    <xdr:rowOff>47625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57150</xdr:colOff>
                    <xdr:row>0</xdr:row>
                    <xdr:rowOff>0</xdr:rowOff>
                  </from>
                  <to>
                    <xdr:col>7</xdr:col>
                    <xdr:colOff>47625</xdr:colOff>
                    <xdr:row>1</xdr:row>
                    <xdr:rowOff>47625</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228600</xdr:colOff>
                    <xdr:row>0</xdr:row>
                    <xdr:rowOff>0</xdr:rowOff>
                  </from>
                  <to>
                    <xdr:col>10</xdr:col>
                    <xdr:colOff>219075</xdr:colOff>
                    <xdr:row>1</xdr:row>
                    <xdr:rowOff>47625</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228600</xdr:colOff>
                    <xdr:row>0</xdr:row>
                    <xdr:rowOff>0</xdr:rowOff>
                  </from>
                  <to>
                    <xdr:col>10</xdr:col>
                    <xdr:colOff>209550</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21"/>
  <sheetViews>
    <sheetView zoomScaleNormal="100" workbookViewId="0"/>
  </sheetViews>
  <sheetFormatPr defaultColWidth="0" defaultRowHeight="15"/>
  <cols>
    <col min="1" max="1" width="28.7109375" style="87" customWidth="1"/>
    <col min="2" max="2" width="28.7109375" style="91" customWidth="1"/>
    <col min="3" max="14" width="9.140625" customWidth="1"/>
    <col min="15" max="16384" width="9.140625" hidden="1"/>
  </cols>
  <sheetData>
    <row r="1" spans="1:3" ht="15.75">
      <c r="A1" s="81" t="s">
        <v>222</v>
      </c>
      <c r="B1"/>
      <c r="C1" s="99" t="s">
        <v>217</v>
      </c>
    </row>
    <row r="2" spans="1:3">
      <c r="A2" s="100" t="s">
        <v>227</v>
      </c>
      <c r="B2"/>
      <c r="C2" s="99" t="s">
        <v>218</v>
      </c>
    </row>
    <row r="3" spans="1:3">
      <c r="A3"/>
      <c r="B3"/>
      <c r="C3" s="99" t="s">
        <v>215</v>
      </c>
    </row>
    <row r="4" spans="1:3">
      <c r="A4"/>
      <c r="B4"/>
      <c r="C4" s="99" t="s">
        <v>216</v>
      </c>
    </row>
    <row r="5" spans="1:3">
      <c r="A5" s="79" t="s">
        <v>131</v>
      </c>
      <c r="B5" s="80" t="s">
        <v>132</v>
      </c>
      <c r="C5" s="99"/>
    </row>
    <row r="6" spans="1:3">
      <c r="A6" s="232" t="s">
        <v>231</v>
      </c>
      <c r="B6" s="233">
        <v>1.0758598953762399</v>
      </c>
    </row>
    <row r="7" spans="1:3">
      <c r="A7" s="234" t="s">
        <v>232</v>
      </c>
      <c r="B7" s="235">
        <v>1.0628426035304701</v>
      </c>
    </row>
    <row r="8" spans="1:3">
      <c r="A8" s="236" t="s">
        <v>233</v>
      </c>
      <c r="B8" s="237">
        <v>1.0127515082991201</v>
      </c>
    </row>
    <row r="9" spans="1:3">
      <c r="A9" s="238" t="s">
        <v>234</v>
      </c>
      <c r="B9" s="239">
        <v>1.1165056318967499</v>
      </c>
    </row>
    <row r="10" spans="1:3">
      <c r="A10" s="240" t="s">
        <v>235</v>
      </c>
      <c r="B10" s="241">
        <v>0.94197336908067297</v>
      </c>
    </row>
    <row r="11" spans="1:3">
      <c r="A11" s="242" t="s">
        <v>236</v>
      </c>
      <c r="B11" s="243">
        <v>1.0796942845084301</v>
      </c>
    </row>
    <row r="12" spans="1:3">
      <c r="A12" s="244" t="s">
        <v>237</v>
      </c>
      <c r="B12" s="245">
        <v>0.926928268404556</v>
      </c>
    </row>
    <row r="13" spans="1:3">
      <c r="A13" s="246" t="s">
        <v>238</v>
      </c>
      <c r="B13" s="247">
        <v>0.97499060169157403</v>
      </c>
    </row>
    <row r="14" spans="1:3">
      <c r="A14" s="248" t="s">
        <v>239</v>
      </c>
      <c r="B14" s="249">
        <v>1.1515879306219901</v>
      </c>
    </row>
    <row r="15" spans="1:3">
      <c r="A15" s="250" t="s">
        <v>240</v>
      </c>
      <c r="B15" s="251">
        <v>1.0889372914303901</v>
      </c>
    </row>
    <row r="16" spans="1:3">
      <c r="A16" s="252" t="s">
        <v>241</v>
      </c>
      <c r="B16" s="253">
        <v>1.0151365282910501</v>
      </c>
    </row>
    <row r="17" spans="1:2">
      <c r="A17" s="254" t="s">
        <v>242</v>
      </c>
      <c r="B17" s="255">
        <v>0.98585680596387804</v>
      </c>
    </row>
    <row r="18" spans="1:2">
      <c r="A18" s="256" t="s">
        <v>243</v>
      </c>
      <c r="B18" s="257">
        <v>1.17821665765768</v>
      </c>
    </row>
    <row r="19" spans="1:2">
      <c r="A19" s="258" t="s">
        <v>244</v>
      </c>
      <c r="B19" s="259">
        <v>0.887453348939369</v>
      </c>
    </row>
    <row r="20" spans="1:2">
      <c r="A20" s="260" t="s">
        <v>245</v>
      </c>
      <c r="B20" s="261">
        <v>1.08878907823344</v>
      </c>
    </row>
    <row r="21" spans="1:2">
      <c r="A21" s="262" t="s">
        <v>246</v>
      </c>
      <c r="B21" s="263">
        <v>0.85765009640305601</v>
      </c>
    </row>
  </sheetData>
  <sheetProtection password="BD7E"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1438275</xdr:colOff>
                    <xdr:row>1</xdr:row>
                    <xdr:rowOff>57150</xdr:rowOff>
                  </from>
                  <to>
                    <xdr:col>1</xdr:col>
                    <xdr:colOff>561975</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1647825</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47625</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5"/>
  <cols>
    <col min="1" max="1" width="18.140625" bestFit="1" customWidth="1"/>
    <col min="2" max="2" width="7.5703125" customWidth="1"/>
    <col min="3" max="3" width="43.85546875" customWidth="1"/>
    <col min="4" max="4" width="14.5703125" customWidth="1"/>
    <col min="5" max="5" width="15" customWidth="1"/>
    <col min="6" max="6" width="12.140625" customWidth="1"/>
    <col min="7" max="7" width="14.85546875" bestFit="1" customWidth="1"/>
    <col min="8" max="8" width="14.28515625" bestFit="1" customWidth="1"/>
    <col min="9" max="9" width="13.5703125" customWidth="1"/>
    <col min="10" max="10" width="12.5703125" customWidth="1"/>
    <col min="11" max="11" width="13.5703125" customWidth="1"/>
    <col min="12" max="12" width="14.28515625" bestFit="1" customWidth="1"/>
    <col min="13" max="13" width="14.28515625" customWidth="1"/>
    <col min="14" max="14" width="13.140625" customWidth="1"/>
    <col min="15" max="15" width="13.28515625" bestFit="1" customWidth="1"/>
    <col min="16" max="16" width="11.5703125" bestFit="1" customWidth="1"/>
    <col min="17" max="17" width="13.28515625" bestFit="1" customWidth="1"/>
    <col min="18" max="18" width="11.5703125" bestFit="1" customWidth="1"/>
    <col min="19" max="19" width="11.5703125" customWidth="1"/>
    <col min="20" max="20" width="11.5703125" bestFit="1" customWidth="1"/>
    <col min="21" max="22" width="13.28515625" bestFit="1" customWidth="1"/>
    <col min="23" max="23" width="13.85546875" customWidth="1"/>
    <col min="24" max="24" width="15.28515625" customWidth="1"/>
    <col min="25" max="25" width="13.85546875" customWidth="1"/>
  </cols>
  <sheetData>
    <row r="1" spans="1:23" ht="18.75">
      <c r="A1" t="s">
        <v>306</v>
      </c>
      <c r="C1" s="16" t="s">
        <v>13</v>
      </c>
      <c r="D1" s="16"/>
      <c r="E1" s="3"/>
      <c r="F1" s="3"/>
      <c r="G1" s="3"/>
      <c r="H1" s="3"/>
      <c r="I1" s="4"/>
      <c r="J1" s="1"/>
      <c r="K1" s="1"/>
      <c r="L1" s="1"/>
      <c r="M1" s="1"/>
      <c r="N1" s="1"/>
      <c r="O1" s="1"/>
      <c r="P1" s="1"/>
      <c r="Q1" s="1"/>
      <c r="R1" s="1"/>
      <c r="S1" s="1"/>
      <c r="T1" s="1"/>
      <c r="U1" s="1"/>
      <c r="V1" s="1"/>
    </row>
    <row r="2" spans="1:23" ht="18.75">
      <c r="C2" s="3"/>
      <c r="D2" s="3"/>
      <c r="E2" s="3"/>
      <c r="F2" s="3"/>
      <c r="G2" s="3"/>
      <c r="H2" s="3"/>
      <c r="I2" s="4"/>
      <c r="J2" s="1"/>
      <c r="K2" s="1"/>
      <c r="L2" s="1"/>
      <c r="M2" s="1"/>
      <c r="N2" s="1"/>
      <c r="O2" s="1"/>
      <c r="P2" s="1"/>
      <c r="Q2" s="1"/>
      <c r="R2" s="1"/>
      <c r="S2" s="1"/>
      <c r="T2" s="1"/>
      <c r="U2" s="1"/>
      <c r="V2" s="1"/>
    </row>
    <row r="3" spans="1:23" ht="18.75">
      <c r="C3" s="6" t="s">
        <v>5</v>
      </c>
      <c r="D3" s="3" t="str">
        <f>IF('Wksh 1 - Market Experience'!C3&lt;&gt;"", 'Wksh 1 - Market Experience'!C3,"")</f>
        <v/>
      </c>
      <c r="F3" s="3"/>
      <c r="G3" s="21"/>
      <c r="J3" s="1"/>
      <c r="K3" s="1"/>
      <c r="N3" s="6" t="s">
        <v>7</v>
      </c>
      <c r="O3" s="74" t="str">
        <f>IF('Wksh 1 - Market Experience'!E4="","",'Wksh 1 - Market Experience'!E4)</f>
        <v/>
      </c>
      <c r="P3" s="1"/>
    </row>
    <row r="4" spans="1:23" ht="18.75">
      <c r="C4" s="7" t="s">
        <v>6</v>
      </c>
      <c r="D4" s="4" t="str">
        <f>IF('Wksh 1 - Market Experience'!C4&lt;&gt;"", 'Wksh 1 - Market Experience'!C4,"")</f>
        <v/>
      </c>
      <c r="F4" s="3"/>
      <c r="G4" s="68"/>
      <c r="J4" s="1"/>
      <c r="K4" s="1"/>
      <c r="N4" s="6" t="s">
        <v>9</v>
      </c>
      <c r="O4" s="74" t="str">
        <f>IF('Wksh 1 - Market Experience'!E5="","",'Wksh 1 - Market Experience'!E5)</f>
        <v/>
      </c>
      <c r="P4" s="1"/>
    </row>
    <row r="5" spans="1:23" ht="18.75">
      <c r="C5" s="6" t="s">
        <v>14</v>
      </c>
      <c r="D5" s="83" t="e">
        <f>IF('Wksh 1 - Market Experience'!#REF!&lt;&gt;"", 'Wksh 1 - Market Experience'!#REF!,"")</f>
        <v>#REF!</v>
      </c>
      <c r="F5" s="3"/>
      <c r="G5" s="290"/>
      <c r="H5" s="290"/>
      <c r="I5" s="291"/>
      <c r="J5" s="1"/>
      <c r="K5" s="1"/>
      <c r="L5" s="1"/>
      <c r="M5" s="1"/>
      <c r="N5" s="1"/>
      <c r="O5" s="1"/>
      <c r="P5" s="1"/>
      <c r="Q5" s="1"/>
      <c r="R5" s="1"/>
      <c r="S5" s="1"/>
      <c r="T5" s="1"/>
      <c r="U5" s="1"/>
      <c r="V5" s="1"/>
    </row>
    <row r="6" spans="1:23">
      <c r="C6" s="1"/>
      <c r="D6" s="1"/>
      <c r="E6" s="1"/>
      <c r="F6" s="1"/>
      <c r="G6" s="1"/>
      <c r="H6" s="1"/>
      <c r="I6" s="2"/>
      <c r="J6" s="1"/>
      <c r="K6" s="1"/>
      <c r="L6" s="1"/>
      <c r="M6" s="1"/>
      <c r="N6" s="1"/>
      <c r="O6" s="1"/>
      <c r="P6" s="1"/>
      <c r="Q6" s="1"/>
      <c r="R6" s="1"/>
      <c r="S6" s="1"/>
      <c r="T6" s="1"/>
      <c r="U6" s="1"/>
      <c r="V6" s="1"/>
    </row>
    <row r="7" spans="1:23">
      <c r="C7" s="15" t="s">
        <v>15</v>
      </c>
      <c r="D7" s="23"/>
      <c r="E7" s="8"/>
      <c r="F7" s="8"/>
      <c r="G7" s="8"/>
      <c r="H7" s="8"/>
      <c r="I7" s="9"/>
      <c r="J7" s="8"/>
      <c r="K7" s="8"/>
      <c r="L7" s="8"/>
      <c r="M7" s="8"/>
      <c r="N7" s="8"/>
      <c r="O7" s="8"/>
      <c r="P7" s="8"/>
      <c r="Q7" s="8"/>
      <c r="R7" s="8"/>
      <c r="S7" s="8"/>
      <c r="T7" s="8"/>
      <c r="U7" s="8"/>
      <c r="V7" s="8"/>
      <c r="W7" s="10"/>
    </row>
    <row r="8" spans="1:23">
      <c r="C8" s="11"/>
      <c r="D8" s="12"/>
      <c r="E8" s="12"/>
      <c r="F8" s="12"/>
      <c r="G8" s="12"/>
      <c r="H8" s="12"/>
      <c r="I8" s="13"/>
      <c r="J8" s="12"/>
      <c r="K8" s="12"/>
      <c r="L8" s="12"/>
      <c r="M8" s="12"/>
      <c r="N8" s="12"/>
      <c r="O8" s="12"/>
      <c r="P8" s="12"/>
      <c r="Q8" s="12"/>
      <c r="R8" s="12"/>
      <c r="S8" s="12"/>
      <c r="T8" s="12"/>
      <c r="U8" s="12"/>
      <c r="V8" s="12"/>
      <c r="W8" s="14"/>
    </row>
    <row r="9" spans="1:23">
      <c r="B9" s="75" t="s">
        <v>103</v>
      </c>
      <c r="C9" s="19" t="s">
        <v>77</v>
      </c>
      <c r="D9" s="19"/>
      <c r="E9" s="17"/>
      <c r="F9" s="17"/>
      <c r="G9" s="17"/>
      <c r="H9" s="17"/>
      <c r="I9" s="18"/>
      <c r="J9" s="17"/>
      <c r="K9" s="17"/>
      <c r="L9" s="17"/>
      <c r="M9" s="17"/>
      <c r="N9" s="17"/>
      <c r="O9" s="17"/>
      <c r="P9" s="17"/>
      <c r="Q9" s="17"/>
      <c r="R9" s="17"/>
      <c r="S9" s="17"/>
      <c r="T9" s="17"/>
      <c r="U9" s="17"/>
      <c r="V9" s="17"/>
    </row>
    <row r="10" spans="1:23">
      <c r="B10" s="146" t="s">
        <v>155</v>
      </c>
      <c r="C10" s="147" t="s">
        <v>104</v>
      </c>
      <c r="D10" s="292"/>
      <c r="E10" s="177"/>
      <c r="I10" s="70"/>
      <c r="J10" s="70"/>
      <c r="K10" s="70" t="s">
        <v>231</v>
      </c>
      <c r="L10" s="67" t="s">
        <v>27</v>
      </c>
      <c r="M10" s="70" t="s">
        <v>81</v>
      </c>
      <c r="N10" s="70" t="s">
        <v>139</v>
      </c>
      <c r="O10" s="70" t="s">
        <v>145</v>
      </c>
    </row>
    <row r="11" spans="1:23">
      <c r="B11" s="146" t="s">
        <v>156</v>
      </c>
      <c r="C11" s="147" t="s">
        <v>105</v>
      </c>
      <c r="D11" s="293"/>
      <c r="E11" s="177"/>
      <c r="I11" s="70"/>
      <c r="J11" s="70"/>
      <c r="K11" s="70" t="s">
        <v>232</v>
      </c>
      <c r="L11" s="67" t="s">
        <v>28</v>
      </c>
      <c r="M11" s="70" t="s">
        <v>82</v>
      </c>
      <c r="N11" s="70" t="s">
        <v>140</v>
      </c>
      <c r="O11" s="70" t="s">
        <v>146</v>
      </c>
    </row>
    <row r="12" spans="1:23">
      <c r="B12" s="146" t="s">
        <v>157</v>
      </c>
      <c r="C12" s="147" t="s">
        <v>10</v>
      </c>
      <c r="D12" s="293"/>
      <c r="E12" s="179"/>
      <c r="I12" s="70"/>
      <c r="J12" s="70"/>
      <c r="K12" s="70" t="s">
        <v>233</v>
      </c>
      <c r="L12" s="67" t="s">
        <v>29</v>
      </c>
      <c r="M12" s="70" t="s">
        <v>83</v>
      </c>
      <c r="N12" s="70" t="s">
        <v>141</v>
      </c>
    </row>
    <row r="13" spans="1:23">
      <c r="B13" s="146" t="s">
        <v>158</v>
      </c>
      <c r="C13" s="147" t="s">
        <v>106</v>
      </c>
      <c r="D13" s="293"/>
      <c r="E13" s="180"/>
      <c r="I13" s="70"/>
      <c r="K13" s="70" t="s">
        <v>234</v>
      </c>
      <c r="L13" s="67" t="s">
        <v>30</v>
      </c>
      <c r="N13" s="70" t="s">
        <v>142</v>
      </c>
    </row>
    <row r="14" spans="1:23">
      <c r="B14" s="146" t="s">
        <v>159</v>
      </c>
      <c r="C14" s="147" t="s">
        <v>107</v>
      </c>
      <c r="D14" s="293"/>
      <c r="E14" s="181"/>
      <c r="K14" s="70" t="s">
        <v>235</v>
      </c>
      <c r="L14" s="67" t="s">
        <v>31</v>
      </c>
      <c r="N14" s="70" t="s">
        <v>143</v>
      </c>
    </row>
    <row r="15" spans="1:23">
      <c r="B15" s="146" t="s">
        <v>160</v>
      </c>
      <c r="C15" s="147" t="s">
        <v>26</v>
      </c>
      <c r="D15" s="293"/>
      <c r="E15" s="182"/>
      <c r="K15" s="70" t="s">
        <v>236</v>
      </c>
      <c r="L15" s="67" t="s">
        <v>32</v>
      </c>
      <c r="N15" s="70" t="s">
        <v>144</v>
      </c>
    </row>
    <row r="16" spans="1:23">
      <c r="B16" s="146" t="s">
        <v>161</v>
      </c>
      <c r="C16" s="147" t="s">
        <v>80</v>
      </c>
      <c r="D16" s="293"/>
      <c r="E16" s="179"/>
      <c r="K16" t="s">
        <v>237</v>
      </c>
      <c r="L16" s="67" t="s">
        <v>33</v>
      </c>
    </row>
    <row r="17" spans="1:12">
      <c r="B17" s="146" t="s">
        <v>154</v>
      </c>
      <c r="C17" s="147" t="s">
        <v>108</v>
      </c>
      <c r="D17" s="293"/>
      <c r="E17" s="179"/>
      <c r="K17" t="s">
        <v>238</v>
      </c>
      <c r="L17" s="67" t="s">
        <v>35</v>
      </c>
    </row>
    <row r="18" spans="1:12">
      <c r="B18" s="146" t="s">
        <v>153</v>
      </c>
      <c r="C18" s="147" t="s">
        <v>16</v>
      </c>
      <c r="D18" s="293"/>
      <c r="E18" s="183"/>
      <c r="K18" t="s">
        <v>239</v>
      </c>
      <c r="L18" s="67" t="s">
        <v>34</v>
      </c>
    </row>
    <row r="19" spans="1:12">
      <c r="B19" s="146" t="s">
        <v>149</v>
      </c>
      <c r="C19" s="147" t="s">
        <v>25</v>
      </c>
      <c r="D19" s="293"/>
      <c r="E19" s="184"/>
      <c r="K19" t="s">
        <v>240</v>
      </c>
      <c r="L19" s="67" t="s">
        <v>36</v>
      </c>
    </row>
    <row r="20" spans="1:12">
      <c r="B20" s="146" t="s">
        <v>150</v>
      </c>
      <c r="C20" s="147" t="s">
        <v>109</v>
      </c>
      <c r="D20" s="293"/>
      <c r="E20" s="185"/>
      <c r="K20" t="s">
        <v>241</v>
      </c>
      <c r="L20" s="67" t="s">
        <v>37</v>
      </c>
    </row>
    <row r="21" spans="1:12">
      <c r="B21" s="146" t="s">
        <v>151</v>
      </c>
      <c r="C21" s="147" t="s">
        <v>84</v>
      </c>
      <c r="D21" s="293"/>
      <c r="E21" s="178"/>
      <c r="K21" t="s">
        <v>242</v>
      </c>
      <c r="L21" s="67" t="s">
        <v>38</v>
      </c>
    </row>
    <row r="22" spans="1:12">
      <c r="B22" s="148" t="s">
        <v>152</v>
      </c>
      <c r="C22" s="138" t="s">
        <v>212</v>
      </c>
      <c r="D22" s="294"/>
      <c r="E22" s="178"/>
      <c r="K22" t="s">
        <v>243</v>
      </c>
      <c r="L22" s="67" t="s">
        <v>39</v>
      </c>
    </row>
    <row r="23" spans="1:12">
      <c r="E23" s="73"/>
      <c r="K23" t="s">
        <v>244</v>
      </c>
      <c r="L23" s="67" t="s">
        <v>40</v>
      </c>
    </row>
    <row r="24" spans="1:12" ht="18.75">
      <c r="A24" s="6"/>
      <c r="B24" s="75"/>
      <c r="C24" s="78" t="s">
        <v>110</v>
      </c>
      <c r="D24" s="1"/>
      <c r="E24" s="17"/>
      <c r="K24" t="s">
        <v>245</v>
      </c>
      <c r="L24" s="67" t="s">
        <v>41</v>
      </c>
    </row>
    <row r="25" spans="1:12" ht="18.75">
      <c r="A25" s="6"/>
      <c r="B25" s="146" t="s">
        <v>162</v>
      </c>
      <c r="C25" s="147" t="s">
        <v>106</v>
      </c>
      <c r="D25" s="186" t="s">
        <v>2</v>
      </c>
      <c r="E25" s="90" t="str">
        <f>IF(E13&lt;&gt;"",E13,"")</f>
        <v/>
      </c>
      <c r="K25" t="s">
        <v>246</v>
      </c>
      <c r="L25" s="67" t="s">
        <v>42</v>
      </c>
    </row>
    <row r="26" spans="1:12" ht="18.75">
      <c r="A26" s="6"/>
      <c r="B26" s="146" t="s">
        <v>163</v>
      </c>
      <c r="C26" s="147" t="s">
        <v>86</v>
      </c>
      <c r="D26" s="159">
        <f>SUM(E26:XFD26)</f>
        <v>0</v>
      </c>
      <c r="E26" s="187"/>
      <c r="L26" s="67" t="s">
        <v>43</v>
      </c>
    </row>
    <row r="27" spans="1:12" ht="18.75">
      <c r="A27" s="6"/>
      <c r="B27" s="146" t="s">
        <v>164</v>
      </c>
      <c r="C27" s="152" t="s">
        <v>87</v>
      </c>
      <c r="D27" s="159">
        <f>SUM(E27:XFD27)</f>
        <v>0</v>
      </c>
      <c r="E27" s="187"/>
      <c r="L27" s="67" t="s">
        <v>44</v>
      </c>
    </row>
    <row r="28" spans="1:12" ht="18.75">
      <c r="A28" s="6"/>
      <c r="B28" s="146" t="s">
        <v>165</v>
      </c>
      <c r="C28" s="152" t="s">
        <v>111</v>
      </c>
      <c r="D28" s="160">
        <f>SUM(E28:XFD28)</f>
        <v>0</v>
      </c>
      <c r="E28" s="187"/>
      <c r="L28" s="67" t="s">
        <v>45</v>
      </c>
    </row>
    <row r="29" spans="1:12" ht="18.75">
      <c r="A29" s="6"/>
      <c r="B29" s="146" t="s">
        <v>166</v>
      </c>
      <c r="C29" s="152" t="s">
        <v>112</v>
      </c>
      <c r="D29" s="160">
        <f>SUM(E29:XFD29)</f>
        <v>0</v>
      </c>
      <c r="E29" s="187"/>
      <c r="L29" s="67" t="s">
        <v>46</v>
      </c>
    </row>
    <row r="30" spans="1:12" ht="18.75">
      <c r="A30" s="6"/>
      <c r="B30" s="146" t="s">
        <v>167</v>
      </c>
      <c r="C30" s="152" t="s">
        <v>113</v>
      </c>
      <c r="D30" s="160">
        <f>D26-D27-D28-D29</f>
        <v>0</v>
      </c>
      <c r="E30" s="217">
        <f>E26-E27-E28-E29</f>
        <v>0</v>
      </c>
      <c r="L30" s="67" t="s">
        <v>47</v>
      </c>
    </row>
    <row r="31" spans="1:12" ht="18.75">
      <c r="A31" s="6"/>
      <c r="B31" s="146" t="s">
        <v>168</v>
      </c>
      <c r="C31" s="152" t="s">
        <v>114</v>
      </c>
      <c r="D31" s="160">
        <f>SUM(E31:XFD31)</f>
        <v>0</v>
      </c>
      <c r="E31" s="187"/>
      <c r="L31" s="67" t="s">
        <v>48</v>
      </c>
    </row>
    <row r="32" spans="1:12" ht="18.75">
      <c r="A32" s="6"/>
      <c r="B32" s="146" t="s">
        <v>169</v>
      </c>
      <c r="C32" s="152" t="s">
        <v>115</v>
      </c>
      <c r="D32" s="160">
        <f>SUM(E32:XFD32)</f>
        <v>0</v>
      </c>
      <c r="E32" s="187"/>
      <c r="L32" s="67" t="s">
        <v>49</v>
      </c>
    </row>
    <row r="33" spans="1:12" ht="18.75">
      <c r="A33" s="6"/>
      <c r="B33" s="146" t="s">
        <v>170</v>
      </c>
      <c r="C33" s="152" t="s">
        <v>22</v>
      </c>
      <c r="D33" s="161">
        <f>SUM(E33:XFD33)</f>
        <v>0</v>
      </c>
      <c r="E33" s="218"/>
      <c r="L33" s="67" t="s">
        <v>50</v>
      </c>
    </row>
    <row r="34" spans="1:12" ht="18.75">
      <c r="A34" s="6"/>
      <c r="B34" s="146" t="s">
        <v>171</v>
      </c>
      <c r="C34" s="152" t="s">
        <v>116</v>
      </c>
      <c r="D34" s="161">
        <f>SUM(E34:XFD34)</f>
        <v>0</v>
      </c>
      <c r="E34" s="218"/>
      <c r="L34" s="67" t="s">
        <v>51</v>
      </c>
    </row>
    <row r="35" spans="1:12" ht="18.75">
      <c r="A35" s="6"/>
      <c r="B35" s="146" t="s">
        <v>172</v>
      </c>
      <c r="C35" s="152" t="s">
        <v>117</v>
      </c>
      <c r="D35" s="162" t="e">
        <f>SUMPRODUCT(E35:XFD35,E34:XFD34)/D34</f>
        <v>#DIV/0!</v>
      </c>
      <c r="E35" s="188"/>
      <c r="L35" s="67" t="s">
        <v>52</v>
      </c>
    </row>
    <row r="36" spans="1:12" ht="18.75">
      <c r="A36" s="6"/>
      <c r="B36" s="148" t="s">
        <v>173</v>
      </c>
      <c r="C36" s="170" t="s">
        <v>118</v>
      </c>
      <c r="D36" s="88" t="e">
        <f>D30/(D31+D32)</f>
        <v>#DIV/0!</v>
      </c>
      <c r="E36" s="88" t="e">
        <f>E30/(E31+E32)</f>
        <v>#DIV/0!</v>
      </c>
      <c r="L36" s="67" t="s">
        <v>53</v>
      </c>
    </row>
    <row r="37" spans="1:12" ht="18.75">
      <c r="A37" s="6"/>
      <c r="B37" s="75"/>
      <c r="C37" s="78" t="s">
        <v>120</v>
      </c>
      <c r="D37" s="6"/>
      <c r="L37" s="67" t="s">
        <v>54</v>
      </c>
    </row>
    <row r="38" spans="1:12" ht="18.75">
      <c r="A38" s="6"/>
      <c r="B38" s="146" t="s">
        <v>174</v>
      </c>
      <c r="C38" s="152" t="s">
        <v>86</v>
      </c>
      <c r="D38" s="86" t="e">
        <f>D26/D33</f>
        <v>#DIV/0!</v>
      </c>
      <c r="E38" s="86" t="e">
        <f>E26/E33</f>
        <v>#DIV/0!</v>
      </c>
      <c r="L38" s="67" t="s">
        <v>55</v>
      </c>
    </row>
    <row r="39" spans="1:12" ht="18.75">
      <c r="A39" s="6"/>
      <c r="B39" s="146" t="s">
        <v>175</v>
      </c>
      <c r="C39" s="152" t="s">
        <v>87</v>
      </c>
      <c r="D39" s="86" t="e">
        <f>D27/D33</f>
        <v>#DIV/0!</v>
      </c>
      <c r="E39" s="86" t="e">
        <f>E27/E33</f>
        <v>#DIV/0!</v>
      </c>
      <c r="L39" s="67" t="s">
        <v>56</v>
      </c>
    </row>
    <row r="40" spans="1:12" ht="18.75">
      <c r="A40" s="6"/>
      <c r="B40" s="146" t="s">
        <v>176</v>
      </c>
      <c r="C40" s="152" t="s">
        <v>111</v>
      </c>
      <c r="D40" s="86" t="e">
        <f>D28/D33</f>
        <v>#DIV/0!</v>
      </c>
      <c r="E40" s="86" t="e">
        <f>E28/E33</f>
        <v>#DIV/0!</v>
      </c>
      <c r="L40" s="67" t="s">
        <v>57</v>
      </c>
    </row>
    <row r="41" spans="1:12" ht="18.75">
      <c r="A41" s="6"/>
      <c r="B41" s="146" t="s">
        <v>177</v>
      </c>
      <c r="C41" s="152" t="s">
        <v>112</v>
      </c>
      <c r="D41" s="86" t="e">
        <f>D29/D33</f>
        <v>#DIV/0!</v>
      </c>
      <c r="E41" s="86" t="e">
        <f>E29/E33</f>
        <v>#DIV/0!</v>
      </c>
      <c r="L41" s="67" t="s">
        <v>58</v>
      </c>
    </row>
    <row r="42" spans="1:12" ht="18.75">
      <c r="A42" s="6"/>
      <c r="B42" s="146" t="s">
        <v>178</v>
      </c>
      <c r="C42" s="152" t="s">
        <v>113</v>
      </c>
      <c r="D42" s="86" t="e">
        <f>D30/D33</f>
        <v>#DIV/0!</v>
      </c>
      <c r="E42" s="86" t="e">
        <f>E30/E33</f>
        <v>#DIV/0!</v>
      </c>
      <c r="L42" s="67" t="s">
        <v>59</v>
      </c>
    </row>
    <row r="43" spans="1:12" ht="18.75">
      <c r="A43" s="6"/>
      <c r="B43" s="146" t="s">
        <v>179</v>
      </c>
      <c r="C43" s="152" t="s">
        <v>114</v>
      </c>
      <c r="D43" s="86" t="e">
        <f>D31/D33</f>
        <v>#DIV/0!</v>
      </c>
      <c r="E43" s="86" t="e">
        <f>E31/E33</f>
        <v>#DIV/0!</v>
      </c>
      <c r="G43" s="5"/>
      <c r="L43" s="67" t="s">
        <v>60</v>
      </c>
    </row>
    <row r="44" spans="1:12" ht="18.75">
      <c r="A44" s="6"/>
      <c r="B44" s="148" t="s">
        <v>180</v>
      </c>
      <c r="C44" s="170" t="s">
        <v>115</v>
      </c>
      <c r="D44" s="86" t="e">
        <f>D32/D33</f>
        <v>#DIV/0!</v>
      </c>
      <c r="E44" s="86" t="e">
        <f>E32/E33</f>
        <v>#DIV/0!</v>
      </c>
      <c r="G44" s="5"/>
      <c r="H44" s="5"/>
      <c r="L44" s="67" t="s">
        <v>61</v>
      </c>
    </row>
    <row r="45" spans="1:12" ht="18.75">
      <c r="A45" s="6"/>
      <c r="B45" s="75"/>
      <c r="C45" s="6"/>
      <c r="D45" s="6"/>
      <c r="L45" s="67" t="s">
        <v>62</v>
      </c>
    </row>
    <row r="46" spans="1:12" ht="18.75">
      <c r="A46" s="6"/>
      <c r="C46" s="78" t="s">
        <v>121</v>
      </c>
      <c r="D46" s="6"/>
      <c r="G46" s="5"/>
      <c r="H46" s="20"/>
      <c r="L46" s="67" t="s">
        <v>63</v>
      </c>
    </row>
    <row r="47" spans="1:12" ht="18.75">
      <c r="A47" s="6"/>
      <c r="B47" s="146" t="s">
        <v>181</v>
      </c>
      <c r="C47" s="189" t="s">
        <v>106</v>
      </c>
      <c r="D47" s="295"/>
      <c r="E47" s="191" t="str">
        <f>IF(E13&lt;&gt;"",E13,"")</f>
        <v/>
      </c>
      <c r="L47" s="67" t="s">
        <v>64</v>
      </c>
    </row>
    <row r="48" spans="1:12" ht="18.75">
      <c r="A48" s="6"/>
      <c r="B48" s="146" t="s">
        <v>182</v>
      </c>
      <c r="C48" s="189" t="s">
        <v>122</v>
      </c>
      <c r="D48" s="296"/>
      <c r="E48" s="192">
        <f>'Wksh 1 - Market Experience'!F46</f>
        <v>0</v>
      </c>
      <c r="L48" s="67" t="s">
        <v>65</v>
      </c>
    </row>
    <row r="49" spans="1:12" ht="18.75">
      <c r="A49" s="6"/>
      <c r="B49" s="146" t="s">
        <v>183</v>
      </c>
      <c r="C49" s="189" t="s">
        <v>123</v>
      </c>
      <c r="D49" s="296"/>
      <c r="E49" s="193"/>
      <c r="L49" s="67" t="s">
        <v>66</v>
      </c>
    </row>
    <row r="50" spans="1:12" ht="18.75">
      <c r="A50" s="6"/>
      <c r="B50" s="146" t="s">
        <v>184</v>
      </c>
      <c r="C50" s="189" t="s">
        <v>124</v>
      </c>
      <c r="D50" s="296"/>
      <c r="E50" s="193"/>
      <c r="L50" s="67" t="s">
        <v>67</v>
      </c>
    </row>
    <row r="51" spans="1:12" ht="18.75">
      <c r="A51" s="6"/>
      <c r="B51" s="148" t="s">
        <v>185</v>
      </c>
      <c r="C51" s="190" t="s">
        <v>125</v>
      </c>
      <c r="D51" s="297"/>
      <c r="E51" s="193"/>
      <c r="L51" s="67" t="s">
        <v>68</v>
      </c>
    </row>
    <row r="52" spans="1:12" ht="18.75">
      <c r="A52" s="6"/>
      <c r="C52" s="82" t="s">
        <v>133</v>
      </c>
      <c r="D52" s="6"/>
      <c r="L52" s="67" t="s">
        <v>69</v>
      </c>
    </row>
    <row r="53" spans="1:12" ht="18.75">
      <c r="A53" s="6"/>
      <c r="B53" s="146" t="s">
        <v>186</v>
      </c>
      <c r="C53" s="172" t="s">
        <v>134</v>
      </c>
      <c r="D53" s="295"/>
      <c r="E53" s="196"/>
      <c r="F53" s="5"/>
      <c r="L53" s="67" t="s">
        <v>70</v>
      </c>
    </row>
    <row r="54" spans="1:12" ht="18.75">
      <c r="A54" s="6"/>
      <c r="B54" s="146" t="s">
        <v>187</v>
      </c>
      <c r="C54" s="172" t="s">
        <v>135</v>
      </c>
      <c r="D54" s="296"/>
      <c r="E54" s="196"/>
      <c r="F54" s="5"/>
      <c r="L54" s="67" t="s">
        <v>71</v>
      </c>
    </row>
    <row r="55" spans="1:12" ht="18.75">
      <c r="A55" s="6"/>
      <c r="B55" s="146" t="s">
        <v>188</v>
      </c>
      <c r="C55" s="172" t="s">
        <v>12</v>
      </c>
      <c r="D55" s="296"/>
      <c r="E55" s="196"/>
      <c r="F55" s="5"/>
      <c r="L55" s="67" t="s">
        <v>72</v>
      </c>
    </row>
    <row r="56" spans="1:12" ht="18.75">
      <c r="A56" s="6"/>
      <c r="B56" s="146" t="s">
        <v>189</v>
      </c>
      <c r="C56" s="189" t="s">
        <v>126</v>
      </c>
      <c r="D56" s="296"/>
      <c r="E56" s="193"/>
      <c r="F56" s="5"/>
      <c r="L56" s="67" t="s">
        <v>73</v>
      </c>
    </row>
    <row r="57" spans="1:12" ht="18.75">
      <c r="A57" s="6"/>
      <c r="B57" s="148" t="s">
        <v>190</v>
      </c>
      <c r="C57" s="194" t="s">
        <v>79</v>
      </c>
      <c r="D57" s="297"/>
      <c r="E57" s="195">
        <f>($E$48*PRODUCT(E49:E51)*E56)/(1-SUM(E53:E55))</f>
        <v>0</v>
      </c>
      <c r="F57" s="5"/>
      <c r="L57" s="67" t="s">
        <v>74</v>
      </c>
    </row>
    <row r="58" spans="1:12" ht="17.25" customHeight="1">
      <c r="A58" s="6"/>
      <c r="C58" s="6"/>
      <c r="D58" s="6"/>
      <c r="F58" s="5"/>
      <c r="L58" s="67" t="s">
        <v>75</v>
      </c>
    </row>
    <row r="59" spans="1:12" ht="18.75">
      <c r="A59" s="6"/>
      <c r="B59" s="146" t="s">
        <v>191</v>
      </c>
      <c r="C59" s="189" t="s">
        <v>127</v>
      </c>
      <c r="D59" s="209"/>
      <c r="E59" s="206" t="str">
        <f>IF(D59&lt;&gt;"", D59, "")</f>
        <v/>
      </c>
      <c r="F59" s="5"/>
      <c r="L59" s="67" t="s">
        <v>8</v>
      </c>
    </row>
    <row r="60" spans="1:12" ht="18.75">
      <c r="A60" s="6"/>
      <c r="B60" s="146" t="s">
        <v>192</v>
      </c>
      <c r="C60" s="189" t="s">
        <v>128</v>
      </c>
      <c r="D60" s="209"/>
      <c r="E60" s="206" t="str">
        <f>IF(D60&lt;&gt;"", D60, "")</f>
        <v/>
      </c>
      <c r="F60" s="5"/>
      <c r="L60" s="67" t="s">
        <v>76</v>
      </c>
    </row>
    <row r="61" spans="1:12" ht="18.75">
      <c r="A61" s="6"/>
      <c r="B61" s="146" t="s">
        <v>193</v>
      </c>
      <c r="C61" s="189" t="s">
        <v>129</v>
      </c>
      <c r="D61" s="209"/>
      <c r="E61" s="206" t="str">
        <f>IF(D61&lt;&gt;"", D61, "")</f>
        <v/>
      </c>
      <c r="F61" s="5"/>
      <c r="L61" s="31"/>
    </row>
    <row r="62" spans="1:12">
      <c r="B62" s="148" t="s">
        <v>194</v>
      </c>
      <c r="C62" s="194" t="s">
        <v>136</v>
      </c>
      <c r="D62" s="197"/>
      <c r="E62" s="195">
        <f>E57*(PRODUCT($E$59:$E$61))</f>
        <v>0</v>
      </c>
      <c r="F62" s="5"/>
      <c r="L62" s="31"/>
    </row>
    <row r="63" spans="1:12" ht="18.75">
      <c r="B63" s="75"/>
      <c r="C63" s="6"/>
      <c r="D63" s="6"/>
      <c r="F63" s="5"/>
      <c r="L63" s="31"/>
    </row>
    <row r="64" spans="1:12" ht="18.75">
      <c r="C64" s="30" t="s">
        <v>130</v>
      </c>
      <c r="D64" s="6"/>
      <c r="F64" s="5"/>
      <c r="L64" s="31"/>
    </row>
    <row r="65" spans="2:12">
      <c r="B65" s="146" t="s">
        <v>195</v>
      </c>
      <c r="C65" s="152" t="s">
        <v>106</v>
      </c>
      <c r="D65" s="174" t="s">
        <v>2</v>
      </c>
      <c r="E65" s="90" t="str">
        <f>IF(E13&lt;&gt;"",E13,"")</f>
        <v/>
      </c>
      <c r="F65" s="5"/>
      <c r="L65" s="31"/>
    </row>
    <row r="66" spans="2:12">
      <c r="B66" s="146" t="s">
        <v>196</v>
      </c>
      <c r="C66" s="152" t="s">
        <v>86</v>
      </c>
      <c r="D66" s="198">
        <f>SUM(E66:XFD66)</f>
        <v>0</v>
      </c>
      <c r="E66" s="187"/>
      <c r="F66" s="5"/>
    </row>
    <row r="67" spans="2:12">
      <c r="B67" s="146" t="s">
        <v>197</v>
      </c>
      <c r="C67" s="152" t="s">
        <v>87</v>
      </c>
      <c r="D67" s="198">
        <f>SUM(E67:XFD67)</f>
        <v>0</v>
      </c>
      <c r="E67" s="187"/>
      <c r="F67" s="5"/>
    </row>
    <row r="68" spans="2:12">
      <c r="B68" s="146" t="s">
        <v>198</v>
      </c>
      <c r="C68" s="152" t="s">
        <v>111</v>
      </c>
      <c r="D68" s="198">
        <f>SUM(E68:XFD68)</f>
        <v>0</v>
      </c>
      <c r="E68" s="187"/>
      <c r="F68" s="5"/>
    </row>
    <row r="69" spans="2:12">
      <c r="B69" s="146" t="s">
        <v>199</v>
      </c>
      <c r="C69" s="152" t="s">
        <v>112</v>
      </c>
      <c r="D69" s="198">
        <f>SUM(E69:XFD69)</f>
        <v>0</v>
      </c>
      <c r="E69" s="187"/>
      <c r="F69" s="5"/>
    </row>
    <row r="70" spans="2:12">
      <c r="B70" s="146" t="s">
        <v>200</v>
      </c>
      <c r="C70" s="152" t="s">
        <v>113</v>
      </c>
      <c r="D70" s="198">
        <f>D66-D67-D68-D69</f>
        <v>0</v>
      </c>
      <c r="E70" s="159">
        <f>E66-E67-E68-E69</f>
        <v>0</v>
      </c>
      <c r="F70" s="5"/>
    </row>
    <row r="71" spans="2:12">
      <c r="B71" s="146" t="s">
        <v>201</v>
      </c>
      <c r="C71" s="152" t="s">
        <v>114</v>
      </c>
      <c r="D71" s="198">
        <f>SUM(E71:XFD71)</f>
        <v>0</v>
      </c>
      <c r="E71" s="187"/>
      <c r="F71" s="5"/>
    </row>
    <row r="72" spans="2:12">
      <c r="B72" s="146" t="s">
        <v>202</v>
      </c>
      <c r="C72" s="152" t="s">
        <v>115</v>
      </c>
      <c r="D72" s="198">
        <f>SUM(E72:XFD72)</f>
        <v>0</v>
      </c>
      <c r="E72" s="187"/>
      <c r="F72" s="5"/>
    </row>
    <row r="73" spans="2:12">
      <c r="B73" s="146" t="s">
        <v>203</v>
      </c>
      <c r="C73" s="152" t="s">
        <v>4</v>
      </c>
      <c r="D73" s="199">
        <f>SUM(E73:XFD73)</f>
        <v>0</v>
      </c>
      <c r="E73" s="218"/>
      <c r="F73" s="5"/>
    </row>
    <row r="74" spans="2:12">
      <c r="B74" s="148" t="s">
        <v>204</v>
      </c>
      <c r="C74" s="170" t="s">
        <v>118</v>
      </c>
      <c r="D74" s="175" t="e">
        <f>D70/(D71+D72)</f>
        <v>#DIV/0!</v>
      </c>
      <c r="E74" s="89" t="e">
        <f>E70/(E71+E72)</f>
        <v>#DIV/0!</v>
      </c>
      <c r="F74" s="5"/>
    </row>
    <row r="75" spans="2:12" ht="18.75">
      <c r="C75" s="78" t="s">
        <v>120</v>
      </c>
      <c r="D75" s="6"/>
      <c r="F75" s="5"/>
    </row>
    <row r="76" spans="2:12">
      <c r="B76" s="146" t="s">
        <v>205</v>
      </c>
      <c r="C76" s="152" t="s">
        <v>86</v>
      </c>
      <c r="D76" s="107" t="e">
        <f>D66/D73</f>
        <v>#DIV/0!</v>
      </c>
      <c r="E76" s="107" t="e">
        <f>E66/E73</f>
        <v>#DIV/0!</v>
      </c>
      <c r="F76" s="5"/>
    </row>
    <row r="77" spans="2:12">
      <c r="B77" s="146" t="s">
        <v>206</v>
      </c>
      <c r="C77" s="152" t="s">
        <v>87</v>
      </c>
      <c r="D77" s="86" t="e">
        <f>D67/D73</f>
        <v>#DIV/0!</v>
      </c>
      <c r="E77" s="86" t="e">
        <f>E67/E73</f>
        <v>#DIV/0!</v>
      </c>
      <c r="F77" s="5"/>
    </row>
    <row r="78" spans="2:12">
      <c r="B78" s="146" t="s">
        <v>207</v>
      </c>
      <c r="C78" s="152" t="s">
        <v>111</v>
      </c>
      <c r="D78" s="107" t="e">
        <f>D68/D73</f>
        <v>#DIV/0!</v>
      </c>
      <c r="E78" s="107" t="e">
        <f>E68/E73</f>
        <v>#DIV/0!</v>
      </c>
      <c r="F78" s="5"/>
    </row>
    <row r="79" spans="2:12">
      <c r="B79" s="146" t="s">
        <v>208</v>
      </c>
      <c r="C79" s="152" t="s">
        <v>112</v>
      </c>
      <c r="D79" s="107" t="e">
        <f>D69/D73</f>
        <v>#DIV/0!</v>
      </c>
      <c r="E79" s="107" t="e">
        <f>E69/E73</f>
        <v>#DIV/0!</v>
      </c>
      <c r="F79" s="5"/>
    </row>
    <row r="80" spans="2:12">
      <c r="B80" s="146" t="s">
        <v>209</v>
      </c>
      <c r="C80" s="147" t="s">
        <v>113</v>
      </c>
      <c r="D80" s="107" t="e">
        <f>D70/D73</f>
        <v>#DIV/0!</v>
      </c>
      <c r="E80" s="107" t="e">
        <f>E70/E73</f>
        <v>#DIV/0!</v>
      </c>
      <c r="F80" s="5"/>
    </row>
    <row r="81" spans="2:6">
      <c r="B81" s="146" t="s">
        <v>210</v>
      </c>
      <c r="C81" s="147" t="s">
        <v>114</v>
      </c>
      <c r="D81" s="107" t="e">
        <f>D71/D73</f>
        <v>#DIV/0!</v>
      </c>
      <c r="E81" s="107" t="e">
        <f>E71/E73</f>
        <v>#DIV/0!</v>
      </c>
      <c r="F81" s="5"/>
    </row>
    <row r="82" spans="2:6">
      <c r="B82" s="148" t="s">
        <v>211</v>
      </c>
      <c r="C82" s="138" t="s">
        <v>115</v>
      </c>
      <c r="D82" s="107" t="e">
        <f>D72/D73</f>
        <v>#DIV/0!</v>
      </c>
      <c r="E82" s="107" t="e">
        <f>E72/E73</f>
        <v>#DIV/0!</v>
      </c>
      <c r="F82" s="5"/>
    </row>
    <row r="83" spans="2:6">
      <c r="F83" s="5"/>
    </row>
    <row r="84" spans="2:6">
      <c r="F84" s="5"/>
    </row>
    <row r="85" spans="2:6" ht="14.45" customHeight="1">
      <c r="F85" s="5"/>
    </row>
    <row r="86" spans="2:6" ht="30.75" customHeight="1">
      <c r="F86" s="5"/>
    </row>
    <row r="87" spans="2:6">
      <c r="F87" s="5"/>
    </row>
    <row r="88" spans="2:6">
      <c r="F88" s="5"/>
    </row>
    <row r="89" spans="2:6">
      <c r="F89" s="5"/>
    </row>
    <row r="90" spans="2:6">
      <c r="F90" s="5"/>
    </row>
    <row r="91" spans="2:6" ht="30.75" customHeight="1">
      <c r="F91" s="5"/>
    </row>
    <row r="92" spans="2:6" ht="17.25" customHeight="1">
      <c r="F92" s="5"/>
    </row>
    <row r="93" spans="2:6" ht="17.25" customHeight="1">
      <c r="F93" s="5"/>
    </row>
    <row r="94" spans="2:6" ht="17.25" customHeight="1">
      <c r="F94" s="5"/>
    </row>
    <row r="95" spans="2:6" ht="17.25" customHeight="1">
      <c r="F95" s="5"/>
    </row>
    <row r="96" spans="2:6">
      <c r="F96" s="5"/>
    </row>
    <row r="97" spans="6:15">
      <c r="F97" s="5"/>
      <c r="H97" s="22"/>
      <c r="I97" s="22"/>
      <c r="J97" s="24"/>
    </row>
    <row r="98" spans="6:15">
      <c r="F98" s="5"/>
      <c r="J98" s="24"/>
    </row>
    <row r="99" spans="6:15">
      <c r="F99" s="5"/>
      <c r="G99" s="22"/>
      <c r="J99" s="24"/>
    </row>
    <row r="100" spans="6:15">
      <c r="F100" s="22"/>
    </row>
    <row r="101" spans="6:15">
      <c r="H101" s="20"/>
      <c r="O101" s="24"/>
    </row>
    <row r="102" spans="6:15">
      <c r="H102" s="20"/>
      <c r="O102" s="24"/>
    </row>
    <row r="103" spans="6:15">
      <c r="G103" s="5"/>
      <c r="O103" s="24"/>
    </row>
    <row r="104" spans="6:15">
      <c r="G104" s="5"/>
      <c r="H104" s="22"/>
    </row>
    <row r="105" spans="6:15">
      <c r="H105" s="24"/>
      <c r="I105" s="24"/>
    </row>
  </sheetData>
  <sheetProtection algorithmName="SHA-512" hashValue="L0+pNcsHkujgSOAqtEn+jDj6NQzhnwgSSkQHLLsPtbUDdQKq09DGj4vv1PnJdpXuqfRMu83vIJeuX5Bz2HWS1w==" saltValue="Ldg0GiIgdMBdiu1fL+1E0g==" spinCount="100000" sheet="1" objects="1" scenario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9843cd8e-b180-420a-af90-bd892b9b7a1b">
      <Terms xmlns="http://schemas.microsoft.com/office/infopath/2007/PartnerControls"/>
    </lcf76f155ced4ddcb4097134ff3c332f>
    <TaxCatchAll xmlns="be616c46-e0d1-41bc-b79c-3bf75d8f213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5" ma:contentTypeDescription="Create a new document." ma:contentTypeScope="" ma:versionID="51ea80c5e305430dd1fa6bb394d68430">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c44eddd528bcfed5796ba6f9120a30ad"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A26A6A-6337-4ED7-A649-960EFD22D054}">
  <ds:schemaRefs>
    <ds:schemaRef ds:uri="23122ce3-e390-4335-9b15-d6b7a376e4c4"/>
    <ds:schemaRef ds:uri="http://schemas.microsoft.com/office/2006/documentManagement/types"/>
    <ds:schemaRef ds:uri="http://schemas.microsoft.com/office/2006/metadata/properties"/>
    <ds:schemaRef ds:uri="280e8d07-9461-4c4e-895a-3eca43e3694b"/>
    <ds:schemaRef ds:uri="http://purl.org/dc/elements/1.1/"/>
    <ds:schemaRef ds:uri="http://schemas.microsoft.com/sharepoint/v3"/>
    <ds:schemaRef ds:uri="http://schemas.openxmlformats.org/package/2006/metadata/core-properties"/>
    <ds:schemaRef ds:uri="http://purl.org/dc/terms/"/>
    <ds:schemaRef ds:uri="http://schemas.microsoft.com/office/infopath/2007/PartnerControls"/>
    <ds:schemaRef ds:uri="9c6a2b74-e026-42b8-a021-582d892bcfcc"/>
    <ds:schemaRef ds:uri="http://www.w3.org/XML/1998/namespace"/>
    <ds:schemaRef ds:uri="http://purl.org/dc/dcmitype/"/>
    <ds:schemaRef ds:uri="a1027b0e-b76a-4f87-8a3e-5c0955473ea1"/>
    <ds:schemaRef ds:uri="a7eddb22-ec30-47fe-81c9-a147b8ade4a5"/>
  </ds:schemaRefs>
</ds:datastoreItem>
</file>

<file path=customXml/itemProps2.xml><?xml version="1.0" encoding="utf-8"?>
<ds:datastoreItem xmlns:ds="http://schemas.openxmlformats.org/officeDocument/2006/customXml" ds:itemID="{A1B5A462-3489-465A-8A7A-A204420B360C}"/>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Laventure, Dieny</cp:lastModifiedBy>
  <dcterms:created xsi:type="dcterms:W3CDTF">2013-12-09T20:12:41Z</dcterms:created>
  <dcterms:modified xsi:type="dcterms:W3CDTF">2023-07-27T19:59:59Z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Order">
    <vt:r8>14997100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ies>
</file>