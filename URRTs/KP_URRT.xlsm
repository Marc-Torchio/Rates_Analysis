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8CEDBF79-04AB-4E00-B641-0C34C48C5664}"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19485" yWindow="3465" windowWidth="17805" windowHeight="8430" tabRatio="515" firstSheet="1" activeTab="1"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4" i="13"/>
  <c r="D35" i="13" s="1"/>
  <c r="D33" i="13"/>
  <c r="D32" i="13"/>
  <c r="D31" i="13"/>
  <c r="D29" i="13"/>
  <c r="D28" i="13"/>
  <c r="D27" i="13"/>
  <c r="D26" i="13"/>
  <c r="E22" i="13" a="1"/>
  <c r="E22" i="13" s="1"/>
  <c r="BA21" i="13" a="1"/>
  <c r="BA21" i="13" s="1"/>
  <c r="C5" i="1"/>
  <c r="BA82" i="13"/>
  <c r="BA81" i="13"/>
  <c r="BA79" i="13"/>
  <c r="BA78" i="13"/>
  <c r="BA77" i="13"/>
  <c r="BA76" i="13"/>
  <c r="BA70" i="13"/>
  <c r="BA80" i="13" s="1"/>
  <c r="BA65" i="13"/>
  <c r="BA47" i="13"/>
  <c r="BA44" i="13"/>
  <c r="BA43" i="13"/>
  <c r="BA41" i="13"/>
  <c r="BA40" i="13"/>
  <c r="BA39" i="13"/>
  <c r="BA38" i="13"/>
  <c r="BA30" i="13"/>
  <c r="BA36" i="13" s="1"/>
  <c r="BA25" i="13"/>
  <c r="AU21" i="13" a="1"/>
  <c r="AU21" i="13" s="1"/>
  <c r="AZ82" i="13"/>
  <c r="AZ81" i="13"/>
  <c r="AZ79" i="13"/>
  <c r="AZ78" i="13"/>
  <c r="AZ77" i="13"/>
  <c r="AZ76" i="13"/>
  <c r="AZ70" i="13"/>
  <c r="AZ74" i="13" s="1"/>
  <c r="AZ65" i="13"/>
  <c r="AZ47" i="13"/>
  <c r="AZ44" i="13"/>
  <c r="AZ43" i="13"/>
  <c r="AZ41" i="13"/>
  <c r="AZ40" i="13"/>
  <c r="AZ39" i="13"/>
  <c r="AZ38" i="13"/>
  <c r="AZ30" i="13"/>
  <c r="AZ36" i="13" s="1"/>
  <c r="AZ25" i="13"/>
  <c r="AY82" i="13"/>
  <c r="AY81" i="13"/>
  <c r="AY79" i="13"/>
  <c r="AY78" i="13"/>
  <c r="AY77" i="13"/>
  <c r="AY76" i="13"/>
  <c r="AY70" i="13"/>
  <c r="AY80" i="13" s="1"/>
  <c r="AY65" i="13"/>
  <c r="AY47" i="13"/>
  <c r="AY44" i="13"/>
  <c r="AY43" i="13"/>
  <c r="AY41" i="13"/>
  <c r="AY40" i="13"/>
  <c r="AY39" i="13"/>
  <c r="AY38" i="13"/>
  <c r="AY30" i="13"/>
  <c r="AY36" i="13" s="1"/>
  <c r="AY25" i="13"/>
  <c r="AX82" i="13"/>
  <c r="AX81" i="13"/>
  <c r="AX79" i="13"/>
  <c r="AX78" i="13"/>
  <c r="AX77" i="13"/>
  <c r="AX76" i="13"/>
  <c r="AX70" i="13"/>
  <c r="AX80" i="13" s="1"/>
  <c r="AX65" i="13"/>
  <c r="AX47" i="13"/>
  <c r="AX44" i="13"/>
  <c r="AX43" i="13"/>
  <c r="AX41" i="13"/>
  <c r="AX40" i="13"/>
  <c r="AX39" i="13"/>
  <c r="AX38" i="13"/>
  <c r="AX30" i="13"/>
  <c r="AX36" i="13" s="1"/>
  <c r="AX25" i="13"/>
  <c r="AW82" i="13"/>
  <c r="AW81" i="13"/>
  <c r="AW79" i="13"/>
  <c r="AW78" i="13"/>
  <c r="AW77" i="13"/>
  <c r="AW76" i="13"/>
  <c r="AW70" i="13"/>
  <c r="AW74" i="13" s="1"/>
  <c r="AW65" i="13"/>
  <c r="AW47" i="13"/>
  <c r="AW44" i="13"/>
  <c r="AW43" i="13"/>
  <c r="AW41" i="13"/>
  <c r="AW40" i="13"/>
  <c r="AW39" i="13"/>
  <c r="AW38" i="13"/>
  <c r="AW30" i="13"/>
  <c r="AW36" i="13" s="1"/>
  <c r="AW25" i="13"/>
  <c r="AV82" i="13"/>
  <c r="AV81" i="13"/>
  <c r="AV79" i="13"/>
  <c r="AV78" i="13"/>
  <c r="AV77" i="13"/>
  <c r="AV76" i="13"/>
  <c r="AV70" i="13"/>
  <c r="AV80" i="13" s="1"/>
  <c r="AV65" i="13"/>
  <c r="AV47" i="13"/>
  <c r="AV44" i="13"/>
  <c r="AV43" i="13"/>
  <c r="AV41" i="13"/>
  <c r="AV40" i="13"/>
  <c r="AV39" i="13"/>
  <c r="AV38" i="13"/>
  <c r="AV30" i="13"/>
  <c r="AV42" i="13" s="1"/>
  <c r="AV25" i="13"/>
  <c r="AU82" i="13"/>
  <c r="AU81" i="13"/>
  <c r="AU79" i="13"/>
  <c r="AU78" i="13"/>
  <c r="AU77" i="13"/>
  <c r="AU76" i="13"/>
  <c r="AU70" i="13"/>
  <c r="AU80" i="13" s="1"/>
  <c r="AU65" i="13"/>
  <c r="AU47" i="13"/>
  <c r="AU44" i="13"/>
  <c r="AU43" i="13"/>
  <c r="AU41" i="13"/>
  <c r="AU40" i="13"/>
  <c r="AU39" i="13"/>
  <c r="AU38" i="13"/>
  <c r="AU30" i="13"/>
  <c r="AU36" i="13" s="1"/>
  <c r="AU25" i="13"/>
  <c r="X21" i="13" a="1"/>
  <c r="X21" i="13" s="1"/>
  <c r="AT82" i="13"/>
  <c r="AT81" i="13"/>
  <c r="AT79" i="13"/>
  <c r="AT78" i="13"/>
  <c r="AT77" i="13"/>
  <c r="AT76" i="13"/>
  <c r="AT70" i="13"/>
  <c r="AT74" i="13" s="1"/>
  <c r="AT65" i="13"/>
  <c r="AT47" i="13"/>
  <c r="AT44" i="13"/>
  <c r="AT43" i="13"/>
  <c r="AT41" i="13"/>
  <c r="AT40" i="13"/>
  <c r="AT39" i="13"/>
  <c r="AT38" i="13"/>
  <c r="AT30" i="13"/>
  <c r="AT36" i="13" s="1"/>
  <c r="AT25" i="13"/>
  <c r="AS82" i="13"/>
  <c r="AS81" i="13"/>
  <c r="AS79" i="13"/>
  <c r="AS78" i="13"/>
  <c r="AS77" i="13"/>
  <c r="AS76" i="13"/>
  <c r="AS70" i="13"/>
  <c r="AS80" i="13" s="1"/>
  <c r="AS65" i="13"/>
  <c r="AS47" i="13"/>
  <c r="AS44" i="13"/>
  <c r="AS43" i="13"/>
  <c r="AS41" i="13"/>
  <c r="AS40" i="13"/>
  <c r="AS39" i="13"/>
  <c r="AS38" i="13"/>
  <c r="AS30" i="13"/>
  <c r="AS42" i="13" s="1"/>
  <c r="AS25" i="13"/>
  <c r="AR82" i="13"/>
  <c r="AR81" i="13"/>
  <c r="AR79" i="13"/>
  <c r="AR78" i="13"/>
  <c r="AR77" i="13"/>
  <c r="AR76" i="13"/>
  <c r="AR70" i="13"/>
  <c r="AR80" i="13" s="1"/>
  <c r="AR65" i="13"/>
  <c r="AR47" i="13"/>
  <c r="AR44" i="13"/>
  <c r="AR43" i="13"/>
  <c r="AR41" i="13"/>
  <c r="AR40" i="13"/>
  <c r="AR39" i="13"/>
  <c r="AR38" i="13"/>
  <c r="AR30" i="13"/>
  <c r="AR36" i="13" s="1"/>
  <c r="AR25" i="13"/>
  <c r="AQ82" i="13"/>
  <c r="AQ81" i="13"/>
  <c r="AQ79" i="13"/>
  <c r="AQ78" i="13"/>
  <c r="AQ77" i="13"/>
  <c r="AQ76" i="13"/>
  <c r="AQ70" i="13"/>
  <c r="AQ80" i="13" s="1"/>
  <c r="AQ65" i="13"/>
  <c r="AQ47" i="13"/>
  <c r="AQ44" i="13"/>
  <c r="AQ43" i="13"/>
  <c r="AQ41" i="13"/>
  <c r="AQ40" i="13"/>
  <c r="AQ39" i="13"/>
  <c r="AQ38" i="13"/>
  <c r="AQ30" i="13"/>
  <c r="AQ42" i="13" s="1"/>
  <c r="AQ25" i="13"/>
  <c r="AP82" i="13"/>
  <c r="AP81" i="13"/>
  <c r="AP79" i="13"/>
  <c r="AP78" i="13"/>
  <c r="AP77" i="13"/>
  <c r="AP76" i="13"/>
  <c r="AP70" i="13"/>
  <c r="AP74" i="13" s="1"/>
  <c r="AP65" i="13"/>
  <c r="AP47" i="13"/>
  <c r="AP44" i="13"/>
  <c r="AP43" i="13"/>
  <c r="AP41" i="13"/>
  <c r="AP40" i="13"/>
  <c r="AP39" i="13"/>
  <c r="AP38" i="13"/>
  <c r="AP30" i="13"/>
  <c r="AP42" i="13" s="1"/>
  <c r="AP25" i="13"/>
  <c r="AO82" i="13"/>
  <c r="AO81" i="13"/>
  <c r="AO79" i="13"/>
  <c r="AO78" i="13"/>
  <c r="AO77" i="13"/>
  <c r="AO76" i="13"/>
  <c r="AO70" i="13"/>
  <c r="AO80" i="13" s="1"/>
  <c r="AO65" i="13"/>
  <c r="AO47" i="13"/>
  <c r="AO44" i="13"/>
  <c r="AO43" i="13"/>
  <c r="AO41" i="13"/>
  <c r="AO40" i="13"/>
  <c r="AO39" i="13"/>
  <c r="AO38" i="13"/>
  <c r="AO30" i="13"/>
  <c r="AO36" i="13" s="1"/>
  <c r="AO25" i="13"/>
  <c r="AN82" i="13"/>
  <c r="AN81" i="13"/>
  <c r="AN79" i="13"/>
  <c r="AN78" i="13"/>
  <c r="AN77" i="13"/>
  <c r="AN76" i="13"/>
  <c r="AN70" i="13"/>
  <c r="AN80" i="13" s="1"/>
  <c r="AN65" i="13"/>
  <c r="AN47" i="13"/>
  <c r="AN44" i="13"/>
  <c r="AN43" i="13"/>
  <c r="AN41" i="13"/>
  <c r="AN40" i="13"/>
  <c r="AN39" i="13"/>
  <c r="AN38" i="13"/>
  <c r="AN30" i="13"/>
  <c r="AN36" i="13" s="1"/>
  <c r="AN25" i="13"/>
  <c r="AM82" i="13"/>
  <c r="AM81" i="13"/>
  <c r="AM79" i="13"/>
  <c r="AM78" i="13"/>
  <c r="AM77" i="13"/>
  <c r="AM76" i="13"/>
  <c r="AM70" i="13"/>
  <c r="AM74" i="13" s="1"/>
  <c r="AM65" i="13"/>
  <c r="AM47" i="13"/>
  <c r="AM44" i="13"/>
  <c r="AM43" i="13"/>
  <c r="AM41" i="13"/>
  <c r="AM40" i="13"/>
  <c r="AM39" i="13"/>
  <c r="AM38" i="13"/>
  <c r="AM30" i="13"/>
  <c r="AM36" i="13" s="1"/>
  <c r="AM25" i="13"/>
  <c r="AL82" i="13"/>
  <c r="AL81" i="13"/>
  <c r="AL79" i="13"/>
  <c r="AL78" i="13"/>
  <c r="AL77" i="13"/>
  <c r="AL76" i="13"/>
  <c r="AL70" i="13"/>
  <c r="AL80" i="13" s="1"/>
  <c r="AL65" i="13"/>
  <c r="AL47" i="13"/>
  <c r="AL44" i="13"/>
  <c r="AL43" i="13"/>
  <c r="AL41" i="13"/>
  <c r="AL40" i="13"/>
  <c r="AL39" i="13"/>
  <c r="AL38" i="13"/>
  <c r="AL30" i="13"/>
  <c r="AL36" i="13" s="1"/>
  <c r="AL25" i="13"/>
  <c r="AK82" i="13"/>
  <c r="AK81" i="13"/>
  <c r="AK79" i="13"/>
  <c r="AK78" i="13"/>
  <c r="AK77" i="13"/>
  <c r="AK76" i="13"/>
  <c r="AK70" i="13"/>
  <c r="AK74" i="13" s="1"/>
  <c r="AK65" i="13"/>
  <c r="AK47" i="13"/>
  <c r="AK44" i="13"/>
  <c r="AK43" i="13"/>
  <c r="AK41" i="13"/>
  <c r="AK40" i="13"/>
  <c r="AK39" i="13"/>
  <c r="AK38" i="13"/>
  <c r="AK30" i="13"/>
  <c r="AK36" i="13" s="1"/>
  <c r="AK25" i="13"/>
  <c r="AJ82" i="13"/>
  <c r="AJ81" i="13"/>
  <c r="AJ79" i="13"/>
  <c r="AJ78" i="13"/>
  <c r="AJ77" i="13"/>
  <c r="AJ76" i="13"/>
  <c r="AJ70" i="13"/>
  <c r="AJ80" i="13" s="1"/>
  <c r="AJ65" i="13"/>
  <c r="AJ47" i="13"/>
  <c r="AJ44" i="13"/>
  <c r="AJ43" i="13"/>
  <c r="AJ41" i="13"/>
  <c r="AJ40" i="13"/>
  <c r="AJ39" i="13"/>
  <c r="AJ38" i="13"/>
  <c r="AJ30" i="13"/>
  <c r="AJ42" i="13" s="1"/>
  <c r="AJ25" i="13"/>
  <c r="AI82" i="13"/>
  <c r="AI81" i="13"/>
  <c r="AI79" i="13"/>
  <c r="AI78" i="13"/>
  <c r="AI77" i="13"/>
  <c r="AI76" i="13"/>
  <c r="AI70" i="13"/>
  <c r="AI74" i="13" s="1"/>
  <c r="AI65" i="13"/>
  <c r="AI47" i="13"/>
  <c r="AI44" i="13"/>
  <c r="AI43" i="13"/>
  <c r="AI41" i="13"/>
  <c r="AI40" i="13"/>
  <c r="AI39" i="13"/>
  <c r="AI38" i="13"/>
  <c r="AI30" i="13"/>
  <c r="AI42" i="13" s="1"/>
  <c r="AI25" i="13"/>
  <c r="AH82" i="13"/>
  <c r="AH81" i="13"/>
  <c r="AH79" i="13"/>
  <c r="AH78" i="13"/>
  <c r="AH77" i="13"/>
  <c r="AH76" i="13"/>
  <c r="AH70" i="13"/>
  <c r="AH80" i="13" s="1"/>
  <c r="AH65" i="13"/>
  <c r="AH47" i="13"/>
  <c r="AH44" i="13"/>
  <c r="AH43" i="13"/>
  <c r="AH41" i="13"/>
  <c r="AH40" i="13"/>
  <c r="AH39" i="13"/>
  <c r="AH38" i="13"/>
  <c r="AH30" i="13"/>
  <c r="AH36" i="13" s="1"/>
  <c r="AH25" i="13"/>
  <c r="AG82" i="13"/>
  <c r="AG81" i="13"/>
  <c r="AG79" i="13"/>
  <c r="AG78" i="13"/>
  <c r="AG77" i="13"/>
  <c r="AG76" i="13"/>
  <c r="AG70" i="13"/>
  <c r="AG80" i="13" s="1"/>
  <c r="AG65" i="13"/>
  <c r="AG47" i="13"/>
  <c r="AG44" i="13"/>
  <c r="AG43" i="13"/>
  <c r="AG41" i="13"/>
  <c r="AG40" i="13"/>
  <c r="AG39" i="13"/>
  <c r="AG38" i="13"/>
  <c r="AG30" i="13"/>
  <c r="AG36" i="13" s="1"/>
  <c r="AG25" i="13"/>
  <c r="AF82" i="13"/>
  <c r="AF81" i="13"/>
  <c r="AF79" i="13"/>
  <c r="AF78" i="13"/>
  <c r="AF77" i="13"/>
  <c r="AF76" i="13"/>
  <c r="AF70" i="13"/>
  <c r="AF80" i="13" s="1"/>
  <c r="AF65" i="13"/>
  <c r="AF47" i="13"/>
  <c r="AF44" i="13"/>
  <c r="AF43" i="13"/>
  <c r="AF41" i="13"/>
  <c r="AF40" i="13"/>
  <c r="AF39" i="13"/>
  <c r="AF38" i="13"/>
  <c r="AF30" i="13"/>
  <c r="AF42" i="13" s="1"/>
  <c r="AF25" i="13"/>
  <c r="AE82" i="13"/>
  <c r="AE81" i="13"/>
  <c r="AE79" i="13"/>
  <c r="AE78" i="13"/>
  <c r="AE77" i="13"/>
  <c r="AE76" i="13"/>
  <c r="AE70" i="13"/>
  <c r="AE80" i="13" s="1"/>
  <c r="AE65" i="13"/>
  <c r="AE47" i="13"/>
  <c r="AE44" i="13"/>
  <c r="AE43" i="13"/>
  <c r="AE41" i="13"/>
  <c r="AE40" i="13"/>
  <c r="AE39" i="13"/>
  <c r="AE38" i="13"/>
  <c r="AE30" i="13"/>
  <c r="AE42" i="13" s="1"/>
  <c r="AE25" i="13"/>
  <c r="AD82" i="13"/>
  <c r="AD81" i="13"/>
  <c r="AD79" i="13"/>
  <c r="AD78" i="13"/>
  <c r="AD77" i="13"/>
  <c r="AD76" i="13"/>
  <c r="AD70" i="13"/>
  <c r="AD74" i="13" s="1"/>
  <c r="AD65" i="13"/>
  <c r="AD47" i="13"/>
  <c r="AD44" i="13"/>
  <c r="AD43" i="13"/>
  <c r="AD41" i="13"/>
  <c r="AD40" i="13"/>
  <c r="AD39" i="13"/>
  <c r="AD38" i="13"/>
  <c r="AD30" i="13"/>
  <c r="AD36" i="13" s="1"/>
  <c r="AD25" i="13"/>
  <c r="AC82" i="13"/>
  <c r="AC81" i="13"/>
  <c r="AC79" i="13"/>
  <c r="AC78" i="13"/>
  <c r="AC77" i="13"/>
  <c r="AC76" i="13"/>
  <c r="AC70" i="13"/>
  <c r="AC80" i="13" s="1"/>
  <c r="AC65" i="13"/>
  <c r="AC47" i="13"/>
  <c r="AC44" i="13"/>
  <c r="AC43" i="13"/>
  <c r="AC41" i="13"/>
  <c r="AC40" i="13"/>
  <c r="AC39" i="13"/>
  <c r="AC38" i="13"/>
  <c r="AC30" i="13"/>
  <c r="AC36" i="13" s="1"/>
  <c r="AC25" i="13"/>
  <c r="AB82" i="13"/>
  <c r="AB81" i="13"/>
  <c r="AB79" i="13"/>
  <c r="AB78" i="13"/>
  <c r="AB77" i="13"/>
  <c r="AB76" i="13"/>
  <c r="AB70" i="13"/>
  <c r="AB74" i="13" s="1"/>
  <c r="AB65" i="13"/>
  <c r="AB47" i="13"/>
  <c r="AB44" i="13"/>
  <c r="AB43" i="13"/>
  <c r="AB41" i="13"/>
  <c r="AB40" i="13"/>
  <c r="AB39" i="13"/>
  <c r="AB38" i="13"/>
  <c r="AB30" i="13"/>
  <c r="AB36" i="13" s="1"/>
  <c r="AB25" i="13"/>
  <c r="AA82" i="13"/>
  <c r="AA81" i="13"/>
  <c r="AA79" i="13"/>
  <c r="AA78" i="13"/>
  <c r="AA77" i="13"/>
  <c r="AA76" i="13"/>
  <c r="AA70" i="13"/>
  <c r="AA80" i="13" s="1"/>
  <c r="AA65" i="13"/>
  <c r="AA47" i="13"/>
  <c r="AA44" i="13"/>
  <c r="AA43" i="13"/>
  <c r="AA41" i="13"/>
  <c r="AA40" i="13"/>
  <c r="AA39" i="13"/>
  <c r="AA38" i="13"/>
  <c r="AA30" i="13"/>
  <c r="AA36" i="13" s="1"/>
  <c r="AA25" i="13"/>
  <c r="Z82" i="13"/>
  <c r="Z81" i="13"/>
  <c r="Z79" i="13"/>
  <c r="Z78" i="13"/>
  <c r="Z77" i="13"/>
  <c r="Z76" i="13"/>
  <c r="Z70" i="13"/>
  <c r="Z80" i="13" s="1"/>
  <c r="Z65" i="13"/>
  <c r="Z47" i="13"/>
  <c r="Z44" i="13"/>
  <c r="Z43" i="13"/>
  <c r="Z41" i="13"/>
  <c r="Z40" i="13"/>
  <c r="Z39" i="13"/>
  <c r="Z38" i="13"/>
  <c r="Z30" i="13"/>
  <c r="Z42" i="13" s="1"/>
  <c r="Z25" i="13"/>
  <c r="Y82" i="13"/>
  <c r="Y81" i="13"/>
  <c r="Y79" i="13"/>
  <c r="Y78" i="13"/>
  <c r="Y77" i="13"/>
  <c r="Y76" i="13"/>
  <c r="Y70" i="13"/>
  <c r="Y74" i="13" s="1"/>
  <c r="Y65" i="13"/>
  <c r="Y47" i="13"/>
  <c r="Y44" i="13"/>
  <c r="Y43" i="13"/>
  <c r="Y41" i="13"/>
  <c r="Y40" i="13"/>
  <c r="Y39" i="13"/>
  <c r="Y38" i="13"/>
  <c r="Y30" i="13"/>
  <c r="Y36" i="13" s="1"/>
  <c r="Y25" i="13"/>
  <c r="X82" i="13"/>
  <c r="X81" i="13"/>
  <c r="X79" i="13"/>
  <c r="X78" i="13"/>
  <c r="X77" i="13"/>
  <c r="X76" i="13"/>
  <c r="X70" i="13"/>
  <c r="X74" i="13" s="1"/>
  <c r="X65" i="13"/>
  <c r="X47" i="13"/>
  <c r="X44" i="13"/>
  <c r="X43" i="13"/>
  <c r="X41" i="13"/>
  <c r="X40" i="13"/>
  <c r="X39" i="13"/>
  <c r="X38" i="13"/>
  <c r="X30" i="13"/>
  <c r="X36" i="13" s="1"/>
  <c r="X25" i="13"/>
  <c r="E21" i="13" a="1"/>
  <c r="E21" i="13" s="1"/>
  <c r="W82" i="13"/>
  <c r="W81" i="13"/>
  <c r="W79" i="13"/>
  <c r="W78" i="13"/>
  <c r="W77" i="13"/>
  <c r="W76" i="13"/>
  <c r="W70" i="13"/>
  <c r="W74" i="13" s="1"/>
  <c r="W65" i="13"/>
  <c r="W47" i="13"/>
  <c r="W44" i="13"/>
  <c r="W43" i="13"/>
  <c r="W41" i="13"/>
  <c r="W40" i="13"/>
  <c r="W39" i="13"/>
  <c r="W38" i="13"/>
  <c r="W30" i="13"/>
  <c r="W36" i="13" s="1"/>
  <c r="W25" i="13"/>
  <c r="V82" i="13"/>
  <c r="V81" i="13"/>
  <c r="V79" i="13"/>
  <c r="V78" i="13"/>
  <c r="V77" i="13"/>
  <c r="V76" i="13"/>
  <c r="V70" i="13"/>
  <c r="V74" i="13" s="1"/>
  <c r="V65" i="13"/>
  <c r="V47" i="13"/>
  <c r="V44" i="13"/>
  <c r="V43" i="13"/>
  <c r="V41" i="13"/>
  <c r="V40" i="13"/>
  <c r="V39" i="13"/>
  <c r="V38" i="13"/>
  <c r="V30" i="13"/>
  <c r="V36" i="13" s="1"/>
  <c r="V25" i="13"/>
  <c r="U82" i="13"/>
  <c r="U81" i="13"/>
  <c r="U79" i="13"/>
  <c r="U78" i="13"/>
  <c r="U77" i="13"/>
  <c r="U76" i="13"/>
  <c r="U70" i="13"/>
  <c r="U80" i="13" s="1"/>
  <c r="U65" i="13"/>
  <c r="U47" i="13"/>
  <c r="U44" i="13"/>
  <c r="U43" i="13"/>
  <c r="U41" i="13"/>
  <c r="U40" i="13"/>
  <c r="U39" i="13"/>
  <c r="U38" i="13"/>
  <c r="U30" i="13"/>
  <c r="U36" i="13" s="1"/>
  <c r="U25" i="13"/>
  <c r="T82" i="13"/>
  <c r="T81" i="13"/>
  <c r="T79" i="13"/>
  <c r="T78" i="13"/>
  <c r="T77" i="13"/>
  <c r="T76" i="13"/>
  <c r="T70" i="13"/>
  <c r="T80" i="13" s="1"/>
  <c r="T65" i="13"/>
  <c r="T47" i="13"/>
  <c r="T44" i="13"/>
  <c r="T43" i="13"/>
  <c r="T41" i="13"/>
  <c r="T40" i="13"/>
  <c r="T39" i="13"/>
  <c r="T38" i="13"/>
  <c r="T30" i="13"/>
  <c r="T36" i="13" s="1"/>
  <c r="T25" i="13"/>
  <c r="S82" i="13"/>
  <c r="S81" i="13"/>
  <c r="S79" i="13"/>
  <c r="S78" i="13"/>
  <c r="S77" i="13"/>
  <c r="S76" i="13"/>
  <c r="S70" i="13"/>
  <c r="S74" i="13" s="1"/>
  <c r="S65" i="13"/>
  <c r="S47" i="13"/>
  <c r="S44" i="13"/>
  <c r="S43" i="13"/>
  <c r="S41" i="13"/>
  <c r="S40" i="13"/>
  <c r="S39" i="13"/>
  <c r="S38" i="13"/>
  <c r="S30" i="13"/>
  <c r="S36" i="13" s="1"/>
  <c r="S25" i="13"/>
  <c r="R82" i="13"/>
  <c r="R81" i="13"/>
  <c r="R79" i="13"/>
  <c r="R78" i="13"/>
  <c r="R77" i="13"/>
  <c r="R76" i="13"/>
  <c r="R70" i="13"/>
  <c r="R80" i="13" s="1"/>
  <c r="R65" i="13"/>
  <c r="R47" i="13"/>
  <c r="R44" i="13"/>
  <c r="R43" i="13"/>
  <c r="R41" i="13"/>
  <c r="R40" i="13"/>
  <c r="R39" i="13"/>
  <c r="R38" i="13"/>
  <c r="R30" i="13"/>
  <c r="R42" i="13" s="1"/>
  <c r="R25" i="13"/>
  <c r="Q82" i="13"/>
  <c r="Q81" i="13"/>
  <c r="Q79" i="13"/>
  <c r="Q78" i="13"/>
  <c r="Q77" i="13"/>
  <c r="Q76" i="13"/>
  <c r="Q70" i="13"/>
  <c r="Q74" i="13" s="1"/>
  <c r="Q65" i="13"/>
  <c r="Q47" i="13"/>
  <c r="Q44" i="13"/>
  <c r="Q43" i="13"/>
  <c r="Q41" i="13"/>
  <c r="Q40" i="13"/>
  <c r="Q39" i="13"/>
  <c r="Q38" i="13"/>
  <c r="Q30" i="13"/>
  <c r="Q36" i="13" s="1"/>
  <c r="Q25" i="13"/>
  <c r="P82" i="13"/>
  <c r="P81" i="13"/>
  <c r="P79" i="13"/>
  <c r="P78" i="13"/>
  <c r="P77" i="13"/>
  <c r="P76" i="13"/>
  <c r="P70" i="13"/>
  <c r="P80" i="13" s="1"/>
  <c r="P65" i="13"/>
  <c r="P47" i="13"/>
  <c r="P44" i="13"/>
  <c r="P43" i="13"/>
  <c r="P41" i="13"/>
  <c r="P40" i="13"/>
  <c r="P39" i="13"/>
  <c r="P38" i="13"/>
  <c r="P30" i="13"/>
  <c r="P36" i="13" s="1"/>
  <c r="P25" i="13"/>
  <c r="O82" i="13"/>
  <c r="O81" i="13"/>
  <c r="O79" i="13"/>
  <c r="O78" i="13"/>
  <c r="O77" i="13"/>
  <c r="O76" i="13"/>
  <c r="O70" i="13"/>
  <c r="O80" i="13" s="1"/>
  <c r="O65" i="13"/>
  <c r="O47" i="13"/>
  <c r="O44" i="13"/>
  <c r="O43" i="13"/>
  <c r="O41" i="13"/>
  <c r="O40" i="13"/>
  <c r="O39" i="13"/>
  <c r="O38" i="13"/>
  <c r="O30" i="13"/>
  <c r="O36" i="13" s="1"/>
  <c r="O25" i="13"/>
  <c r="N82" i="13"/>
  <c r="N81" i="13"/>
  <c r="N79" i="13"/>
  <c r="N78" i="13"/>
  <c r="N77" i="13"/>
  <c r="N76" i="13"/>
  <c r="N70" i="13"/>
  <c r="N74" i="13" s="1"/>
  <c r="N65" i="13"/>
  <c r="N47" i="13"/>
  <c r="N44" i="13"/>
  <c r="N43" i="13"/>
  <c r="N41" i="13"/>
  <c r="N40" i="13"/>
  <c r="N39" i="13"/>
  <c r="N38" i="13"/>
  <c r="N30" i="13"/>
  <c r="N36" i="13" s="1"/>
  <c r="N25" i="13"/>
  <c r="M82" i="13"/>
  <c r="M81" i="13"/>
  <c r="M79" i="13"/>
  <c r="M78" i="13"/>
  <c r="M77" i="13"/>
  <c r="M76" i="13"/>
  <c r="M70" i="13"/>
  <c r="M74" i="13" s="1"/>
  <c r="M65" i="13"/>
  <c r="M47" i="13"/>
  <c r="M44" i="13"/>
  <c r="M43" i="13"/>
  <c r="M41" i="13"/>
  <c r="M40" i="13"/>
  <c r="M39" i="13"/>
  <c r="M38" i="13"/>
  <c r="M30" i="13"/>
  <c r="M36" i="13" s="1"/>
  <c r="M25" i="13"/>
  <c r="L82" i="13"/>
  <c r="L81" i="13"/>
  <c r="L79" i="13"/>
  <c r="L78" i="13"/>
  <c r="L77" i="13"/>
  <c r="L76" i="13"/>
  <c r="L70" i="13"/>
  <c r="L74" i="13" s="1"/>
  <c r="L65" i="13"/>
  <c r="L47" i="13"/>
  <c r="L44" i="13"/>
  <c r="L43" i="13"/>
  <c r="L41" i="13"/>
  <c r="L40" i="13"/>
  <c r="L39" i="13"/>
  <c r="L38" i="13"/>
  <c r="L30" i="13"/>
  <c r="L36" i="13" s="1"/>
  <c r="L25" i="13"/>
  <c r="K82" i="13"/>
  <c r="K81" i="13"/>
  <c r="K79" i="13"/>
  <c r="K78" i="13"/>
  <c r="K77" i="13"/>
  <c r="K76" i="13"/>
  <c r="K70" i="13"/>
  <c r="K74" i="13" s="1"/>
  <c r="K65" i="13"/>
  <c r="K47" i="13"/>
  <c r="K44" i="13"/>
  <c r="K43" i="13"/>
  <c r="K41" i="13"/>
  <c r="K40" i="13"/>
  <c r="K39" i="13"/>
  <c r="K38" i="13"/>
  <c r="K30" i="13"/>
  <c r="K36" i="13" s="1"/>
  <c r="K25" i="13"/>
  <c r="J82" i="13"/>
  <c r="J81" i="13"/>
  <c r="J79" i="13"/>
  <c r="J78" i="13"/>
  <c r="J77" i="13"/>
  <c r="J76" i="13"/>
  <c r="J70" i="13"/>
  <c r="J80" i="13" s="1"/>
  <c r="J65" i="13"/>
  <c r="J47" i="13"/>
  <c r="J44" i="13"/>
  <c r="J43" i="13"/>
  <c r="J41" i="13"/>
  <c r="J40" i="13"/>
  <c r="J39" i="13"/>
  <c r="J38" i="13"/>
  <c r="J30" i="13"/>
  <c r="J42" i="13" s="1"/>
  <c r="J25" i="13"/>
  <c r="I82" i="13"/>
  <c r="I81" i="13"/>
  <c r="I79" i="13"/>
  <c r="I78" i="13"/>
  <c r="I77" i="13"/>
  <c r="I76" i="13"/>
  <c r="I70" i="13"/>
  <c r="I74" i="13" s="1"/>
  <c r="I65" i="13"/>
  <c r="I47" i="13"/>
  <c r="I44" i="13"/>
  <c r="I43" i="13"/>
  <c r="I41" i="13"/>
  <c r="I40" i="13"/>
  <c r="I39" i="13"/>
  <c r="I38" i="13"/>
  <c r="I30" i="13"/>
  <c r="I36" i="13" s="1"/>
  <c r="I25" i="13"/>
  <c r="H82" i="13"/>
  <c r="H81" i="13"/>
  <c r="H79" i="13"/>
  <c r="H78" i="13"/>
  <c r="H77" i="13"/>
  <c r="H76" i="13"/>
  <c r="H70" i="13"/>
  <c r="H74" i="13" s="1"/>
  <c r="H65" i="13"/>
  <c r="H47" i="13"/>
  <c r="H44" i="13"/>
  <c r="H43" i="13"/>
  <c r="H41" i="13"/>
  <c r="H40" i="13"/>
  <c r="H39" i="13"/>
  <c r="H38" i="13"/>
  <c r="H30" i="13"/>
  <c r="H36" i="13" s="1"/>
  <c r="H25" i="13"/>
  <c r="G82" i="13"/>
  <c r="G81" i="13"/>
  <c r="G79" i="13"/>
  <c r="G78" i="13"/>
  <c r="G77" i="13"/>
  <c r="G76" i="13"/>
  <c r="G70" i="13"/>
  <c r="G80" i="13" s="1"/>
  <c r="G65" i="13"/>
  <c r="G47" i="13"/>
  <c r="G44" i="13"/>
  <c r="G43" i="13"/>
  <c r="G41" i="13"/>
  <c r="G40" i="13"/>
  <c r="G39" i="13"/>
  <c r="G38" i="13"/>
  <c r="G30" i="13"/>
  <c r="G36" i="13" s="1"/>
  <c r="G25" i="13"/>
  <c r="F82" i="13"/>
  <c r="F81" i="13"/>
  <c r="F79" i="13"/>
  <c r="F78" i="13"/>
  <c r="F77" i="13"/>
  <c r="F76" i="13"/>
  <c r="F70" i="13"/>
  <c r="F74" i="13" s="1"/>
  <c r="F65" i="13"/>
  <c r="F47" i="13"/>
  <c r="F44" i="13"/>
  <c r="F43" i="13"/>
  <c r="F41" i="13"/>
  <c r="F40" i="13"/>
  <c r="F39" i="13"/>
  <c r="F38" i="13"/>
  <c r="F30" i="13"/>
  <c r="F36" i="13" s="1"/>
  <c r="F25" i="13"/>
  <c r="E82" i="13"/>
  <c r="E81" i="13"/>
  <c r="E79" i="13"/>
  <c r="E78" i="13"/>
  <c r="E77" i="13"/>
  <c r="E76" i="13"/>
  <c r="E70" i="13"/>
  <c r="E80" i="13" s="1"/>
  <c r="E65" i="13"/>
  <c r="E61" i="13"/>
  <c r="E60" i="13"/>
  <c r="E59" i="13"/>
  <c r="E47" i="13"/>
  <c r="E44" i="13"/>
  <c r="E43" i="13"/>
  <c r="E41" i="13"/>
  <c r="E40" i="13"/>
  <c r="E39" i="13"/>
  <c r="E38" i="13"/>
  <c r="E30" i="13"/>
  <c r="E36" i="13" s="1"/>
  <c r="E25" i="13"/>
  <c r="D30" i="13" l="1"/>
  <c r="D42" i="13" s="1"/>
  <c r="D70" i="13"/>
  <c r="D43" i="13"/>
  <c r="D44" i="13"/>
  <c r="D39" i="13"/>
  <c r="AX74" i="13"/>
  <c r="D40" i="13"/>
  <c r="D38" i="13"/>
  <c r="D41" i="13"/>
  <c r="D36" i="13"/>
  <c r="BA42" i="13"/>
  <c r="BA74" i="13"/>
  <c r="AZ80" i="13"/>
  <c r="AZ42" i="13"/>
  <c r="AY74" i="13"/>
  <c r="AY42" i="13"/>
  <c r="AU74" i="13"/>
  <c r="AW80" i="13"/>
  <c r="AX42" i="13"/>
  <c r="AV36" i="13"/>
  <c r="AW42" i="13"/>
  <c r="AS36" i="13"/>
  <c r="AV74" i="13"/>
  <c r="AP36" i="13"/>
  <c r="AU42" i="13"/>
  <c r="AT80" i="13"/>
  <c r="AT42" i="13"/>
  <c r="AS74" i="13"/>
  <c r="AR74" i="13"/>
  <c r="AQ36" i="13"/>
  <c r="AR42" i="13"/>
  <c r="AN74" i="13"/>
  <c r="AQ74" i="13"/>
  <c r="AP80" i="13"/>
  <c r="AO74" i="13"/>
  <c r="AM80" i="13"/>
  <c r="AO42" i="13"/>
  <c r="AN42" i="13"/>
  <c r="AL74" i="13"/>
  <c r="AM42" i="13"/>
  <c r="AK80" i="13"/>
  <c r="AL42" i="13"/>
  <c r="AJ36" i="13"/>
  <c r="AK42" i="13"/>
  <c r="AI80" i="13"/>
  <c r="AJ74" i="13"/>
  <c r="AG42" i="13"/>
  <c r="AF36" i="13"/>
  <c r="AI36" i="13"/>
  <c r="AH74" i="13"/>
  <c r="AH42" i="13"/>
  <c r="AG74" i="13"/>
  <c r="AF74" i="13"/>
  <c r="AE36" i="13"/>
  <c r="AE74" i="13"/>
  <c r="AD80" i="13"/>
  <c r="AD42" i="13"/>
  <c r="AC74" i="13"/>
  <c r="AB80" i="13"/>
  <c r="AA74" i="13"/>
  <c r="AA42" i="13"/>
  <c r="AC42" i="13"/>
  <c r="AB42" i="13"/>
  <c r="Z36" i="13"/>
  <c r="Y80" i="13"/>
  <c r="Z74" i="13"/>
  <c r="Y42" i="13"/>
  <c r="W80" i="13"/>
  <c r="X80" i="13"/>
  <c r="X42" i="13"/>
  <c r="V80" i="13"/>
  <c r="W42" i="13"/>
  <c r="T74" i="13"/>
  <c r="V42" i="13"/>
  <c r="U74" i="13"/>
  <c r="U42" i="13"/>
  <c r="R36" i="13"/>
  <c r="S80" i="13"/>
  <c r="T42" i="13"/>
  <c r="S42" i="13"/>
  <c r="R74" i="13"/>
  <c r="Q80" i="13"/>
  <c r="O74" i="13"/>
  <c r="Q42" i="13"/>
  <c r="P74" i="13"/>
  <c r="P42" i="13"/>
  <c r="N80" i="13"/>
  <c r="O42" i="13"/>
  <c r="M80" i="13"/>
  <c r="N42" i="13"/>
  <c r="L80" i="13"/>
  <c r="M42" i="13"/>
  <c r="L42" i="13"/>
  <c r="J36" i="13"/>
  <c r="K80" i="13"/>
  <c r="K42" i="13"/>
  <c r="J74" i="13"/>
  <c r="G74" i="13"/>
  <c r="I80" i="13"/>
  <c r="H80" i="13"/>
  <c r="I42" i="13"/>
  <c r="H42" i="13"/>
  <c r="F80" i="13"/>
  <c r="G42" i="13"/>
  <c r="F42" i="13"/>
  <c r="E74" i="13"/>
  <c r="E42" i="13"/>
  <c r="D79" i="13" l="1"/>
  <c r="D82" i="13"/>
  <c r="D81" i="13"/>
  <c r="D78" i="13"/>
  <c r="D76" i="13"/>
  <c r="D77" i="13"/>
  <c r="D74" i="13" l="1"/>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E48" i="13" s="1"/>
  <c r="F18" i="1"/>
  <c r="F17" i="1"/>
  <c r="F16" i="1"/>
  <c r="F15" i="1"/>
  <c r="F14" i="1"/>
  <c r="F12" i="1"/>
  <c r="E57" i="13" l="1"/>
  <c r="E62" i="13" s="1"/>
  <c r="AY57" i="13"/>
  <c r="AY62" i="13" s="1"/>
  <c r="AT57" i="13"/>
  <c r="AT62" i="13" s="1"/>
  <c r="K57" i="13"/>
  <c r="K62" i="13" s="1"/>
  <c r="H57" i="13"/>
  <c r="H62" i="13" s="1"/>
  <c r="AK57" i="13"/>
  <c r="AK62" i="13" s="1"/>
  <c r="AF57" i="13"/>
  <c r="AF62" i="13" s="1"/>
  <c r="X57" i="13"/>
  <c r="X62" i="13" s="1"/>
  <c r="M57" i="13"/>
  <c r="M62" i="13" s="1"/>
  <c r="AQ57" i="13"/>
  <c r="AQ62" i="13" s="1"/>
  <c r="Z57" i="13"/>
  <c r="Z62" i="13" s="1"/>
  <c r="BA57" i="13"/>
  <c r="BA62" i="13" s="1"/>
  <c r="AX57" i="13"/>
  <c r="AX62" i="13" s="1"/>
  <c r="AV57" i="13"/>
  <c r="AV62" i="13" s="1"/>
  <c r="AS57" i="13"/>
  <c r="AS62" i="13" s="1"/>
  <c r="W57" i="13"/>
  <c r="W62" i="13" s="1"/>
  <c r="AP57" i="13"/>
  <c r="AP62" i="13" s="1"/>
  <c r="AM57" i="13"/>
  <c r="AM62" i="13" s="1"/>
  <c r="AH57" i="13"/>
  <c r="AH62" i="13" s="1"/>
  <c r="AE57" i="13"/>
  <c r="AE62" i="13" s="1"/>
  <c r="J57" i="13"/>
  <c r="J62" i="13" s="1"/>
  <c r="G57" i="13"/>
  <c r="G62" i="13" s="1"/>
  <c r="AZ57" i="13"/>
  <c r="AZ62" i="13" s="1"/>
  <c r="AU57" i="13"/>
  <c r="AU62" i="13" s="1"/>
  <c r="AR57" i="13"/>
  <c r="AR62" i="13" s="1"/>
  <c r="T57" i="13"/>
  <c r="T62" i="13" s="1"/>
  <c r="Q57" i="13"/>
  <c r="Q62" i="13" s="1"/>
  <c r="AW57" i="13"/>
  <c r="AW62" i="13" s="1"/>
  <c r="AO57" i="13"/>
  <c r="AO62" i="13" s="1"/>
  <c r="AL57" i="13"/>
  <c r="AL62" i="13" s="1"/>
  <c r="AD57" i="13"/>
  <c r="AD62" i="13" s="1"/>
  <c r="AB57" i="13"/>
  <c r="AB62" i="13" s="1"/>
  <c r="V57" i="13"/>
  <c r="V62" i="13" s="1"/>
  <c r="N57" i="13"/>
  <c r="N62" i="13" s="1"/>
  <c r="L57" i="13"/>
  <c r="L62" i="13" s="1"/>
  <c r="I57" i="13"/>
  <c r="I62" i="13" s="1"/>
  <c r="AI57" i="13"/>
  <c r="AI62" i="13" s="1"/>
  <c r="O57" i="13"/>
  <c r="O62" i="13" s="1"/>
  <c r="AN57" i="13"/>
  <c r="AN62" i="13" s="1"/>
  <c r="AJ57" i="13"/>
  <c r="AJ62" i="13" s="1"/>
  <c r="AG57" i="13"/>
  <c r="AG62" i="13" s="1"/>
  <c r="AA57" i="13"/>
  <c r="AA62" i="13" s="1"/>
  <c r="Y57" i="13"/>
  <c r="Y62" i="13" s="1"/>
  <c r="F57" i="13"/>
  <c r="F62" i="13" s="1"/>
  <c r="AC57" i="13"/>
  <c r="AC62" i="13" s="1"/>
  <c r="S57" i="13"/>
  <c r="S62" i="13" s="1"/>
  <c r="P57" i="13"/>
  <c r="P62" i="13" s="1"/>
  <c r="U57" i="13"/>
  <c r="U62" i="13" s="1"/>
  <c r="R57" i="13"/>
  <c r="R62" i="13" s="1"/>
  <c r="G42" i="1"/>
  <c r="E38" i="15" l="1"/>
  <c r="D26" i="15"/>
  <c r="D38" i="15" s="1"/>
  <c r="D30" i="15" l="1"/>
  <c r="D36" i="15" l="1"/>
  <c r="D42" i="15"/>
  <c r="G45" i="1" l="1"/>
  <c r="G46" i="1"/>
  <c r="E48" i="15"/>
  <c r="E57" i="15" s="1"/>
  <c r="E62" i="15" s="1"/>
</calcChain>
</file>

<file path=xl/sharedStrings.xml><?xml version="1.0" encoding="utf-8"?>
<sst xmlns="http://schemas.openxmlformats.org/spreadsheetml/2006/main" count="747" uniqueCount="355">
  <si>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</si>
  <si>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</si>
  <si>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</si>
  <si>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</si>
  <si>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</si>
  <si>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</si>
  <si>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</si>
  <si>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</si>
  <si>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</si>
  <si>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</si>
  <si>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</si>
  <si>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</si>
  <si>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</si>
  <si>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</si>
  <si>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</si>
  <si>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</si>
  <si>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</si>
  <si>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</si>
  <si>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</si>
  <si>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</si>
  <si>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</si>
  <si>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</si>
  <si>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</si>
  <si>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</si>
  <si>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</si>
  <si>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</si>
  <si>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</si>
  <si>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</si>
  <si>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</si>
  <si>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</si>
  <si>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</si>
  <si>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</si>
  <si>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</si>
  <si>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</si>
  <si>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</si>
  <si>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</si>
  <si>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</si>
  <si>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</si>
  <si>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</si>
  <si>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</si>
  <si>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</si>
  <si>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</si>
  <si>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</si>
  <si>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</si>
  <si>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</si>
  <si>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</si>
  <si>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</si>
  <si>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</si>
  <si>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</si>
  <si>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</si>
  <si>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</si>
  <si>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</si>
  <si>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</si>
  <si>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</si>
  <si>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</si>
  <si>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</si>
  <si>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</si>
  <si>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</si>
  <si>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</si>
  <si>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</si>
  <si>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</si>
  <si>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</si>
  <si>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</si>
  <si>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</si>
  <si>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</si>
  <si>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</si>
  <si>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</si>
  <si>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</si>
  <si>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</si>
  <si>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</si>
  <si>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</si>
  <si>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</si>
  <si>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</si>
  <si>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</si>
  <si>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</si>
  <si>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</si>
  <si>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</si>
  <si>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</si>
  <si>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</si>
  <si>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</si>
  <si>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</si>
  <si>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</si>
  <si>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</si>
  <si>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</si>
  <si>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</si>
  <si>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</si>
  <si>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</si>
  <si>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</si>
  <si>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</si>
  <si>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</si>
  <si>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</si>
  <si>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</si>
  <si>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</si>
  <si>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</si>
  <si>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</si>
  <si>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</si>
  <si>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</si>
  <si>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</si>
  <si>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</si>
  <si>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</si>
  <si>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</si>
  <si>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</si>
  <si>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</si>
  <si>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</si>
  <si>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</si>
  <si>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</si>
  <si>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</si>
  <si>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</si>
  <si>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</si>
  <si>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</si>
  <si>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</si>
  <si>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</si>
  <si>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</si>
  <si>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</si>
  <si>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</si>
  <si>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</si>
  <si>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</si>
  <si>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</si>
  <si>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</si>
  <si>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</si>
  <si>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</si>
  <si>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</si>
  <si>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</si>
  <si>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</si>
  <si>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</si>
  <si>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</si>
  <si>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</si>
  <si>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</si>
  <si>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</si>
  <si>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</si>
  <si>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</si>
  <si>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</si>
  <si>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</si>
  <si>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</si>
  <si>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</si>
  <si>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</si>
  <si>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</si>
  <si>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</si>
  <si>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</si>
  <si>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</si>
  <si>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</si>
  <si>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</si>
  <si>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</si>
  <si>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</si>
  <si>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</si>
  <si>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</si>
  <si>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</si>
  <si>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</si>
  <si>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</si>
  <si>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</si>
  <si>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</si>
  <si>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</si>
  <si>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</si>
  <si>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</si>
  <si>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</si>
  <si>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</si>
  <si>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</si>
  <si>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</si>
  <si>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</si>
  <si>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</si>
  <si>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</si>
  <si>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</si>
  <si>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</si>
  <si>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</si>
  <si>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</si>
  <si>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</si>
  <si>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</si>
  <si>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</si>
  <si>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</si>
  <si>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</si>
  <si>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</si>
  <si>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</si>
  <si>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</si>
  <si>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</si>
  <si>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</si>
  <si>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</si>
  <si>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</si>
  <si>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</si>
  <si>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</si>
  <si>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</si>
  <si>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</si>
  <si>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</si>
  <si>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</si>
  <si>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</si>
  <si>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</si>
  <si>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</si>
  <si>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</si>
  <si>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</si>
  <si>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</si>
  <si>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</si>
  <si>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</si>
  <si>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</si>
  <si>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</si>
  <si>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</si>
  <si>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</si>
  <si>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</si>
  <si>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</si>
  <si>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</si>
  <si>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</si>
  <si>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</si>
  <si>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</si>
  <si>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</si>
  <si>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</si>
  <si>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</si>
  <si>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</si>
  <si>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</si>
  <si>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</si>
  <si>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</si>
  <si>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</si>
  <si>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</si>
  <si>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</si>
  <si>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</si>
  <si>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</si>
  <si>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</si>
  <si>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</si>
  <si>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</si>
  <si>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</si>
  <si>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</si>
  <si>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</si>
  <si>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</si>
  <si>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</si>
  <si>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</si>
  <si>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</si>
  <si>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</si>
  <si>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</si>
  <si>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</si>
  <si>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</si>
  <si>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</si>
  <si>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</si>
  <si>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Kaiser Foundation Health Plan of Georgia</t>
  </si>
  <si>
    <t>89942</t>
  </si>
  <si>
    <t>Small Group</t>
  </si>
  <si>
    <t>KP Gold 0/0%/$30/S11</t>
  </si>
  <si>
    <t>KP Gold 1000 Ded/20 RxDed/S11</t>
  </si>
  <si>
    <t>KP Gold 2500/0%/$30/S11</t>
  </si>
  <si>
    <t>KP Gold Virtual Complete 3000/S11</t>
  </si>
  <si>
    <t>KP Gold 3500/0%/$30/S11</t>
  </si>
  <si>
    <t>KP Gold 4500/0%/$30/S11</t>
  </si>
  <si>
    <t>KP Silver 2700 Ded/450 RxDed/S11</t>
  </si>
  <si>
    <t>KP Silver HDHP 3500/20%/S11</t>
  </si>
  <si>
    <t>KP Silver 3700/35%/$50/S11</t>
  </si>
  <si>
    <t>KP Silver 4700/35%/$50/S11</t>
  </si>
  <si>
    <t>KP Silver HDHP 5000/20%/S11</t>
  </si>
  <si>
    <t>KP Silver Virtual Complete 5000/S11</t>
  </si>
  <si>
    <t>KP Silver 5500/0%/$50/S11</t>
  </si>
  <si>
    <t>KP Silver 6000/30%/$50/S11</t>
  </si>
  <si>
    <t>KP Bronze Virtual Complete 6300/S11</t>
  </si>
  <si>
    <t>KP Bronze HDHP 7250/0%/S11</t>
  </si>
  <si>
    <t>KP Gold 0/0/40/S10</t>
  </si>
  <si>
    <t>KP Gold 2250/20/30/S10</t>
  </si>
  <si>
    <t>KP Silver HRA 2500/30/S8</t>
  </si>
  <si>
    <t>89942GA0060002</t>
  </si>
  <si>
    <t>89942GA0060003</t>
  </si>
  <si>
    <t>89942GA0060012</t>
  </si>
  <si>
    <t>89942GA0060033</t>
  </si>
  <si>
    <t>89942GA0060027</t>
  </si>
  <si>
    <t>89942GA0060028</t>
  </si>
  <si>
    <t>89942GA0060005</t>
  </si>
  <si>
    <t>89942GA0060007</t>
  </si>
  <si>
    <t>89942GA0060013</t>
  </si>
  <si>
    <t>89942GA0060017</t>
  </si>
  <si>
    <t>89942GA0060025</t>
  </si>
  <si>
    <t>89942GA0060034</t>
  </si>
  <si>
    <t>89942GA0060029</t>
  </si>
  <si>
    <t>89942GA0060032</t>
  </si>
  <si>
    <t>89942GA0060006</t>
  </si>
  <si>
    <t>89942GA0060016</t>
  </si>
  <si>
    <t>89942GA0060030</t>
  </si>
  <si>
    <t>89942GA0060018</t>
  </si>
  <si>
    <t>89942GA0060011</t>
  </si>
  <si>
    <t>HMO</t>
  </si>
  <si>
    <t>HMO On Exchange</t>
  </si>
  <si>
    <t>89942GA006</t>
  </si>
  <si>
    <t>HMO Off Exchange</t>
  </si>
  <si>
    <t>89942GA008</t>
  </si>
  <si>
    <t>KP Platinum 0/0/20/S11</t>
  </si>
  <si>
    <t>KP Platinum 500/20/20/S11</t>
  </si>
  <si>
    <t>KP Gold 0/0/30/S11</t>
  </si>
  <si>
    <t>KP Gold 0/0/40/S11</t>
  </si>
  <si>
    <t>KP Gold 1000/20/30/S11</t>
  </si>
  <si>
    <t>KP Gold 2250/20/30/S11</t>
  </si>
  <si>
    <t>KP Gold 2000/0/30/S11</t>
  </si>
  <si>
    <t>KP Gold 2500/0/30/S11</t>
  </si>
  <si>
    <t>KP Gold Virtual Complete 3000/20/40/S11</t>
  </si>
  <si>
    <t>KP Gold 3500/0/30/S11</t>
  </si>
  <si>
    <t>KP Gold 3750/20/30/S11</t>
  </si>
  <si>
    <t>KP Gold 4500/0/30/S11</t>
  </si>
  <si>
    <t>KP Silver 2700/35/50/S11</t>
  </si>
  <si>
    <t>KP Silver HDHP 3500/20/S11</t>
  </si>
  <si>
    <t>KP Silver 3700/35/50/S11</t>
  </si>
  <si>
    <t>KP Silver 4700/35/50/S11</t>
  </si>
  <si>
    <t>KP Silver HDHP 5000/20/S11</t>
  </si>
  <si>
    <t>KP Silver Virtual Complete 5000/30/40/S11</t>
  </si>
  <si>
    <t>KP Silver 5500/0/50/S11</t>
  </si>
  <si>
    <t>KP Silver 6000/30/50/S11</t>
  </si>
  <si>
    <t>KP Bronze Virtual Complete 6300/20/60/S11</t>
  </si>
  <si>
    <t>KP Bronze HDHP 7250/0/S11</t>
  </si>
  <si>
    <t>KP BRONZE HDHP 6200/30/S8</t>
  </si>
  <si>
    <t>89942GA0080001</t>
  </si>
  <si>
    <t>89942GA0080026</t>
  </si>
  <si>
    <t>89942GA0080002</t>
  </si>
  <si>
    <t>89942GA0080030</t>
  </si>
  <si>
    <t>89942GA0080003</t>
  </si>
  <si>
    <t>89942GA0080018</t>
  </si>
  <si>
    <t>89942GA0080036</t>
  </si>
  <si>
    <t>89942GA0080012</t>
  </si>
  <si>
    <t>89942GA0080033</t>
  </si>
  <si>
    <t>89942GA0080027</t>
  </si>
  <si>
    <t>89942GA0080031</t>
  </si>
  <si>
    <t>89942GA0080028</t>
  </si>
  <si>
    <t>89942GA0080005</t>
  </si>
  <si>
    <t>89942GA0080007</t>
  </si>
  <si>
    <t>89942GA0080013</t>
  </si>
  <si>
    <t>89942GA0080017</t>
  </si>
  <si>
    <t>89942GA0080025</t>
  </si>
  <si>
    <t>89942GA0080034</t>
  </si>
  <si>
    <t>89942GA0080029</t>
  </si>
  <si>
    <t>89942GA0080032</t>
  </si>
  <si>
    <t>89942GA0080006</t>
  </si>
  <si>
    <t>89942GA0080016</t>
  </si>
  <si>
    <t>89942GA0080009</t>
  </si>
  <si>
    <t>KP Platinum 0/0/20/S11 KP Plus</t>
  </si>
  <si>
    <t>KP Gold 0/0/30/S11 KP Plus</t>
  </si>
  <si>
    <t>KP Gold 1000/20/30/S11 KP Plus</t>
  </si>
  <si>
    <t>KP Gold 2500/0/30/S11 KP Plus</t>
  </si>
  <si>
    <t>KP Silver 2700/35/50/S11 KP Plus</t>
  </si>
  <si>
    <t>KP Silver 3700/35/50/S11 KP Plus</t>
  </si>
  <si>
    <t>89942GA0160001</t>
  </si>
  <si>
    <t>89942GA0160002</t>
  </si>
  <si>
    <t>89942GA0160003</t>
  </si>
  <si>
    <t>89942GA0160004</t>
  </si>
  <si>
    <t>89942GA0160005</t>
  </si>
  <si>
    <t>89942GA0160006</t>
  </si>
  <si>
    <t>POS 1</t>
  </si>
  <si>
    <t>89942GA0110015</t>
  </si>
  <si>
    <t>POS</t>
  </si>
  <si>
    <t>HMO KP Plus</t>
  </si>
  <si>
    <t>89942GA016</t>
  </si>
  <si>
    <t>89942GA011</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</si>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</sst>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4">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xf numFmtId="168" fontId="0" fillId="0" borderId="11" xfId="0" applyNumberFormat="1" applyBorder="1" applyAlignment="1">
      <alignment horizontal="center"/>
    </xf>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11" xfId="0" applyFill="1" applyBorder="1" applyAlignment="1" applyProtection="1">
      <alignment horizontal="center"/>
      <protection locked="0"/>
    </xf>
    <xf numFmtId="10" fontId="0" fillId="0" borderId="12" xfId="0" applyNumberFormat="1" applyBorder="1" applyAlignment="1">
      <alignment horizontal="center"/>
    </xf>
    <xf numFmtId="10" fontId="0" fillId="0" borderId="37" xfId="0" applyNumberFormat="1" applyBorder="1" applyAlignment="1">
      <alignment horizontal="center"/>
    </xf>
    <xf numFmtId="10" fontId="0" fillId="0" borderId="11" xfId="0" applyNumberFormat="1" applyBorder="1" applyAlignment="1">
      <alignment horizontal="center"/>
    </xf>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1038225</xdr:colOff>
          <xdr:row>41</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40</xdr:row>
          <xdr:rowOff>0</xdr:rowOff>
        </xdr:from>
        <xdr:to>
          <xdr:col>6</xdr:col>
          <xdr:colOff>1238250</xdr:colOff>
          <xdr:row>41</xdr:row>
          <xdr:rowOff>85725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40</xdr:row>
          <xdr:rowOff>0</xdr:rowOff>
        </xdr:from>
        <xdr:to>
          <xdr:col>7</xdr:col>
          <xdr:colOff>409575</xdr:colOff>
          <xdr:row>41</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40</xdr:row>
          <xdr:rowOff>0</xdr:rowOff>
        </xdr:from>
        <xdr:to>
          <xdr:col>6</xdr:col>
          <xdr:colOff>209550</xdr:colOff>
          <xdr:row>41</xdr:row>
          <xdr:rowOff>85725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53</xdr:row>
          <xdr:rowOff>0</xdr:rowOff>
        </xdr:from>
        <xdr:to>
          <xdr:col>8</xdr:col>
          <xdr:colOff>1000125</xdr:colOff>
          <xdr:row>54</xdr:row>
          <xdr:rowOff>85725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xdr:colOff>
          <xdr:row>53</xdr:row>
          <xdr:rowOff>0</xdr:rowOff>
        </xdr:from>
        <xdr:to>
          <xdr:col>11</xdr:col>
          <xdr:colOff>28575</xdr:colOff>
          <xdr:row>54</xdr:row>
          <xdr:rowOff>85725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53</xdr:row>
          <xdr:rowOff>0</xdr:rowOff>
        </xdr:from>
        <xdr:to>
          <xdr:col>12</xdr:col>
          <xdr:colOff>38100</xdr:colOff>
          <xdr:row>54</xdr:row>
          <xdr:rowOff>85725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53</xdr:row>
          <xdr:rowOff>0</xdr:rowOff>
        </xdr:from>
        <xdr:to>
          <xdr:col>10</xdr:col>
          <xdr:colOff>9525</xdr:colOff>
          <xdr:row>54</xdr:row>
          <xdr:rowOff>85725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1000125</xdr:colOff>
          <xdr:row>0</xdr:row>
          <xdr:rowOff>0</xdr:rowOff>
        </xdr:from>
        <xdr:to>
          <xdr:col>49</xdr:col>
          <xdr:colOff>981075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0</xdr:row>
          <xdr:rowOff>0</xdr:rowOff>
        </xdr:from>
        <xdr:to>
          <xdr:col>13</xdr:col>
          <xdr:colOff>19050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opLeftCell="D41" zoomScaleNormal="100" zoomScaleSheetLayoutView="40" workbookViewId="0">
      <selection activeCell="B50" sqref="B50:Q50"/>
    </sheetView>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t="s">
        <v>230</v>
      </c>
      <c r="D4" s="207" t="s">
        <v>7</v>
      </c>
      <c r="E4" s="213" t="s">
        <v>37</v>
      </c>
      <c r="F4" s="4"/>
      <c r="G4" s="4"/>
      <c r="H4" s="4"/>
      <c r="K4" s="98" t="s">
        <v>216</v>
      </c>
    </row>
    <row r="5" spans="1:29" ht="15.75">
      <c r="B5" s="96" t="s">
        <v>14</v>
      </c>
      <c r="C5" s="219">
        <f>MAX('Wksh 2 - Plan Product Info'!E19:BA19)</f>
        <v>45292</v>
      </c>
      <c r="D5" s="207" t="s">
        <v>9</v>
      </c>
      <c r="E5" s="213" t="s">
        <v>231</v>
      </c>
    </row>
    <row r="6" spans="1:29" ht="18.75">
      <c r="B6" s="3"/>
      <c r="C6" s="3"/>
      <c r="D6" s="3"/>
      <c r="E6" s="3"/>
      <c r="F6" s="4"/>
    </row>
    <row r="7" spans="1:29">
      <c r="F7" s="2"/>
    </row>
    <row r="8" spans="1:29">
      <c r="B8" s="235" t="s">
        <v>3</v>
      </c>
      <c r="C8" s="236"/>
      <c r="D8" s="236"/>
      <c r="E8" s="236"/>
      <c r="F8" s="236"/>
      <c r="G8" s="236"/>
      <c r="H8" s="236"/>
      <c r="I8" s="236"/>
      <c r="J8" s="236"/>
      <c r="K8" s="236"/>
      <c r="L8" s="236"/>
      <c r="M8" s="236"/>
      <c r="N8" s="236"/>
      <c r="O8" s="236"/>
      <c r="P8" s="236"/>
      <c r="Q8" s="237"/>
      <c r="R8"/>
      <c r="S8"/>
      <c r="T8"/>
      <c r="U8"/>
      <c r="V8"/>
      <c r="W8"/>
      <c r="X8"/>
      <c r="Y8"/>
    </row>
    <row r="9" spans="1:29">
      <c r="B9" s="238"/>
      <c r="C9" s="239"/>
      <c r="D9" s="239"/>
      <c r="E9" s="239"/>
      <c r="F9" s="239"/>
      <c r="G9" s="239"/>
      <c r="H9" s="239"/>
      <c r="I9" s="239"/>
      <c r="J9" s="239"/>
      <c r="K9" s="239"/>
      <c r="L9" s="239"/>
      <c r="M9" s="239"/>
      <c r="N9" s="239"/>
      <c r="O9" s="239"/>
      <c r="P9" s="239"/>
      <c r="Q9" s="240"/>
      <c r="R9"/>
      <c r="S9"/>
      <c r="T9"/>
      <c r="U9"/>
      <c r="V9"/>
      <c r="W9"/>
      <c r="X9"/>
      <c r="Y9"/>
    </row>
    <row r="10" spans="1:29">
      <c r="B10" s="19"/>
      <c r="F10" s="2"/>
    </row>
    <row r="11" spans="1:29">
      <c r="B11" s="28" t="s">
        <v>85</v>
      </c>
      <c r="E11" s="29"/>
      <c r="F11" s="2"/>
    </row>
    <row r="12" spans="1:29">
      <c r="B12" s="75" t="s">
        <v>21</v>
      </c>
      <c r="D12" s="214">
        <v>44562</v>
      </c>
      <c r="E12" s="31" t="s">
        <v>11</v>
      </c>
      <c r="F12" s="84">
        <f>EDATE(D12,12)-1</f>
        <v>44926</v>
      </c>
      <c r="H12" s="33"/>
      <c r="I12" s="32"/>
    </row>
    <row r="13" spans="1:29">
      <c r="B13" s="30"/>
      <c r="E13" s="69" t="s">
        <v>2</v>
      </c>
      <c r="F13" s="34" t="s">
        <v>23</v>
      </c>
      <c r="G13"/>
      <c r="J13"/>
      <c r="P13"/>
      <c r="Q13"/>
      <c r="U13"/>
      <c r="V13"/>
      <c r="W13"/>
      <c r="X13"/>
      <c r="Y13"/>
      <c r="AC13" s="35"/>
    </row>
    <row r="14" spans="1:29">
      <c r="B14" s="244" t="s">
        <v>86</v>
      </c>
      <c r="C14" s="245"/>
      <c r="D14" s="246"/>
      <c r="E14" s="102">
        <v>37368192.479999997</v>
      </c>
      <c r="F14" s="103">
        <f>E14/E19</f>
        <v>459.84829908198168</v>
      </c>
      <c r="G14" s="36"/>
      <c r="J14"/>
      <c r="P14"/>
      <c r="Q14"/>
      <c r="U14"/>
      <c r="V14"/>
      <c r="W14"/>
      <c r="X14"/>
      <c r="Y14"/>
      <c r="AC14" s="35"/>
    </row>
    <row r="15" spans="1:29">
      <c r="B15" s="247" t="s">
        <v>87</v>
      </c>
      <c r="C15" s="247"/>
      <c r="D15" s="247"/>
      <c r="E15" s="102">
        <v>0</v>
      </c>
      <c r="F15" s="104">
        <f>E15/E19</f>
        <v>0</v>
      </c>
      <c r="G15" s="36"/>
      <c r="J15"/>
      <c r="P15"/>
      <c r="Q15"/>
      <c r="U15"/>
      <c r="V15"/>
      <c r="W15"/>
      <c r="X15"/>
      <c r="Y15"/>
      <c r="AC15" s="35"/>
    </row>
    <row r="16" spans="1:29">
      <c r="B16" s="247" t="s">
        <v>88</v>
      </c>
      <c r="C16" s="247"/>
      <c r="D16" s="247"/>
      <c r="E16" s="102">
        <v>31014005.84</v>
      </c>
      <c r="F16" s="104">
        <f>E16/E19</f>
        <v>381.65447367773373</v>
      </c>
      <c r="G16" s="36"/>
      <c r="J16"/>
      <c r="P16"/>
      <c r="Q16"/>
      <c r="U16"/>
      <c r="V16"/>
      <c r="W16"/>
      <c r="X16"/>
      <c r="Y16"/>
      <c r="AC16" s="35"/>
    </row>
    <row r="17" spans="2:31">
      <c r="B17" s="247" t="s">
        <v>89</v>
      </c>
      <c r="C17" s="247"/>
      <c r="D17" s="247"/>
      <c r="E17" s="105">
        <v>-11610000</v>
      </c>
      <c r="F17" s="106">
        <f>E17/E19</f>
        <v>-142.8712067140853</v>
      </c>
      <c r="G17" s="37"/>
      <c r="H17" s="38"/>
      <c r="I17" s="32"/>
      <c r="J17"/>
      <c r="O17" s="39"/>
      <c r="P17"/>
      <c r="Q17"/>
      <c r="U17"/>
      <c r="V17"/>
      <c r="W17"/>
      <c r="X17"/>
      <c r="Y17"/>
      <c r="AC17" s="35"/>
    </row>
    <row r="18" spans="2:31">
      <c r="B18" s="247" t="s">
        <v>90</v>
      </c>
      <c r="C18" s="247"/>
      <c r="D18" s="247"/>
      <c r="E18" s="105">
        <v>50760173.420000002</v>
      </c>
      <c r="F18" s="107">
        <f>E18/E19</f>
        <v>624.64834018360364</v>
      </c>
      <c r="G18" s="40"/>
      <c r="H18" s="38"/>
      <c r="I18" s="32"/>
      <c r="J18"/>
      <c r="P18"/>
      <c r="Q18"/>
      <c r="U18"/>
      <c r="V18"/>
      <c r="W18"/>
      <c r="X18"/>
      <c r="Y18"/>
      <c r="AC18" s="35"/>
    </row>
    <row r="19" spans="2:31">
      <c r="B19" s="247" t="s">
        <v>22</v>
      </c>
      <c r="C19" s="247"/>
      <c r="D19" s="247"/>
      <c r="E19" s="215">
        <f>'Wksh 2 - Plan Product Info'!D33</f>
        <v>81262</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41" t="s">
        <v>92</v>
      </c>
      <c r="E22" s="242"/>
      <c r="F22" s="243" t="s">
        <v>93</v>
      </c>
      <c r="G22" s="243"/>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86</v>
      </c>
      <c r="D24" s="122">
        <v>1.0409999999999999</v>
      </c>
      <c r="E24" s="125">
        <v>0.96499999999999997</v>
      </c>
      <c r="F24" s="122">
        <v>1.091</v>
      </c>
      <c r="G24" s="127">
        <v>1.0049999999999999</v>
      </c>
      <c r="H24" s="131">
        <f t="shared" ref="H24:H29" si="0">PRODUCT(C24:G24)</f>
        <v>94.725587268449985</v>
      </c>
      <c r="I24" s="38"/>
      <c r="J24" s="32"/>
      <c r="K24" s="38"/>
      <c r="L24"/>
      <c r="R24"/>
      <c r="S24"/>
      <c r="W24"/>
      <c r="X24"/>
      <c r="Y24"/>
      <c r="Z24"/>
      <c r="AA24"/>
      <c r="AE24" s="35"/>
    </row>
    <row r="25" spans="2:31">
      <c r="B25" s="111" t="s">
        <v>19</v>
      </c>
      <c r="C25" s="130">
        <v>78.55</v>
      </c>
      <c r="D25" s="123">
        <v>1.0049999999999999</v>
      </c>
      <c r="E25" s="124">
        <v>1</v>
      </c>
      <c r="F25" s="123">
        <v>1.091</v>
      </c>
      <c r="G25" s="126">
        <v>1.0049999999999999</v>
      </c>
      <c r="H25" s="132">
        <f t="shared" si="0"/>
        <v>86.557172951249981</v>
      </c>
      <c r="I25" s="38"/>
      <c r="J25" s="32"/>
      <c r="K25" s="38"/>
      <c r="L25"/>
      <c r="R25"/>
      <c r="S25"/>
      <c r="W25"/>
      <c r="X25"/>
      <c r="Y25"/>
      <c r="Z25"/>
      <c r="AA25"/>
      <c r="AE25" s="35"/>
    </row>
    <row r="26" spans="2:31">
      <c r="B26" s="111" t="s">
        <v>0</v>
      </c>
      <c r="C26" s="130">
        <v>218.87</v>
      </c>
      <c r="D26" s="123">
        <v>1.022</v>
      </c>
      <c r="E26" s="124">
        <v>0.98</v>
      </c>
      <c r="F26" s="123">
        <v>1.091</v>
      </c>
      <c r="G26" s="128">
        <v>1.0049999999999999</v>
      </c>
      <c r="H26" s="132">
        <f t="shared" si="0"/>
        <v>240.35547637512599</v>
      </c>
      <c r="I26" s="38"/>
      <c r="J26" s="32"/>
      <c r="K26" s="38"/>
      <c r="L26"/>
      <c r="R26"/>
      <c r="S26"/>
      <c r="W26"/>
      <c r="X26"/>
      <c r="Y26"/>
      <c r="Z26"/>
      <c r="AA26"/>
      <c r="AE26" s="35"/>
    </row>
    <row r="27" spans="2:31">
      <c r="B27" s="111" t="s">
        <v>18</v>
      </c>
      <c r="C27" s="130">
        <v>8.83</v>
      </c>
      <c r="D27" s="123">
        <v>1.0660000000000001</v>
      </c>
      <c r="E27" s="124">
        <v>0.94299999999999995</v>
      </c>
      <c r="F27" s="123">
        <v>1.0860000000000001</v>
      </c>
      <c r="G27" s="126">
        <v>1.0089999999999999</v>
      </c>
      <c r="H27" s="132">
        <f t="shared" si="0"/>
        <v>9.7263656549919588</v>
      </c>
      <c r="I27" s="38"/>
      <c r="J27" s="32"/>
      <c r="K27" s="38"/>
      <c r="L27"/>
      <c r="R27"/>
      <c r="S27"/>
      <c r="W27"/>
      <c r="X27"/>
      <c r="Y27"/>
      <c r="Z27"/>
      <c r="AA27"/>
      <c r="AE27" s="35"/>
    </row>
    <row r="28" spans="2:31">
      <c r="B28" s="111" t="s">
        <v>1</v>
      </c>
      <c r="C28" s="130">
        <v>0</v>
      </c>
      <c r="D28" s="120">
        <v>0</v>
      </c>
      <c r="E28" s="121">
        <v>0</v>
      </c>
      <c r="F28" s="123">
        <v>0</v>
      </c>
      <c r="G28" s="126">
        <v>0</v>
      </c>
      <c r="H28" s="132">
        <f t="shared" si="0"/>
        <v>0</v>
      </c>
      <c r="I28" s="38"/>
      <c r="J28" s="32"/>
      <c r="K28" s="38"/>
      <c r="L28"/>
      <c r="R28"/>
      <c r="S28"/>
      <c r="W28"/>
      <c r="X28"/>
      <c r="Y28"/>
      <c r="Z28"/>
      <c r="AA28"/>
      <c r="AE28" s="35"/>
    </row>
    <row r="29" spans="2:31" ht="15.75" thickBot="1">
      <c r="B29" s="111" t="s">
        <v>20</v>
      </c>
      <c r="C29" s="114">
        <v>65.91</v>
      </c>
      <c r="D29" s="119">
        <v>1.0049999999999999</v>
      </c>
      <c r="E29" s="118">
        <v>1</v>
      </c>
      <c r="F29" s="119">
        <v>1.0860000000000001</v>
      </c>
      <c r="G29" s="85">
        <v>1.0089999999999999</v>
      </c>
      <c r="H29" s="116">
        <f t="shared" si="0"/>
        <v>72.583576661699979</v>
      </c>
      <c r="I29" s="38"/>
      <c r="J29" s="32"/>
      <c r="K29" s="38"/>
      <c r="L29"/>
      <c r="R29"/>
      <c r="S29"/>
      <c r="W29"/>
      <c r="X29"/>
      <c r="Y29"/>
      <c r="Z29"/>
      <c r="AA29"/>
      <c r="AE29" s="35"/>
    </row>
    <row r="30" spans="2:31" ht="15.75" thickBot="1">
      <c r="B30" s="112" t="s">
        <v>2</v>
      </c>
      <c r="C30" s="113">
        <f>SUM(C24:C29)</f>
        <v>458.15999999999997</v>
      </c>
      <c r="D30" s="232"/>
      <c r="E30" s="233"/>
      <c r="F30" s="233"/>
      <c r="G30" s="233"/>
      <c r="H30" s="144">
        <f>SUM(H24:H29)</f>
        <v>503.94817891151791</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1.0029999999999999</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1.002</v>
      </c>
      <c r="G34" s="40"/>
      <c r="H34" s="38"/>
      <c r="I34" s="38"/>
      <c r="J34" s="32"/>
      <c r="K34" s="38"/>
      <c r="L34"/>
      <c r="R34"/>
      <c r="S34"/>
      <c r="W34"/>
      <c r="X34"/>
      <c r="Y34"/>
      <c r="Z34"/>
      <c r="AA34"/>
      <c r="AE34" s="35"/>
    </row>
    <row r="35" spans="2:31">
      <c r="B35" s="223" t="s">
        <v>17</v>
      </c>
      <c r="C35" s="224"/>
      <c r="D35" s="224"/>
      <c r="E35" s="225"/>
      <c r="F35" s="136">
        <v>1.002</v>
      </c>
      <c r="G35" s="40"/>
      <c r="H35" s="38"/>
      <c r="I35" s="38"/>
      <c r="J35" s="32"/>
      <c r="K35" s="38"/>
      <c r="L35"/>
      <c r="R35"/>
      <c r="S35"/>
      <c r="W35"/>
      <c r="X35"/>
      <c r="Y35"/>
      <c r="Z35"/>
      <c r="AA35"/>
      <c r="AE35" s="35"/>
    </row>
    <row r="36" spans="2:31">
      <c r="B36" s="223" t="s">
        <v>220</v>
      </c>
      <c r="C36" s="224"/>
      <c r="D36" s="137">
        <f>IF(C5&lt;&gt;"",C5,"")</f>
        <v>45292</v>
      </c>
      <c r="E36" s="138"/>
      <c r="F36" s="135">
        <f>H30*PRODUCT(F32:F35)</f>
        <v>507.48388538213919</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f>IF(C5&lt;&gt;"",C5,"")</f>
        <v>45292</v>
      </c>
      <c r="E42" s="139"/>
      <c r="F42" s="135">
        <f>ROUND(F39*F36+(1-F39)*F38,2)</f>
        <v>507.48</v>
      </c>
      <c r="G42" s="140">
        <f>F42*F48</f>
        <v>35791041.960000001</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-241.24</v>
      </c>
      <c r="G44" s="140">
        <f>F44*F48</f>
        <v>-17013933.48</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748.72</v>
      </c>
      <c r="G46" s="143">
        <f>F46*F48</f>
        <v>52804975.440000005</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70527</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4" t="s">
        <v>148</v>
      </c>
      <c r="C50" s="234"/>
      <c r="D50" s="234"/>
      <c r="E50" s="234"/>
      <c r="F50" s="234"/>
      <c r="G50" s="234"/>
      <c r="H50" s="234"/>
      <c r="I50" s="234"/>
      <c r="J50" s="234"/>
      <c r="K50" s="234"/>
      <c r="L50" s="234"/>
      <c r="M50" s="234"/>
      <c r="N50" s="234"/>
      <c r="O50" s="234"/>
      <c r="P50" s="234"/>
      <c r="Q50" s="234"/>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4"/>
      <c r="B112" s="234"/>
      <c r="C112" s="234"/>
      <c r="D112" s="234"/>
      <c r="E112" s="234"/>
      <c r="F112" s="234"/>
      <c r="G112" s="234"/>
      <c r="H112" s="234"/>
      <c r="I112" s="234"/>
      <c r="J112" s="234"/>
      <c r="K112" s="234"/>
      <c r="L112" s="234"/>
      <c r="M112" s="234"/>
      <c r="N112" s="234"/>
      <c r="O112" s="234"/>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2dstZZdOPSlzg+WDDcu5edV4919Q51NDLgfgWWW/0UT3nH/aIBSnnlE7gkEPeXzCflvOI3dpBdjynNSwQLzL5w==" saltValue="WbhilTiIc4qRRjkCmcw/Zg=="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40</xdr:row>
                    <xdr:rowOff>0</xdr:rowOff>
                  </from>
                  <to>
                    <xdr:col>5</xdr:col>
                    <xdr:colOff>1038225</xdr:colOff>
                    <xdr:row>41</xdr:row>
                    <xdr:rowOff>85725</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180975</xdr:colOff>
                    <xdr:row>40</xdr:row>
                    <xdr:rowOff>0</xdr:rowOff>
                  </from>
                  <to>
                    <xdr:col>6</xdr:col>
                    <xdr:colOff>1238250</xdr:colOff>
                    <xdr:row>41</xdr:row>
                    <xdr:rowOff>85725</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1285875</xdr:colOff>
                    <xdr:row>40</xdr:row>
                    <xdr:rowOff>0</xdr:rowOff>
                  </from>
                  <to>
                    <xdr:col>7</xdr:col>
                    <xdr:colOff>409575</xdr:colOff>
                    <xdr:row>41</xdr:row>
                    <xdr:rowOff>85725</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40</xdr:row>
                    <xdr:rowOff>0</xdr:rowOff>
                  </from>
                  <to>
                    <xdr:col>6</xdr:col>
                    <xdr:colOff>209550</xdr:colOff>
                    <xdr:row>41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E83"/>
  <sheetViews>
    <sheetView showGridLines="0" tabSelected="1" topLeftCell="D63" zoomScaleNormal="100" workbookViewId="0">
      <selection activeCell="E71" sqref="E71"/>
    </sheetView>
  </sheetViews>
  <sheetFormatPr defaultColWidth="8.85546875" defaultRowHeight="15" zeroHeight="1"/>
  <cols>
    <col min="1" max="1" width="17.7109375" customWidth="1"/>
    <col min="2" max="2" width="6.7109375" customWidth="1"/>
    <col min="3" max="3" width="41.7109375" customWidth="1"/>
    <col min="4" max="4" width="14.5703125" customWidth="1"/>
    <col min="5" max="53" width="15.5703125" customWidth="1"/>
    <col min="54" max="59" width="15.7109375" customWidth="1"/>
  </cols>
  <sheetData>
    <row r="1" spans="1:53" ht="18.600000000000001" customHeight="1">
      <c r="A1" s="100" t="s">
        <v>226</v>
      </c>
      <c r="C1" s="16" t="s">
        <v>221</v>
      </c>
      <c r="D1" s="16"/>
      <c r="E1" s="3"/>
      <c r="F1" s="3"/>
      <c r="G1" s="3"/>
      <c r="H1" s="4"/>
      <c r="I1" s="1"/>
      <c r="J1" s="1"/>
      <c r="K1" s="1"/>
      <c r="L1" s="1"/>
      <c r="M1" s="1"/>
      <c r="N1" s="1"/>
      <c r="O1" s="1"/>
      <c r="P1" s="98" t="s">
        <v>213</v>
      </c>
      <c r="Q1" s="1"/>
      <c r="S1" s="1"/>
      <c r="T1" s="1"/>
      <c r="U1" s="1"/>
    </row>
    <row r="2" spans="1:53" ht="18.75">
      <c r="C2" s="3"/>
      <c r="D2" s="3"/>
      <c r="E2" s="3"/>
      <c r="F2" s="3"/>
      <c r="G2" s="3"/>
      <c r="H2" s="4"/>
      <c r="I2" s="1"/>
      <c r="J2" s="1"/>
      <c r="K2" s="1"/>
      <c r="L2" s="1"/>
      <c r="M2" s="1"/>
      <c r="N2" s="1"/>
      <c r="O2" s="1"/>
      <c r="P2" s="98" t="s">
        <v>214</v>
      </c>
      <c r="Q2" s="1"/>
      <c r="S2" s="1"/>
      <c r="T2" s="1"/>
      <c r="U2" s="1"/>
    </row>
    <row r="3" spans="1:53" ht="18.75">
      <c r="C3" s="96" t="s">
        <v>5</v>
      </c>
      <c r="D3" s="93" t="str">
        <f>IF('Wksh 1 - Market Experience'!C3&lt;&gt;"", 'Wksh 1 - Market Experience'!C3,"")</f>
        <v>Kaiser Foundation Health Plan of Georgia</v>
      </c>
      <c r="F3" s="6"/>
      <c r="G3" s="6"/>
      <c r="J3" s="1"/>
      <c r="K3" s="1"/>
      <c r="P3" s="99" t="s">
        <v>215</v>
      </c>
    </row>
    <row r="4" spans="1:53" ht="18.75">
      <c r="C4" s="97" t="s">
        <v>6</v>
      </c>
      <c r="D4" s="94" t="str">
        <f>IF('Wksh 1 - Market Experience'!C4&lt;&gt;"", 'Wksh 1 - Market Experience'!C4,"")</f>
        <v>89942</v>
      </c>
      <c r="E4" s="96" t="s">
        <v>7</v>
      </c>
      <c r="F4" s="101" t="str">
        <f>IF('Wksh 1 - Market Experience'!E4&lt;&gt;"",'Wksh 1 - Market Experience'!E4,"")</f>
        <v>GA</v>
      </c>
      <c r="G4" s="7"/>
      <c r="J4" s="1"/>
      <c r="K4" s="1"/>
      <c r="P4" s="99" t="s">
        <v>216</v>
      </c>
    </row>
    <row r="5" spans="1:53" ht="15.75">
      <c r="C5" s="96" t="s">
        <v>14</v>
      </c>
      <c r="D5" s="95">
        <f>IF('Wksh 1 - Market Experience'!C5&lt;&gt;"", 'Wksh 1 - Market Experience'!C5,"")</f>
        <v>45292</v>
      </c>
      <c r="E5" s="96" t="s">
        <v>9</v>
      </c>
      <c r="F5" s="101" t="str">
        <f>IF('Wksh 1 - Market Experience'!E5&lt;&gt;"",'Wksh 1 - Market Experience'!E5,"")</f>
        <v>Small Group</v>
      </c>
      <c r="G5" s="1"/>
      <c r="H5" s="1"/>
      <c r="I5" s="1"/>
      <c r="J5" s="1"/>
      <c r="K5" s="1"/>
      <c r="L5" s="1"/>
      <c r="P5" s="99" t="s">
        <v>223</v>
      </c>
    </row>
    <row r="6" spans="1:53">
      <c r="C6" s="1"/>
      <c r="D6" s="1"/>
      <c r="E6" s="1"/>
      <c r="F6" s="1"/>
      <c r="G6" s="1"/>
      <c r="H6" s="2"/>
      <c r="I6" s="1"/>
      <c r="J6" s="1"/>
      <c r="K6" s="1"/>
      <c r="L6" s="1"/>
      <c r="M6" s="1"/>
      <c r="N6" s="1"/>
      <c r="O6" s="1"/>
      <c r="P6" s="99" t="s">
        <v>224</v>
      </c>
      <c r="Q6" s="1"/>
      <c r="R6" s="1"/>
      <c r="S6" s="1"/>
      <c r="T6" s="1"/>
      <c r="U6" s="1"/>
    </row>
    <row r="7" spans="1:53">
      <c r="C7" s="260" t="s">
        <v>15</v>
      </c>
      <c r="D7" s="261"/>
      <c r="E7" s="261"/>
      <c r="F7" s="261"/>
      <c r="G7" s="261"/>
      <c r="H7" s="261"/>
      <c r="I7" s="261"/>
      <c r="J7" s="261"/>
      <c r="K7" s="261"/>
      <c r="L7" s="261"/>
      <c r="M7" s="261"/>
      <c r="N7" s="261"/>
      <c r="O7" s="261"/>
      <c r="P7" s="261"/>
      <c r="Q7" s="261"/>
      <c r="R7" s="261"/>
      <c r="S7" s="261"/>
      <c r="T7" s="261"/>
      <c r="U7" s="261"/>
      <c r="V7" s="262"/>
    </row>
    <row r="8" spans="1:53">
      <c r="C8" s="263"/>
      <c r="D8" s="264"/>
      <c r="E8" s="264"/>
      <c r="F8" s="264"/>
      <c r="G8" s="264"/>
      <c r="H8" s="264"/>
      <c r="I8" s="264"/>
      <c r="J8" s="264"/>
      <c r="K8" s="264"/>
      <c r="L8" s="264"/>
      <c r="M8" s="264"/>
      <c r="N8" s="264"/>
      <c r="O8" s="264"/>
      <c r="P8" s="264"/>
      <c r="Q8" s="264"/>
      <c r="R8" s="264"/>
      <c r="S8" s="264"/>
      <c r="T8" s="264"/>
      <c r="U8" s="264"/>
      <c r="V8" s="265"/>
    </row>
    <row r="9" spans="1:53">
      <c r="B9" t="s">
        <v>103</v>
      </c>
      <c r="C9" s="19" t="s">
        <v>77</v>
      </c>
      <c r="D9" s="19"/>
      <c r="E9" s="17"/>
      <c r="F9" s="17"/>
      <c r="G9" s="17"/>
      <c r="H9" s="18"/>
      <c r="I9" s="17"/>
      <c r="J9" s="17"/>
      <c r="K9" s="17"/>
      <c r="L9" s="17"/>
      <c r="M9" s="17"/>
      <c r="N9" s="17"/>
      <c r="O9" s="17"/>
      <c r="P9" s="17"/>
      <c r="Q9" s="17"/>
      <c r="R9" s="17"/>
      <c r="S9" s="17"/>
      <c r="T9" s="17"/>
      <c r="U9" s="17"/>
    </row>
    <row r="10" spans="1:53" ht="15" customHeight="1">
      <c r="B10" s="146" t="s">
        <v>155</v>
      </c>
      <c r="C10" s="168" t="s">
        <v>104</v>
      </c>
      <c r="D10" s="220"/>
      <c r="E10" s="254" t="s">
        <v>271</v>
      </c>
      <c r="F10" s="255"/>
      <c r="G10" s="255"/>
      <c r="H10" s="255"/>
      <c r="I10" s="255"/>
      <c r="J10" s="255"/>
      <c r="K10" s="255"/>
      <c r="L10" s="255"/>
      <c r="M10" s="255"/>
      <c r="N10" s="255"/>
      <c r="O10" s="255"/>
      <c r="P10" s="255"/>
      <c r="Q10" s="255"/>
      <c r="R10" s="255"/>
      <c r="S10" s="255"/>
      <c r="T10" s="255"/>
      <c r="U10" s="255"/>
      <c r="V10" s="255"/>
      <c r="W10" s="256"/>
      <c r="X10" s="254" t="s">
        <v>273</v>
      </c>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6"/>
      <c r="AU10" s="254" t="s">
        <v>336</v>
      </c>
      <c r="AV10" s="255"/>
      <c r="AW10" s="255"/>
      <c r="AX10" s="255"/>
      <c r="AY10" s="255"/>
      <c r="AZ10" s="256"/>
      <c r="BA10" s="177" t="s">
        <v>335</v>
      </c>
    </row>
    <row r="11" spans="1:53" ht="15" customHeight="1">
      <c r="B11" s="146" t="s">
        <v>156</v>
      </c>
      <c r="C11" s="168" t="s">
        <v>105</v>
      </c>
      <c r="D11" s="221"/>
      <c r="E11" s="254" t="s">
        <v>272</v>
      </c>
      <c r="F11" s="255"/>
      <c r="G11" s="255"/>
      <c r="H11" s="255"/>
      <c r="I11" s="255"/>
      <c r="J11" s="255"/>
      <c r="K11" s="255"/>
      <c r="L11" s="255"/>
      <c r="M11" s="255"/>
      <c r="N11" s="255"/>
      <c r="O11" s="255"/>
      <c r="P11" s="255"/>
      <c r="Q11" s="255"/>
      <c r="R11" s="255"/>
      <c r="S11" s="255"/>
      <c r="T11" s="255"/>
      <c r="U11" s="255"/>
      <c r="V11" s="255"/>
      <c r="W11" s="256"/>
      <c r="X11" s="254" t="s">
        <v>274</v>
      </c>
      <c r="Y11" s="255"/>
      <c r="Z11" s="255"/>
      <c r="AA11" s="255"/>
      <c r="AB11" s="255"/>
      <c r="AC11" s="255"/>
      <c r="AD11" s="255"/>
      <c r="AE11" s="255"/>
      <c r="AF11" s="255"/>
      <c r="AG11" s="255"/>
      <c r="AH11" s="255"/>
      <c r="AI11" s="255"/>
      <c r="AJ11" s="255"/>
      <c r="AK11" s="255"/>
      <c r="AL11" s="255"/>
      <c r="AM11" s="255"/>
      <c r="AN11" s="255"/>
      <c r="AO11" s="255"/>
      <c r="AP11" s="255"/>
      <c r="AQ11" s="255"/>
      <c r="AR11" s="255"/>
      <c r="AS11" s="255"/>
      <c r="AT11" s="256"/>
      <c r="AU11" s="254" t="s">
        <v>337</v>
      </c>
      <c r="AV11" s="255"/>
      <c r="AW11" s="255"/>
      <c r="AX11" s="255"/>
      <c r="AY11" s="255"/>
      <c r="AZ11" s="256"/>
      <c r="BA11" s="177" t="s">
        <v>338</v>
      </c>
    </row>
    <row r="12" spans="1:53" ht="15" customHeight="1">
      <c r="B12" s="146" t="s">
        <v>157</v>
      </c>
      <c r="C12" s="168" t="s">
        <v>10</v>
      </c>
      <c r="D12" s="221"/>
      <c r="E12" s="179" t="s">
        <v>232</v>
      </c>
      <c r="F12" s="179" t="s">
        <v>233</v>
      </c>
      <c r="G12" s="179" t="s">
        <v>234</v>
      </c>
      <c r="H12" s="179" t="s">
        <v>235</v>
      </c>
      <c r="I12" s="179" t="s">
        <v>236</v>
      </c>
      <c r="J12" s="179" t="s">
        <v>237</v>
      </c>
      <c r="K12" s="179" t="s">
        <v>238</v>
      </c>
      <c r="L12" s="179" t="s">
        <v>239</v>
      </c>
      <c r="M12" s="179" t="s">
        <v>240</v>
      </c>
      <c r="N12" s="179" t="s">
        <v>241</v>
      </c>
      <c r="O12" s="179" t="s">
        <v>242</v>
      </c>
      <c r="P12" s="179" t="s">
        <v>243</v>
      </c>
      <c r="Q12" s="179" t="s">
        <v>244</v>
      </c>
      <c r="R12" s="179" t="s">
        <v>245</v>
      </c>
      <c r="S12" s="179" t="s">
        <v>246</v>
      </c>
      <c r="T12" s="179" t="s">
        <v>247</v>
      </c>
      <c r="U12" s="179" t="s">
        <v>248</v>
      </c>
      <c r="V12" s="179" t="s">
        <v>249</v>
      </c>
      <c r="W12" s="179" t="s">
        <v>250</v>
      </c>
      <c r="X12" s="179" t="s">
        <v>275</v>
      </c>
      <c r="Y12" s="179" t="s">
        <v>276</v>
      </c>
      <c r="Z12" s="179" t="s">
        <v>277</v>
      </c>
      <c r="AA12" s="179" t="s">
        <v>278</v>
      </c>
      <c r="AB12" s="179" t="s">
        <v>279</v>
      </c>
      <c r="AC12" s="179" t="s">
        <v>280</v>
      </c>
      <c r="AD12" s="179" t="s">
        <v>281</v>
      </c>
      <c r="AE12" s="179" t="s">
        <v>282</v>
      </c>
      <c r="AF12" s="179" t="s">
        <v>283</v>
      </c>
      <c r="AG12" s="179" t="s">
        <v>284</v>
      </c>
      <c r="AH12" s="179" t="s">
        <v>285</v>
      </c>
      <c r="AI12" s="179" t="s">
        <v>286</v>
      </c>
      <c r="AJ12" s="179" t="s">
        <v>287</v>
      </c>
      <c r="AK12" s="179" t="s">
        <v>288</v>
      </c>
      <c r="AL12" s="179" t="s">
        <v>289</v>
      </c>
      <c r="AM12" s="179" t="s">
        <v>290</v>
      </c>
      <c r="AN12" s="179" t="s">
        <v>291</v>
      </c>
      <c r="AO12" s="179" t="s">
        <v>292</v>
      </c>
      <c r="AP12" s="179" t="s">
        <v>293</v>
      </c>
      <c r="AQ12" s="179" t="s">
        <v>294</v>
      </c>
      <c r="AR12" s="179" t="s">
        <v>295</v>
      </c>
      <c r="AS12" s="179" t="s">
        <v>296</v>
      </c>
      <c r="AT12" s="179" t="s">
        <v>297</v>
      </c>
      <c r="AU12" s="179" t="s">
        <v>321</v>
      </c>
      <c r="AV12" s="179" t="s">
        <v>322</v>
      </c>
      <c r="AW12" s="179" t="s">
        <v>323</v>
      </c>
      <c r="AX12" s="179" t="s">
        <v>324</v>
      </c>
      <c r="AY12" s="179" t="s">
        <v>325</v>
      </c>
      <c r="AZ12" s="179" t="s">
        <v>326</v>
      </c>
      <c r="BA12" s="179" t="s">
        <v>333</v>
      </c>
    </row>
    <row r="13" spans="1:53" ht="15" customHeight="1">
      <c r="B13" s="146" t="s">
        <v>158</v>
      </c>
      <c r="C13" s="168" t="s">
        <v>106</v>
      </c>
      <c r="D13" s="221"/>
      <c r="E13" s="180" t="s">
        <v>251</v>
      </c>
      <c r="F13" s="180" t="s">
        <v>252</v>
      </c>
      <c r="G13" s="180" t="s">
        <v>253</v>
      </c>
      <c r="H13" s="180" t="s">
        <v>254</v>
      </c>
      <c r="I13" s="180" t="s">
        <v>255</v>
      </c>
      <c r="J13" s="180" t="s">
        <v>256</v>
      </c>
      <c r="K13" s="180" t="s">
        <v>257</v>
      </c>
      <c r="L13" s="180" t="s">
        <v>258</v>
      </c>
      <c r="M13" s="180" t="s">
        <v>259</v>
      </c>
      <c r="N13" s="180" t="s">
        <v>260</v>
      </c>
      <c r="O13" s="180" t="s">
        <v>261</v>
      </c>
      <c r="P13" s="180" t="s">
        <v>262</v>
      </c>
      <c r="Q13" s="180" t="s">
        <v>263</v>
      </c>
      <c r="R13" s="180" t="s">
        <v>264</v>
      </c>
      <c r="S13" s="180" t="s">
        <v>265</v>
      </c>
      <c r="T13" s="180" t="s">
        <v>266</v>
      </c>
      <c r="U13" s="180" t="s">
        <v>267</v>
      </c>
      <c r="V13" s="180" t="s">
        <v>268</v>
      </c>
      <c r="W13" s="180" t="s">
        <v>269</v>
      </c>
      <c r="X13" s="180" t="s">
        <v>298</v>
      </c>
      <c r="Y13" s="180" t="s">
        <v>299</v>
      </c>
      <c r="Z13" s="180" t="s">
        <v>300</v>
      </c>
      <c r="AA13" s="180" t="s">
        <v>301</v>
      </c>
      <c r="AB13" s="180" t="s">
        <v>302</v>
      </c>
      <c r="AC13" s="180" t="s">
        <v>303</v>
      </c>
      <c r="AD13" s="180" t="s">
        <v>304</v>
      </c>
      <c r="AE13" s="180" t="s">
        <v>305</v>
      </c>
      <c r="AF13" s="180" t="s">
        <v>306</v>
      </c>
      <c r="AG13" s="180" t="s">
        <v>307</v>
      </c>
      <c r="AH13" s="180" t="s">
        <v>308</v>
      </c>
      <c r="AI13" s="180" t="s">
        <v>309</v>
      </c>
      <c r="AJ13" s="180" t="s">
        <v>310</v>
      </c>
      <c r="AK13" s="180" t="s">
        <v>311</v>
      </c>
      <c r="AL13" s="180" t="s">
        <v>312</v>
      </c>
      <c r="AM13" s="180" t="s">
        <v>313</v>
      </c>
      <c r="AN13" s="180" t="s">
        <v>314</v>
      </c>
      <c r="AO13" s="180" t="s">
        <v>315</v>
      </c>
      <c r="AP13" s="180" t="s">
        <v>316</v>
      </c>
      <c r="AQ13" s="180" t="s">
        <v>317</v>
      </c>
      <c r="AR13" s="180" t="s">
        <v>318</v>
      </c>
      <c r="AS13" s="180" t="s">
        <v>319</v>
      </c>
      <c r="AT13" s="180" t="s">
        <v>320</v>
      </c>
      <c r="AU13" s="180" t="s">
        <v>327</v>
      </c>
      <c r="AV13" s="180" t="s">
        <v>328</v>
      </c>
      <c r="AW13" s="180" t="s">
        <v>329</v>
      </c>
      <c r="AX13" s="180" t="s">
        <v>330</v>
      </c>
      <c r="AY13" s="180" t="s">
        <v>331</v>
      </c>
      <c r="AZ13" s="180" t="s">
        <v>332</v>
      </c>
      <c r="BA13" s="180" t="s">
        <v>334</v>
      </c>
    </row>
    <row r="14" spans="1:53" ht="15" customHeight="1">
      <c r="B14" s="146" t="s">
        <v>159</v>
      </c>
      <c r="C14" s="168" t="s">
        <v>107</v>
      </c>
      <c r="D14" s="221"/>
      <c r="E14" s="181" t="s">
        <v>140</v>
      </c>
      <c r="F14" s="181" t="s">
        <v>140</v>
      </c>
      <c r="G14" s="181" t="s">
        <v>140</v>
      </c>
      <c r="H14" s="181" t="s">
        <v>140</v>
      </c>
      <c r="I14" s="181" t="s">
        <v>140</v>
      </c>
      <c r="J14" s="181" t="s">
        <v>140</v>
      </c>
      <c r="K14" s="181" t="s">
        <v>141</v>
      </c>
      <c r="L14" s="181" t="s">
        <v>141</v>
      </c>
      <c r="M14" s="181" t="s">
        <v>141</v>
      </c>
      <c r="N14" s="181" t="s">
        <v>141</v>
      </c>
      <c r="O14" s="181" t="s">
        <v>141</v>
      </c>
      <c r="P14" s="181" t="s">
        <v>141</v>
      </c>
      <c r="Q14" s="181" t="s">
        <v>141</v>
      </c>
      <c r="R14" s="181" t="s">
        <v>141</v>
      </c>
      <c r="S14" s="181" t="s">
        <v>142</v>
      </c>
      <c r="T14" s="181" t="s">
        <v>142</v>
      </c>
      <c r="U14" s="181" t="s">
        <v>140</v>
      </c>
      <c r="V14" s="181" t="s">
        <v>140</v>
      </c>
      <c r="W14" s="181" t="s">
        <v>141</v>
      </c>
      <c r="X14" s="181" t="s">
        <v>139</v>
      </c>
      <c r="Y14" s="181" t="s">
        <v>139</v>
      </c>
      <c r="Z14" s="181" t="s">
        <v>140</v>
      </c>
      <c r="AA14" s="181" t="s">
        <v>140</v>
      </c>
      <c r="AB14" s="181" t="s">
        <v>140</v>
      </c>
      <c r="AC14" s="181" t="s">
        <v>140</v>
      </c>
      <c r="AD14" s="181" t="s">
        <v>140</v>
      </c>
      <c r="AE14" s="181" t="s">
        <v>140</v>
      </c>
      <c r="AF14" s="181" t="s">
        <v>140</v>
      </c>
      <c r="AG14" s="181" t="s">
        <v>140</v>
      </c>
      <c r="AH14" s="181" t="s">
        <v>140</v>
      </c>
      <c r="AI14" s="181" t="s">
        <v>140</v>
      </c>
      <c r="AJ14" s="181" t="s">
        <v>141</v>
      </c>
      <c r="AK14" s="181" t="s">
        <v>141</v>
      </c>
      <c r="AL14" s="181" t="s">
        <v>141</v>
      </c>
      <c r="AM14" s="181" t="s">
        <v>141</v>
      </c>
      <c r="AN14" s="181" t="s">
        <v>141</v>
      </c>
      <c r="AO14" s="181" t="s">
        <v>141</v>
      </c>
      <c r="AP14" s="181" t="s">
        <v>141</v>
      </c>
      <c r="AQ14" s="181" t="s">
        <v>141</v>
      </c>
      <c r="AR14" s="181" t="s">
        <v>142</v>
      </c>
      <c r="AS14" s="181" t="s">
        <v>142</v>
      </c>
      <c r="AT14" s="181" t="s">
        <v>142</v>
      </c>
      <c r="AU14" s="181" t="s">
        <v>139</v>
      </c>
      <c r="AV14" s="181" t="s">
        <v>140</v>
      </c>
      <c r="AW14" s="181" t="s">
        <v>140</v>
      </c>
      <c r="AX14" s="181" t="s">
        <v>140</v>
      </c>
      <c r="AY14" s="181" t="s">
        <v>141</v>
      </c>
      <c r="AZ14" s="181" t="s">
        <v>141</v>
      </c>
      <c r="BA14" s="181" t="s">
        <v>140</v>
      </c>
    </row>
    <row r="15" spans="1:53" ht="15" customHeight="1">
      <c r="B15" s="146" t="s">
        <v>160</v>
      </c>
      <c r="C15" s="168" t="s">
        <v>26</v>
      </c>
      <c r="D15" s="221"/>
      <c r="E15" s="182">
        <v>0.82</v>
      </c>
      <c r="F15" s="182">
        <v>0.80900000000000005</v>
      </c>
      <c r="G15" s="182">
        <v>0.80700000000000005</v>
      </c>
      <c r="H15" s="182">
        <v>0.78</v>
      </c>
      <c r="I15" s="182">
        <v>0.79300000000000004</v>
      </c>
      <c r="J15" s="182">
        <v>0.78400000000000003</v>
      </c>
      <c r="K15" s="182">
        <v>0.71499999999999997</v>
      </c>
      <c r="L15" s="182">
        <v>0.71399999999999997</v>
      </c>
      <c r="M15" s="182">
        <v>0.72</v>
      </c>
      <c r="N15" s="182">
        <v>0.71099999999999997</v>
      </c>
      <c r="O15" s="182">
        <v>0.68700000000000006</v>
      </c>
      <c r="P15" s="182">
        <v>0.68899999999999995</v>
      </c>
      <c r="Q15" s="182">
        <v>0.71899999999999997</v>
      </c>
      <c r="R15" s="182">
        <v>0.68100000000000005</v>
      </c>
      <c r="S15" s="182">
        <v>0.64300000000000002</v>
      </c>
      <c r="T15" s="182">
        <v>0.64600000000000002</v>
      </c>
      <c r="U15" s="182">
        <v>0.80653538095928001</v>
      </c>
      <c r="V15" s="182">
        <v>0.80653538095928001</v>
      </c>
      <c r="W15" s="182">
        <v>0.80698558066821902</v>
      </c>
      <c r="X15" s="182">
        <v>0.90800000000000003</v>
      </c>
      <c r="Y15" s="182">
        <v>0.88</v>
      </c>
      <c r="Z15" s="182">
        <v>0.82</v>
      </c>
      <c r="AA15" s="182">
        <v>0.81499999999999995</v>
      </c>
      <c r="AB15" s="182">
        <v>0.80900000000000005</v>
      </c>
      <c r="AC15" s="182">
        <v>0.79600000000000004</v>
      </c>
      <c r="AD15" s="182">
        <v>0.81499999999999995</v>
      </c>
      <c r="AE15" s="182">
        <v>0.80700000000000005</v>
      </c>
      <c r="AF15" s="182">
        <v>0.78</v>
      </c>
      <c r="AG15" s="182">
        <v>0.79300000000000004</v>
      </c>
      <c r="AH15" s="182">
        <v>0.78200000000000003</v>
      </c>
      <c r="AI15" s="182">
        <v>0.78400000000000003</v>
      </c>
      <c r="AJ15" s="182">
        <v>0.71499999999999997</v>
      </c>
      <c r="AK15" s="182">
        <v>0.71399999999999997</v>
      </c>
      <c r="AL15" s="182">
        <v>0.72</v>
      </c>
      <c r="AM15" s="182">
        <v>0.71099999999999997</v>
      </c>
      <c r="AN15" s="182">
        <v>0.68700000000000006</v>
      </c>
      <c r="AO15" s="182">
        <v>0.68899999999999995</v>
      </c>
      <c r="AP15" s="182">
        <v>0.71899999999999997</v>
      </c>
      <c r="AQ15" s="182">
        <v>0.68100000000000005</v>
      </c>
      <c r="AR15" s="182">
        <v>0.64300000000000002</v>
      </c>
      <c r="AS15" s="182">
        <v>0.64600000000000002</v>
      </c>
      <c r="AT15" s="182">
        <v>0.65</v>
      </c>
      <c r="AU15" s="182">
        <v>0.90800000000000003</v>
      </c>
      <c r="AV15" s="182">
        <v>0.82</v>
      </c>
      <c r="AW15" s="182">
        <v>0.80900000000000005</v>
      </c>
      <c r="AX15" s="182">
        <v>0.80700000000000005</v>
      </c>
      <c r="AY15" s="182">
        <v>0.71499999999999997</v>
      </c>
      <c r="AZ15" s="182">
        <v>0.72</v>
      </c>
      <c r="BA15" s="182">
        <v>0.80800000000000005</v>
      </c>
    </row>
    <row r="16" spans="1:53" ht="15" customHeight="1">
      <c r="B16" s="146" t="s">
        <v>161</v>
      </c>
      <c r="C16" s="168" t="s">
        <v>80</v>
      </c>
      <c r="D16" s="221"/>
      <c r="E16" s="179" t="s">
        <v>82</v>
      </c>
      <c r="F16" s="179" t="s">
        <v>82</v>
      </c>
      <c r="G16" s="179" t="s">
        <v>82</v>
      </c>
      <c r="H16" s="179" t="s">
        <v>82</v>
      </c>
      <c r="I16" s="179" t="s">
        <v>82</v>
      </c>
      <c r="J16" s="179" t="s">
        <v>82</v>
      </c>
      <c r="K16" s="179" t="s">
        <v>82</v>
      </c>
      <c r="L16" s="179" t="s">
        <v>82</v>
      </c>
      <c r="M16" s="179" t="s">
        <v>82</v>
      </c>
      <c r="N16" s="179" t="s">
        <v>82</v>
      </c>
      <c r="O16" s="179" t="s">
        <v>82</v>
      </c>
      <c r="P16" s="179" t="s">
        <v>82</v>
      </c>
      <c r="Q16" s="179" t="s">
        <v>82</v>
      </c>
      <c r="R16" s="179" t="s">
        <v>82</v>
      </c>
      <c r="S16" s="179" t="s">
        <v>82</v>
      </c>
      <c r="T16" s="179" t="s">
        <v>82</v>
      </c>
      <c r="U16" s="179" t="s">
        <v>83</v>
      </c>
      <c r="V16" s="179" t="s">
        <v>83</v>
      </c>
      <c r="W16" s="179" t="s">
        <v>83</v>
      </c>
      <c r="X16" s="179" t="s">
        <v>82</v>
      </c>
      <c r="Y16" s="179" t="s">
        <v>82</v>
      </c>
      <c r="Z16" s="179" t="s">
        <v>82</v>
      </c>
      <c r="AA16" s="179" t="s">
        <v>82</v>
      </c>
      <c r="AB16" s="179" t="s">
        <v>82</v>
      </c>
      <c r="AC16" s="179" t="s">
        <v>82</v>
      </c>
      <c r="AD16" s="179" t="s">
        <v>81</v>
      </c>
      <c r="AE16" s="179" t="s">
        <v>82</v>
      </c>
      <c r="AF16" s="179" t="s">
        <v>82</v>
      </c>
      <c r="AG16" s="179" t="s">
        <v>82</v>
      </c>
      <c r="AH16" s="179" t="s">
        <v>82</v>
      </c>
      <c r="AI16" s="179" t="s">
        <v>82</v>
      </c>
      <c r="AJ16" s="179" t="s">
        <v>82</v>
      </c>
      <c r="AK16" s="179" t="s">
        <v>82</v>
      </c>
      <c r="AL16" s="179" t="s">
        <v>82</v>
      </c>
      <c r="AM16" s="179" t="s">
        <v>82</v>
      </c>
      <c r="AN16" s="179" t="s">
        <v>82</v>
      </c>
      <c r="AO16" s="179" t="s">
        <v>82</v>
      </c>
      <c r="AP16" s="179" t="s">
        <v>82</v>
      </c>
      <c r="AQ16" s="179" t="s">
        <v>82</v>
      </c>
      <c r="AR16" s="179" t="s">
        <v>82</v>
      </c>
      <c r="AS16" s="179" t="s">
        <v>82</v>
      </c>
      <c r="AT16" s="179" t="s">
        <v>83</v>
      </c>
      <c r="AU16" s="179" t="s">
        <v>82</v>
      </c>
      <c r="AV16" s="179" t="s">
        <v>82</v>
      </c>
      <c r="AW16" s="179" t="s">
        <v>82</v>
      </c>
      <c r="AX16" s="179" t="s">
        <v>82</v>
      </c>
      <c r="AY16" s="179" t="s">
        <v>82</v>
      </c>
      <c r="AZ16" s="179" t="s">
        <v>82</v>
      </c>
      <c r="BA16" s="179" t="s">
        <v>82</v>
      </c>
    </row>
    <row r="17" spans="1:53" ht="15" customHeight="1">
      <c r="B17" s="146" t="s">
        <v>154</v>
      </c>
      <c r="C17" s="169" t="s">
        <v>108</v>
      </c>
      <c r="D17" s="221"/>
      <c r="E17" s="179" t="s">
        <v>270</v>
      </c>
      <c r="F17" s="179" t="s">
        <v>270</v>
      </c>
      <c r="G17" s="179" t="s">
        <v>270</v>
      </c>
      <c r="H17" s="179" t="s">
        <v>270</v>
      </c>
      <c r="I17" s="179" t="s">
        <v>270</v>
      </c>
      <c r="J17" s="179" t="s">
        <v>270</v>
      </c>
      <c r="K17" s="179" t="s">
        <v>270</v>
      </c>
      <c r="L17" s="179" t="s">
        <v>270</v>
      </c>
      <c r="M17" s="179" t="s">
        <v>270</v>
      </c>
      <c r="N17" s="179" t="s">
        <v>270</v>
      </c>
      <c r="O17" s="179" t="s">
        <v>270</v>
      </c>
      <c r="P17" s="179" t="s">
        <v>270</v>
      </c>
      <c r="Q17" s="179" t="s">
        <v>270</v>
      </c>
      <c r="R17" s="179" t="s">
        <v>270</v>
      </c>
      <c r="S17" s="179" t="s">
        <v>270</v>
      </c>
      <c r="T17" s="179" t="s">
        <v>270</v>
      </c>
      <c r="U17" s="179" t="s">
        <v>270</v>
      </c>
      <c r="V17" s="179" t="s">
        <v>270</v>
      </c>
      <c r="W17" s="179" t="s">
        <v>270</v>
      </c>
      <c r="X17" s="179" t="s">
        <v>270</v>
      </c>
      <c r="Y17" s="179" t="s">
        <v>270</v>
      </c>
      <c r="Z17" s="179" t="s">
        <v>270</v>
      </c>
      <c r="AA17" s="179" t="s">
        <v>270</v>
      </c>
      <c r="AB17" s="179" t="s">
        <v>270</v>
      </c>
      <c r="AC17" s="179" t="s">
        <v>270</v>
      </c>
      <c r="AD17" s="179" t="s">
        <v>270</v>
      </c>
      <c r="AE17" s="179" t="s">
        <v>270</v>
      </c>
      <c r="AF17" s="179" t="s">
        <v>270</v>
      </c>
      <c r="AG17" s="179" t="s">
        <v>270</v>
      </c>
      <c r="AH17" s="179" t="s">
        <v>270</v>
      </c>
      <c r="AI17" s="179" t="s">
        <v>270</v>
      </c>
      <c r="AJ17" s="179" t="s">
        <v>270</v>
      </c>
      <c r="AK17" s="179" t="s">
        <v>270</v>
      </c>
      <c r="AL17" s="179" t="s">
        <v>270</v>
      </c>
      <c r="AM17" s="179" t="s">
        <v>270</v>
      </c>
      <c r="AN17" s="179" t="s">
        <v>270</v>
      </c>
      <c r="AO17" s="179" t="s">
        <v>270</v>
      </c>
      <c r="AP17" s="179" t="s">
        <v>270</v>
      </c>
      <c r="AQ17" s="179" t="s">
        <v>270</v>
      </c>
      <c r="AR17" s="179" t="s">
        <v>270</v>
      </c>
      <c r="AS17" s="179" t="s">
        <v>270</v>
      </c>
      <c r="AT17" s="179" t="s">
        <v>270</v>
      </c>
      <c r="AU17" s="179" t="s">
        <v>270</v>
      </c>
      <c r="AV17" s="179" t="s">
        <v>270</v>
      </c>
      <c r="AW17" s="179" t="s">
        <v>270</v>
      </c>
      <c r="AX17" s="179" t="s">
        <v>270</v>
      </c>
      <c r="AY17" s="179" t="s">
        <v>270</v>
      </c>
      <c r="AZ17" s="179" t="s">
        <v>270</v>
      </c>
      <c r="BA17" s="179" t="s">
        <v>335</v>
      </c>
    </row>
    <row r="18" spans="1:53" ht="15" customHeight="1">
      <c r="B18" s="146" t="s">
        <v>153</v>
      </c>
      <c r="C18" s="168" t="s">
        <v>16</v>
      </c>
      <c r="D18" s="221"/>
      <c r="E18" s="183" t="s">
        <v>145</v>
      </c>
      <c r="F18" s="183" t="s">
        <v>145</v>
      </c>
      <c r="G18" s="183" t="s">
        <v>145</v>
      </c>
      <c r="H18" s="183" t="s">
        <v>145</v>
      </c>
      <c r="I18" s="183" t="s">
        <v>145</v>
      </c>
      <c r="J18" s="183" t="s">
        <v>145</v>
      </c>
      <c r="K18" s="183" t="s">
        <v>145</v>
      </c>
      <c r="L18" s="183" t="s">
        <v>145</v>
      </c>
      <c r="M18" s="183" t="s">
        <v>145</v>
      </c>
      <c r="N18" s="183" t="s">
        <v>145</v>
      </c>
      <c r="O18" s="183" t="s">
        <v>145</v>
      </c>
      <c r="P18" s="183" t="s">
        <v>145</v>
      </c>
      <c r="Q18" s="183" t="s">
        <v>145</v>
      </c>
      <c r="R18" s="183" t="s">
        <v>145</v>
      </c>
      <c r="S18" s="183" t="s">
        <v>145</v>
      </c>
      <c r="T18" s="183" t="s">
        <v>145</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c r="AU18" s="183" t="s">
        <v>146</v>
      </c>
      <c r="AV18" s="183" t="s">
        <v>146</v>
      </c>
      <c r="AW18" s="183" t="s">
        <v>146</v>
      </c>
      <c r="AX18" s="183" t="s">
        <v>146</v>
      </c>
      <c r="AY18" s="183" t="s">
        <v>146</v>
      </c>
      <c r="AZ18" s="183" t="s">
        <v>146</v>
      </c>
      <c r="BA18" s="183" t="s">
        <v>146</v>
      </c>
    </row>
    <row r="19" spans="1:53"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row>
    <row r="20" spans="1:53" ht="15" customHeight="1">
      <c r="B20" s="146" t="s">
        <v>150</v>
      </c>
      <c r="C20" s="168" t="s">
        <v>109</v>
      </c>
      <c r="D20" s="221"/>
      <c r="E20" s="185">
        <v>0.1154</v>
      </c>
      <c r="F20" s="185">
        <v>0.13450000000000001</v>
      </c>
      <c r="G20" s="185">
        <v>0.1348</v>
      </c>
      <c r="H20" s="185">
        <v>0.13489999999999999</v>
      </c>
      <c r="I20" s="185">
        <v>0.1371</v>
      </c>
      <c r="J20" s="185">
        <v>0.13700000000000001</v>
      </c>
      <c r="K20" s="185">
        <v>0.1353</v>
      </c>
      <c r="L20" s="185">
        <v>0.11600000000000001</v>
      </c>
      <c r="M20" s="185">
        <v>0.13539999999999999</v>
      </c>
      <c r="N20" s="185">
        <v>0.13270000000000001</v>
      </c>
      <c r="O20" s="185">
        <v>0.1384</v>
      </c>
      <c r="P20" s="185">
        <v>0.1323</v>
      </c>
      <c r="Q20" s="185">
        <v>0.1333</v>
      </c>
      <c r="R20" s="185">
        <v>0.13289999999999999</v>
      </c>
      <c r="S20" s="185">
        <v>0.13719999999999999</v>
      </c>
      <c r="T20" s="185">
        <v>0.1216</v>
      </c>
      <c r="U20" s="185">
        <v>0</v>
      </c>
      <c r="V20" s="185">
        <v>0</v>
      </c>
      <c r="W20" s="185">
        <v>0</v>
      </c>
      <c r="X20" s="185">
        <v>0.13539999999999999</v>
      </c>
      <c r="Y20" s="185">
        <v>0.13550000000000001</v>
      </c>
      <c r="Z20" s="185">
        <v>0.1166</v>
      </c>
      <c r="AA20" s="185">
        <v>0.13639999999999999</v>
      </c>
      <c r="AB20" s="185">
        <v>0.13569999999999999</v>
      </c>
      <c r="AC20" s="185">
        <v>0.1361</v>
      </c>
      <c r="AD20" s="185">
        <v>0.1522</v>
      </c>
      <c r="AE20" s="185">
        <v>0.13600000000000001</v>
      </c>
      <c r="AF20" s="185">
        <v>0.1361</v>
      </c>
      <c r="AG20" s="185">
        <v>0.13830000000000001</v>
      </c>
      <c r="AH20" s="185">
        <v>0.13600000000000001</v>
      </c>
      <c r="AI20" s="185">
        <v>0.13830000000000001</v>
      </c>
      <c r="AJ20" s="185">
        <v>0.1366</v>
      </c>
      <c r="AK20" s="185">
        <v>0.1172</v>
      </c>
      <c r="AL20" s="185">
        <v>0.1366</v>
      </c>
      <c r="AM20" s="185">
        <v>0.13389999999999999</v>
      </c>
      <c r="AN20" s="185">
        <v>0.1396</v>
      </c>
      <c r="AO20" s="185">
        <v>0.1336</v>
      </c>
      <c r="AP20" s="185">
        <v>0.13450000000000001</v>
      </c>
      <c r="AQ20" s="185">
        <v>0.1341</v>
      </c>
      <c r="AR20" s="185">
        <v>0.13850000000000001</v>
      </c>
      <c r="AS20" s="185">
        <v>0.12280000000000001</v>
      </c>
      <c r="AT20" s="185">
        <v>0</v>
      </c>
      <c r="AU20" s="185">
        <v>0.13539999999999999</v>
      </c>
      <c r="AV20" s="185">
        <v>0.1166</v>
      </c>
      <c r="AW20" s="185">
        <v>0.13569999999999999</v>
      </c>
      <c r="AX20" s="185">
        <v>0.13600000000000001</v>
      </c>
      <c r="AY20" s="185">
        <v>0.1366</v>
      </c>
      <c r="AZ20" s="185">
        <v>0.1366</v>
      </c>
      <c r="BA20" s="185">
        <v>0.1469</v>
      </c>
    </row>
    <row r="21" spans="1:53" ht="15" customHeight="1">
      <c r="B21" s="146" t="s">
        <v>151</v>
      </c>
      <c r="C21" s="168" t="s">
        <v>84</v>
      </c>
      <c r="D21" s="221"/>
      <c r="E21" s="257">
        <f t="array" ref="E21">IF(SUMPRODUCT((E16:W16="Renewing")*((E14:W14="Platinum")+(E14:W14="Gold")+(E14:W14="Silver")+(E14:W14="Bronze")+(E14:W14="Catastrophic")))=0, 0, ROUND(ROUND(SUMPRODUCT(1+E20:W20,E34:W34,E35:W35,--(E16:W16="Renewing")*((E14:W14="Platinum")+(E14:W14="Gold")+(E14:W14="Silver")+(E14:W14="Bronze")+(E14:W14="Catastrophic")))/SUMPRODUCT(E34:W34,E35:W35,--(E16:W16="Renewing")*((E14:W14="Platinum")+(E14:W14="Gold")+(E14:W14="Silver")+(E14:W14="Bronze")+(E14:W14="Catastrophic"))), 4)-1, 4))</f>
        <v>0.1288</v>
      </c>
      <c r="F21" s="258"/>
      <c r="G21" s="258"/>
      <c r="H21" s="258"/>
      <c r="I21" s="258"/>
      <c r="J21" s="258"/>
      <c r="K21" s="258"/>
      <c r="L21" s="258"/>
      <c r="M21" s="258"/>
      <c r="N21" s="258"/>
      <c r="O21" s="258"/>
      <c r="P21" s="258"/>
      <c r="Q21" s="258"/>
      <c r="R21" s="258"/>
      <c r="S21" s="258"/>
      <c r="T21" s="258"/>
      <c r="U21" s="258"/>
      <c r="V21" s="258"/>
      <c r="W21" s="259"/>
      <c r="X21" s="257">
        <f t="array" ref="X21">IF(SUMPRODUCT((X16:AT16="Renewing")*((X14:AT14="Platinum")+(X14:AT14="Gold")+(X14:AT14="Silver")+(X14:AT14="Bronze")+(X14:AT14="Catastrophic")))=0, 0, ROUND(ROUND(SUMPRODUCT(1+X20:AT20,X34:AT34,X35:AT35,--(X16:AT16="Renewing")*((X14:AT14="Platinum")+(X14:AT14="Gold")+(X14:AT14="Silver")+(X14:AT14="Bronze")+(X14:AT14="Catastrophic")))/SUMPRODUCT(X34:AT34,X35:AT35,--(X16:AT16="Renewing")*((X14:AT14="Platinum")+(X14:AT14="Gold")+(X14:AT14="Silver")+(X14:AT14="Bronze")+(X14:AT14="Catastrophic"))), 4)-1, 4))</f>
        <v>0.1346</v>
      </c>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9"/>
      <c r="AU21" s="257">
        <f t="array" ref="AU21">IF(SUMPRODUCT((AU16:AZ16="Renewing")*((AU14:AZ14="Platinum")+(AU14:AZ14="Gold")+(AU14:AZ14="Silver")+(AU14:AZ14="Bronze")+(AU14:AZ14="Catastrophic")))=0, 0, ROUND(ROUND(SUMPRODUCT(1+AU20:AZ20,AU34:AZ34,AU35:AZ35,--(AU16:AZ16="Renewing")*((AU14:AZ14="Platinum")+(AU14:AZ14="Gold")+(AU14:AZ14="Silver")+(AU14:AZ14="Bronze")+(AU14:AZ14="Catastrophic")))/SUMPRODUCT(AU34:AZ34,AU35:AZ35,--(AU16:AZ16="Renewing")*((AU14:AZ14="Platinum")+(AU14:AZ14="Gold")+(AU14:AZ14="Silver")+(AU14:AZ14="Bronze")+(AU14:AZ14="Catastrophic"))), 4)-1, 4))</f>
        <v>0.1361</v>
      </c>
      <c r="AV21" s="258"/>
      <c r="AW21" s="258"/>
      <c r="AX21" s="258"/>
      <c r="AY21" s="258"/>
      <c r="AZ21" s="259"/>
      <c r="BA21" s="178" t="e">
        <f t="array" ref="BA21">IF(SUMPRODUCT((BA16:BA16="Renewing")*((BA14:BA14="Platinum")+(BA14:BA14="Gold")+(BA14:BA14="Silver")+(BA14:BA14="Bronze")+(BA14:BA14="Catastrophic")))=0, 0, ROUND(ROUND(SUMPRODUCT(1+BA20:BA20,BA34:BA34,BA35:BA35,--(BA16:BA16="Renewing")*((BA14:BA14="Platinum")+(BA14:BA14="Gold")+(BA14:BA14="Silver")+(BA14:BA14="Bronze")+(BA14:BA14="Catastrophic")))/SUMPRODUCT(BA34:BA34,BA35:BA35,--(BA16:BA16="Renewing")*((BA14:BA14="Platinum")+(BA14:BA14="Gold")+(BA14:BA14="Silver")+(BA14:BA14="Bronze")+(BA14:BA14="Catastrophic"))), 4)-1, 4))</f>
        <v>#DIV/0!</v>
      </c>
    </row>
    <row r="22" spans="1:53" ht="15" customHeight="1">
      <c r="B22" s="148" t="s">
        <v>152</v>
      </c>
      <c r="C22" s="139" t="s">
        <v>212</v>
      </c>
      <c r="D22" s="222"/>
      <c r="E22" s="257">
        <f t="array" ref="E22">IF(SUMPRODUCT((E16:BA16="Renewing")*((E14:BA14="Platinum")+(E14:BA14="Gold")+(E14:BA14="Silver")+(E14:BA14="Bronze")+(E14:BA14="Catastrophic")))=0, 0, ROUND(ROUND(SUMPRODUCT(1+E20:BA20,E34:BA34,E35:BA35,--(E16:BA16="Renewing")*((E14:BA14="Platinum")+(E14:BA14="Gold")+(E14:BA14="Silver")+(E14:BA14="Bronze")+(E14:BA14="Catastrophic")))/SUMPRODUCT(E34:BA34,E35:BA35,--(E16:BA16="Renewing")*((E14:BA14="Platinum")+(E14:BA14="Gold")+(E14:BA14="Silver")+(E14:BA14="Bronze")+(E14:BA14="Catastrophic"))), 4)-1, 4))</f>
        <v>0.13439999999999999</v>
      </c>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9"/>
    </row>
    <row r="23" spans="1:53" ht="15" customHeight="1">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row>
    <row r="24" spans="1:53" ht="15" customHeight="1">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row>
    <row r="25" spans="1:53" ht="15" customHeight="1">
      <c r="A25" s="149"/>
      <c r="B25" s="146" t="s">
        <v>162</v>
      </c>
      <c r="C25" s="152" t="s">
        <v>106</v>
      </c>
      <c r="D25" s="150" t="s">
        <v>2</v>
      </c>
      <c r="E25" s="90" t="str">
        <f t="shared" ref="E25:AJ25" si="0">IF(E13&lt;&gt;"",E13,"")</f>
        <v>89942GA0060002</v>
      </c>
      <c r="F25" s="90" t="str">
        <f t="shared" si="0"/>
        <v>89942GA0060003</v>
      </c>
      <c r="G25" s="90" t="str">
        <f t="shared" si="0"/>
        <v>89942GA0060012</v>
      </c>
      <c r="H25" s="90" t="str">
        <f t="shared" si="0"/>
        <v>89942GA0060033</v>
      </c>
      <c r="I25" s="90" t="str">
        <f t="shared" si="0"/>
        <v>89942GA0060027</v>
      </c>
      <c r="J25" s="90" t="str">
        <f t="shared" si="0"/>
        <v>89942GA0060028</v>
      </c>
      <c r="K25" s="90" t="str">
        <f t="shared" si="0"/>
        <v>89942GA0060005</v>
      </c>
      <c r="L25" s="90" t="str">
        <f t="shared" si="0"/>
        <v>89942GA0060007</v>
      </c>
      <c r="M25" s="90" t="str">
        <f t="shared" si="0"/>
        <v>89942GA0060013</v>
      </c>
      <c r="N25" s="90" t="str">
        <f t="shared" si="0"/>
        <v>89942GA0060017</v>
      </c>
      <c r="O25" s="90" t="str">
        <f t="shared" si="0"/>
        <v>89942GA0060025</v>
      </c>
      <c r="P25" s="90" t="str">
        <f t="shared" si="0"/>
        <v>89942GA0060034</v>
      </c>
      <c r="Q25" s="90" t="str">
        <f t="shared" si="0"/>
        <v>89942GA0060029</v>
      </c>
      <c r="R25" s="90" t="str">
        <f t="shared" si="0"/>
        <v>89942GA0060032</v>
      </c>
      <c r="S25" s="90" t="str">
        <f t="shared" si="0"/>
        <v>89942GA0060006</v>
      </c>
      <c r="T25" s="90" t="str">
        <f t="shared" si="0"/>
        <v>89942GA0060016</v>
      </c>
      <c r="U25" s="90" t="str">
        <f t="shared" si="0"/>
        <v>89942GA0060030</v>
      </c>
      <c r="V25" s="90" t="str">
        <f t="shared" si="0"/>
        <v>89942GA0060018</v>
      </c>
      <c r="W25" s="90" t="str">
        <f t="shared" si="0"/>
        <v>89942GA0060011</v>
      </c>
      <c r="X25" s="90" t="str">
        <f t="shared" si="0"/>
        <v>89942GA0080001</v>
      </c>
      <c r="Y25" s="90" t="str">
        <f t="shared" si="0"/>
        <v>89942GA0080026</v>
      </c>
      <c r="Z25" s="90" t="str">
        <f t="shared" si="0"/>
        <v>89942GA0080002</v>
      </c>
      <c r="AA25" s="90" t="str">
        <f t="shared" si="0"/>
        <v>89942GA0080030</v>
      </c>
      <c r="AB25" s="90" t="str">
        <f t="shared" si="0"/>
        <v>89942GA0080003</v>
      </c>
      <c r="AC25" s="90" t="str">
        <f t="shared" si="0"/>
        <v>89942GA0080018</v>
      </c>
      <c r="AD25" s="90" t="str">
        <f t="shared" si="0"/>
        <v>89942GA0080036</v>
      </c>
      <c r="AE25" s="90" t="str">
        <f t="shared" si="0"/>
        <v>89942GA0080012</v>
      </c>
      <c r="AF25" s="90" t="str">
        <f t="shared" si="0"/>
        <v>89942GA0080033</v>
      </c>
      <c r="AG25" s="90" t="str">
        <f t="shared" si="0"/>
        <v>89942GA0080027</v>
      </c>
      <c r="AH25" s="90" t="str">
        <f t="shared" si="0"/>
        <v>89942GA0080031</v>
      </c>
      <c r="AI25" s="90" t="str">
        <f t="shared" si="0"/>
        <v>89942GA0080028</v>
      </c>
      <c r="AJ25" s="90" t="str">
        <f t="shared" si="0"/>
        <v>89942GA0080005</v>
      </c>
      <c r="AK25" s="90" t="str">
        <f t="shared" ref="AK25:BA25" si="1">IF(AK13&lt;&gt;"",AK13,"")</f>
        <v>89942GA0080007</v>
      </c>
      <c r="AL25" s="90" t="str">
        <f t="shared" si="1"/>
        <v>89942GA0080013</v>
      </c>
      <c r="AM25" s="90" t="str">
        <f t="shared" si="1"/>
        <v>89942GA0080017</v>
      </c>
      <c r="AN25" s="90" t="str">
        <f t="shared" si="1"/>
        <v>89942GA0080025</v>
      </c>
      <c r="AO25" s="90" t="str">
        <f t="shared" si="1"/>
        <v>89942GA0080034</v>
      </c>
      <c r="AP25" s="90" t="str">
        <f t="shared" si="1"/>
        <v>89942GA0080029</v>
      </c>
      <c r="AQ25" s="90" t="str">
        <f t="shared" si="1"/>
        <v>89942GA0080032</v>
      </c>
      <c r="AR25" s="90" t="str">
        <f t="shared" si="1"/>
        <v>89942GA0080006</v>
      </c>
      <c r="AS25" s="90" t="str">
        <f t="shared" si="1"/>
        <v>89942GA0080016</v>
      </c>
      <c r="AT25" s="90" t="str">
        <f t="shared" si="1"/>
        <v>89942GA0080009</v>
      </c>
      <c r="AU25" s="90" t="str">
        <f t="shared" si="1"/>
        <v>89942GA0160001</v>
      </c>
      <c r="AV25" s="90" t="str">
        <f t="shared" si="1"/>
        <v>89942GA0160002</v>
      </c>
      <c r="AW25" s="90" t="str">
        <f t="shared" si="1"/>
        <v>89942GA0160003</v>
      </c>
      <c r="AX25" s="90" t="str">
        <f t="shared" si="1"/>
        <v>89942GA0160004</v>
      </c>
      <c r="AY25" s="90" t="str">
        <f t="shared" si="1"/>
        <v>89942GA0160005</v>
      </c>
      <c r="AZ25" s="90" t="str">
        <f t="shared" si="1"/>
        <v>89942GA0160006</v>
      </c>
      <c r="BA25" s="90" t="str">
        <f t="shared" si="1"/>
        <v>89942GA0110015</v>
      </c>
    </row>
    <row r="26" spans="1:53" ht="15" customHeight="1">
      <c r="A26" s="151">
        <f>'Wksh 1 - Market Experience'!E14</f>
        <v>37368192.479999997</v>
      </c>
      <c r="B26" s="146" t="s">
        <v>163</v>
      </c>
      <c r="C26" s="200" t="s">
        <v>86</v>
      </c>
      <c r="D26" s="198">
        <f>SUM(E26:BA26)</f>
        <v>37368192</v>
      </c>
      <c r="E26" s="187">
        <v>295469</v>
      </c>
      <c r="F26" s="187">
        <v>34094</v>
      </c>
      <c r="G26" s="187">
        <v>63004</v>
      </c>
      <c r="H26" s="187">
        <v>430</v>
      </c>
      <c r="I26" s="187">
        <v>23557</v>
      </c>
      <c r="J26" s="187">
        <v>22140</v>
      </c>
      <c r="K26" s="187">
        <v>561778</v>
      </c>
      <c r="L26" s="187">
        <v>74060</v>
      </c>
      <c r="M26" s="187">
        <v>119688</v>
      </c>
      <c r="N26" s="187">
        <v>140284</v>
      </c>
      <c r="O26" s="187">
        <v>16546</v>
      </c>
      <c r="P26" s="187">
        <v>5</v>
      </c>
      <c r="Q26" s="187">
        <v>839413</v>
      </c>
      <c r="R26" s="187">
        <v>9883</v>
      </c>
      <c r="S26" s="187">
        <v>54906</v>
      </c>
      <c r="T26" s="187">
        <v>19689</v>
      </c>
      <c r="U26" s="187">
        <v>1339</v>
      </c>
      <c r="V26" s="187">
        <v>18</v>
      </c>
      <c r="W26" s="187">
        <v>1198</v>
      </c>
      <c r="X26" s="187">
        <v>5737376</v>
      </c>
      <c r="Y26" s="187">
        <v>717334</v>
      </c>
      <c r="Z26" s="187">
        <v>2616586</v>
      </c>
      <c r="AA26" s="187">
        <v>1171619</v>
      </c>
      <c r="AB26" s="187">
        <v>2180507</v>
      </c>
      <c r="AC26" s="187">
        <v>817379</v>
      </c>
      <c r="AD26" s="187">
        <v>0</v>
      </c>
      <c r="AE26" s="187">
        <v>3153362</v>
      </c>
      <c r="AF26" s="187">
        <v>9275</v>
      </c>
      <c r="AG26" s="187">
        <v>1466323</v>
      </c>
      <c r="AH26" s="187">
        <v>171821</v>
      </c>
      <c r="AI26" s="187">
        <v>1075861</v>
      </c>
      <c r="AJ26" s="187">
        <v>2004214</v>
      </c>
      <c r="AK26" s="187">
        <v>428922</v>
      </c>
      <c r="AL26" s="187">
        <v>4273365</v>
      </c>
      <c r="AM26" s="187">
        <v>1551598</v>
      </c>
      <c r="AN26" s="187">
        <v>434819</v>
      </c>
      <c r="AO26" s="187">
        <v>62750</v>
      </c>
      <c r="AP26" s="187">
        <v>1950140</v>
      </c>
      <c r="AQ26" s="187">
        <v>183840</v>
      </c>
      <c r="AR26" s="187">
        <v>4588350</v>
      </c>
      <c r="AS26" s="187">
        <v>484664</v>
      </c>
      <c r="AT26" s="187">
        <v>10586</v>
      </c>
      <c r="AU26" s="187">
        <v>0</v>
      </c>
      <c r="AV26" s="187">
        <v>0</v>
      </c>
      <c r="AW26" s="187">
        <v>0</v>
      </c>
      <c r="AX26" s="187">
        <v>0</v>
      </c>
      <c r="AY26" s="187">
        <v>0</v>
      </c>
      <c r="AZ26" s="187">
        <v>0</v>
      </c>
      <c r="BA26" s="187">
        <v>0</v>
      </c>
    </row>
    <row r="27" spans="1:53" ht="15" customHeight="1">
      <c r="A27" s="153">
        <f>'Wksh 1 - Market Experience'!E15</f>
        <v>0</v>
      </c>
      <c r="B27" s="146" t="s">
        <v>164</v>
      </c>
      <c r="C27" s="200" t="s">
        <v>87</v>
      </c>
      <c r="D27" s="198">
        <f>SUM(E27:BA27)</f>
        <v>0</v>
      </c>
      <c r="E27" s="187">
        <v>0</v>
      </c>
      <c r="F27" s="187">
        <v>0</v>
      </c>
      <c r="G27" s="187">
        <v>0</v>
      </c>
      <c r="H27" s="187">
        <v>0</v>
      </c>
      <c r="I27" s="187">
        <v>0</v>
      </c>
      <c r="J27" s="187">
        <v>0</v>
      </c>
      <c r="K27" s="187">
        <v>0</v>
      </c>
      <c r="L27" s="187">
        <v>0</v>
      </c>
      <c r="M27" s="187">
        <v>0</v>
      </c>
      <c r="N27" s="187">
        <v>0</v>
      </c>
      <c r="O27" s="187">
        <v>0</v>
      </c>
      <c r="P27" s="187">
        <v>0</v>
      </c>
      <c r="Q27" s="187">
        <v>0</v>
      </c>
      <c r="R27" s="187">
        <v>0</v>
      </c>
      <c r="S27" s="187">
        <v>0</v>
      </c>
      <c r="T27" s="187">
        <v>0</v>
      </c>
      <c r="U27" s="187">
        <v>0</v>
      </c>
      <c r="V27" s="187">
        <v>0</v>
      </c>
      <c r="W27" s="187">
        <v>0</v>
      </c>
      <c r="X27" s="187">
        <v>0</v>
      </c>
      <c r="Y27" s="187">
        <v>0</v>
      </c>
      <c r="Z27" s="187">
        <v>0</v>
      </c>
      <c r="AA27" s="187">
        <v>0</v>
      </c>
      <c r="AB27" s="187">
        <v>0</v>
      </c>
      <c r="AC27" s="187">
        <v>0</v>
      </c>
      <c r="AD27" s="187">
        <v>0</v>
      </c>
      <c r="AE27" s="187">
        <v>0</v>
      </c>
      <c r="AF27" s="187">
        <v>0</v>
      </c>
      <c r="AG27" s="187">
        <v>0</v>
      </c>
      <c r="AH27" s="187">
        <v>0</v>
      </c>
      <c r="AI27" s="187">
        <v>0</v>
      </c>
      <c r="AJ27" s="187">
        <v>0</v>
      </c>
      <c r="AK27" s="187">
        <v>0</v>
      </c>
      <c r="AL27" s="187">
        <v>0</v>
      </c>
      <c r="AM27" s="187">
        <v>0</v>
      </c>
      <c r="AN27" s="187">
        <v>0</v>
      </c>
      <c r="AO27" s="187">
        <v>0</v>
      </c>
      <c r="AP27" s="187">
        <v>0</v>
      </c>
      <c r="AQ27" s="187">
        <v>0</v>
      </c>
      <c r="AR27" s="187">
        <v>0</v>
      </c>
      <c r="AS27" s="187">
        <v>0</v>
      </c>
      <c r="AT27" s="187">
        <v>0</v>
      </c>
      <c r="AU27" s="187">
        <v>0</v>
      </c>
      <c r="AV27" s="187">
        <v>0</v>
      </c>
      <c r="AW27" s="187">
        <v>0</v>
      </c>
      <c r="AX27" s="187">
        <v>0</v>
      </c>
      <c r="AY27" s="187">
        <v>0</v>
      </c>
      <c r="AZ27" s="187">
        <v>0</v>
      </c>
      <c r="BA27" s="187">
        <v>0</v>
      </c>
    </row>
    <row r="28" spans="1:53" ht="15" customHeight="1">
      <c r="A28" s="154"/>
      <c r="B28" s="146" t="s">
        <v>165</v>
      </c>
      <c r="C28" s="147" t="s">
        <v>111</v>
      </c>
      <c r="D28" s="201">
        <f>SUM(E28:BA28)</f>
        <v>6354187</v>
      </c>
      <c r="E28" s="187">
        <v>21060</v>
      </c>
      <c r="F28" s="187">
        <v>3716</v>
      </c>
      <c r="G28" s="187">
        <v>7939</v>
      </c>
      <c r="H28" s="187">
        <v>89</v>
      </c>
      <c r="I28" s="187">
        <v>3651</v>
      </c>
      <c r="J28" s="187">
        <v>3985</v>
      </c>
      <c r="K28" s="187">
        <v>112917</v>
      </c>
      <c r="L28" s="187">
        <v>16515</v>
      </c>
      <c r="M28" s="187">
        <v>26810</v>
      </c>
      <c r="N28" s="187">
        <v>34510</v>
      </c>
      <c r="O28" s="187">
        <v>5047</v>
      </c>
      <c r="P28" s="187">
        <v>1</v>
      </c>
      <c r="Q28" s="187">
        <v>193107</v>
      </c>
      <c r="R28" s="187">
        <v>2748</v>
      </c>
      <c r="S28" s="187">
        <v>18742</v>
      </c>
      <c r="T28" s="187">
        <v>6655</v>
      </c>
      <c r="U28" s="187">
        <v>127</v>
      </c>
      <c r="V28" s="187">
        <v>3</v>
      </c>
      <c r="W28" s="187">
        <v>279</v>
      </c>
      <c r="X28" s="187">
        <v>126222</v>
      </c>
      <c r="Y28" s="187">
        <v>33718</v>
      </c>
      <c r="Z28" s="187">
        <v>186620</v>
      </c>
      <c r="AA28" s="187">
        <v>110355</v>
      </c>
      <c r="AB28" s="187">
        <v>237675</v>
      </c>
      <c r="AC28" s="187">
        <v>122607</v>
      </c>
      <c r="AD28" s="187">
        <v>0</v>
      </c>
      <c r="AE28" s="187">
        <v>397324</v>
      </c>
      <c r="AF28" s="187">
        <v>1929</v>
      </c>
      <c r="AG28" s="187">
        <v>227280</v>
      </c>
      <c r="AH28" s="187">
        <v>32990</v>
      </c>
      <c r="AI28" s="187">
        <v>193655</v>
      </c>
      <c r="AJ28" s="187">
        <v>402847</v>
      </c>
      <c r="AK28" s="187">
        <v>95650</v>
      </c>
      <c r="AL28" s="187">
        <v>957234</v>
      </c>
      <c r="AM28" s="187">
        <v>381693</v>
      </c>
      <c r="AN28" s="187">
        <v>132620</v>
      </c>
      <c r="AO28" s="187">
        <v>19453</v>
      </c>
      <c r="AP28" s="187">
        <v>441478</v>
      </c>
      <c r="AQ28" s="187">
        <v>51107</v>
      </c>
      <c r="AR28" s="187">
        <v>1576424</v>
      </c>
      <c r="AS28" s="187">
        <v>163816</v>
      </c>
      <c r="AT28" s="187">
        <v>3589</v>
      </c>
      <c r="AU28" s="187">
        <v>0</v>
      </c>
      <c r="AV28" s="187">
        <v>0</v>
      </c>
      <c r="AW28" s="187">
        <v>0</v>
      </c>
      <c r="AX28" s="187">
        <v>0</v>
      </c>
      <c r="AY28" s="187">
        <v>0</v>
      </c>
      <c r="AZ28" s="187">
        <v>0</v>
      </c>
      <c r="BA28" s="187">
        <v>0</v>
      </c>
    </row>
    <row r="29" spans="1:53" ht="15" customHeight="1">
      <c r="A29" s="154"/>
      <c r="B29" s="146" t="s">
        <v>166</v>
      </c>
      <c r="C29" s="156" t="s">
        <v>112</v>
      </c>
      <c r="D29" s="201">
        <f>SUM(E29:BA29)</f>
        <v>0</v>
      </c>
      <c r="E29" s="187">
        <v>0</v>
      </c>
      <c r="F29" s="187">
        <v>0</v>
      </c>
      <c r="G29" s="187">
        <v>0</v>
      </c>
      <c r="H29" s="187">
        <v>0</v>
      </c>
      <c r="I29" s="187">
        <v>0</v>
      </c>
      <c r="J29" s="187">
        <v>0</v>
      </c>
      <c r="K29" s="187">
        <v>0</v>
      </c>
      <c r="L29" s="187">
        <v>0</v>
      </c>
      <c r="M29" s="187">
        <v>0</v>
      </c>
      <c r="N29" s="187">
        <v>0</v>
      </c>
      <c r="O29" s="187">
        <v>0</v>
      </c>
      <c r="P29" s="187">
        <v>0</v>
      </c>
      <c r="Q29" s="187">
        <v>0</v>
      </c>
      <c r="R29" s="187">
        <v>0</v>
      </c>
      <c r="S29" s="187">
        <v>0</v>
      </c>
      <c r="T29" s="187">
        <v>0</v>
      </c>
      <c r="U29" s="187">
        <v>0</v>
      </c>
      <c r="V29" s="187">
        <v>0</v>
      </c>
      <c r="W29" s="187">
        <v>0</v>
      </c>
      <c r="X29" s="187">
        <v>0</v>
      </c>
      <c r="Y29" s="187">
        <v>0</v>
      </c>
      <c r="Z29" s="187">
        <v>0</v>
      </c>
      <c r="AA29" s="187">
        <v>0</v>
      </c>
      <c r="AB29" s="187">
        <v>0</v>
      </c>
      <c r="AC29" s="187">
        <v>0</v>
      </c>
      <c r="AD29" s="187">
        <v>0</v>
      </c>
      <c r="AE29" s="187">
        <v>0</v>
      </c>
      <c r="AF29" s="187">
        <v>0</v>
      </c>
      <c r="AG29" s="187">
        <v>0</v>
      </c>
      <c r="AH29" s="187">
        <v>0</v>
      </c>
      <c r="AI29" s="187">
        <v>0</v>
      </c>
      <c r="AJ29" s="187">
        <v>0</v>
      </c>
      <c r="AK29" s="187">
        <v>0</v>
      </c>
      <c r="AL29" s="187">
        <v>0</v>
      </c>
      <c r="AM29" s="187">
        <v>0</v>
      </c>
      <c r="AN29" s="187">
        <v>0</v>
      </c>
      <c r="AO29" s="187">
        <v>0</v>
      </c>
      <c r="AP29" s="187">
        <v>0</v>
      </c>
      <c r="AQ29" s="187">
        <v>0</v>
      </c>
      <c r="AR29" s="187">
        <v>0</v>
      </c>
      <c r="AS29" s="187">
        <v>0</v>
      </c>
      <c r="AT29" s="187">
        <v>0</v>
      </c>
      <c r="AU29" s="187">
        <v>0</v>
      </c>
      <c r="AV29" s="187">
        <v>0</v>
      </c>
      <c r="AW29" s="187">
        <v>0</v>
      </c>
      <c r="AX29" s="187">
        <v>0</v>
      </c>
      <c r="AY29" s="187">
        <v>0</v>
      </c>
      <c r="AZ29" s="187">
        <v>0</v>
      </c>
      <c r="BA29" s="187">
        <v>0</v>
      </c>
    </row>
    <row r="30" spans="1:53" ht="15" customHeight="1">
      <c r="A30" s="153">
        <f>'Wksh 1 - Market Experience'!E16</f>
        <v>31014005.84</v>
      </c>
      <c r="B30" s="146" t="s">
        <v>167</v>
      </c>
      <c r="C30" s="147" t="s">
        <v>113</v>
      </c>
      <c r="D30" s="201">
        <f t="shared" ref="D30:AI30" si="2">D26-D27-D28-D29</f>
        <v>31014005</v>
      </c>
      <c r="E30" s="217">
        <f t="shared" si="2"/>
        <v>274409</v>
      </c>
      <c r="F30" s="217">
        <f t="shared" si="2"/>
        <v>30378</v>
      </c>
      <c r="G30" s="217">
        <f t="shared" si="2"/>
        <v>55065</v>
      </c>
      <c r="H30" s="217">
        <f t="shared" si="2"/>
        <v>341</v>
      </c>
      <c r="I30" s="217">
        <f t="shared" si="2"/>
        <v>19906</v>
      </c>
      <c r="J30" s="217">
        <f t="shared" si="2"/>
        <v>18155</v>
      </c>
      <c r="K30" s="217">
        <f t="shared" si="2"/>
        <v>448861</v>
      </c>
      <c r="L30" s="217">
        <f t="shared" si="2"/>
        <v>57545</v>
      </c>
      <c r="M30" s="217">
        <f t="shared" si="2"/>
        <v>92878</v>
      </c>
      <c r="N30" s="217">
        <f t="shared" si="2"/>
        <v>105774</v>
      </c>
      <c r="O30" s="217">
        <f t="shared" si="2"/>
        <v>11499</v>
      </c>
      <c r="P30" s="217">
        <f t="shared" si="2"/>
        <v>4</v>
      </c>
      <c r="Q30" s="217">
        <f t="shared" si="2"/>
        <v>646306</v>
      </c>
      <c r="R30" s="217">
        <f t="shared" si="2"/>
        <v>7135</v>
      </c>
      <c r="S30" s="217">
        <f t="shared" si="2"/>
        <v>36164</v>
      </c>
      <c r="T30" s="217">
        <f t="shared" si="2"/>
        <v>13034</v>
      </c>
      <c r="U30" s="217">
        <f t="shared" si="2"/>
        <v>1212</v>
      </c>
      <c r="V30" s="217">
        <f t="shared" si="2"/>
        <v>15</v>
      </c>
      <c r="W30" s="217">
        <f t="shared" si="2"/>
        <v>919</v>
      </c>
      <c r="X30" s="217">
        <f t="shared" si="2"/>
        <v>5611154</v>
      </c>
      <c r="Y30" s="217">
        <f t="shared" si="2"/>
        <v>683616</v>
      </c>
      <c r="Z30" s="217">
        <f t="shared" si="2"/>
        <v>2429966</v>
      </c>
      <c r="AA30" s="217">
        <f t="shared" si="2"/>
        <v>1061264</v>
      </c>
      <c r="AB30" s="217">
        <f t="shared" si="2"/>
        <v>1942832</v>
      </c>
      <c r="AC30" s="217">
        <f t="shared" si="2"/>
        <v>694772</v>
      </c>
      <c r="AD30" s="217">
        <f t="shared" si="2"/>
        <v>0</v>
      </c>
      <c r="AE30" s="217">
        <f t="shared" si="2"/>
        <v>2756038</v>
      </c>
      <c r="AF30" s="217">
        <f t="shared" si="2"/>
        <v>7346</v>
      </c>
      <c r="AG30" s="217">
        <f t="shared" si="2"/>
        <v>1239043</v>
      </c>
      <c r="AH30" s="217">
        <f t="shared" si="2"/>
        <v>138831</v>
      </c>
      <c r="AI30" s="217">
        <f t="shared" si="2"/>
        <v>882206</v>
      </c>
      <c r="AJ30" s="217">
        <f t="shared" ref="AJ30:BA30" si="3">AJ26-AJ27-AJ28-AJ29</f>
        <v>1601367</v>
      </c>
      <c r="AK30" s="217">
        <f t="shared" si="3"/>
        <v>333272</v>
      </c>
      <c r="AL30" s="217">
        <f t="shared" si="3"/>
        <v>3316131</v>
      </c>
      <c r="AM30" s="217">
        <f t="shared" si="3"/>
        <v>1169905</v>
      </c>
      <c r="AN30" s="217">
        <f t="shared" si="3"/>
        <v>302199</v>
      </c>
      <c r="AO30" s="217">
        <f t="shared" si="3"/>
        <v>43297</v>
      </c>
      <c r="AP30" s="217">
        <f t="shared" si="3"/>
        <v>1508662</v>
      </c>
      <c r="AQ30" s="217">
        <f t="shared" si="3"/>
        <v>132733</v>
      </c>
      <c r="AR30" s="217">
        <f t="shared" si="3"/>
        <v>3011926</v>
      </c>
      <c r="AS30" s="217">
        <f t="shared" si="3"/>
        <v>320848</v>
      </c>
      <c r="AT30" s="217">
        <f t="shared" si="3"/>
        <v>6997</v>
      </c>
      <c r="AU30" s="217">
        <f t="shared" si="3"/>
        <v>0</v>
      </c>
      <c r="AV30" s="217">
        <f t="shared" si="3"/>
        <v>0</v>
      </c>
      <c r="AW30" s="217">
        <f t="shared" si="3"/>
        <v>0</v>
      </c>
      <c r="AX30" s="217">
        <f t="shared" si="3"/>
        <v>0</v>
      </c>
      <c r="AY30" s="217">
        <f t="shared" si="3"/>
        <v>0</v>
      </c>
      <c r="AZ30" s="217">
        <f t="shared" si="3"/>
        <v>0</v>
      </c>
      <c r="BA30" s="217">
        <f t="shared" si="3"/>
        <v>0</v>
      </c>
    </row>
    <row r="31" spans="1:53" ht="15" customHeight="1">
      <c r="A31" s="153">
        <f>'Wksh 1 - Market Experience'!E17</f>
        <v>-11610000</v>
      </c>
      <c r="B31" s="146" t="s">
        <v>168</v>
      </c>
      <c r="C31" s="156" t="s">
        <v>114</v>
      </c>
      <c r="D31" s="201">
        <f>SUM(E31:BA31)</f>
        <v>-11610000</v>
      </c>
      <c r="E31" s="187">
        <v>-120440</v>
      </c>
      <c r="F31" s="187">
        <v>-19430</v>
      </c>
      <c r="G31" s="187">
        <v>-30003</v>
      </c>
      <c r="H31" s="187">
        <v>-429</v>
      </c>
      <c r="I31" s="187">
        <v>-6858</v>
      </c>
      <c r="J31" s="187">
        <v>-27003</v>
      </c>
      <c r="K31" s="187">
        <v>-72436</v>
      </c>
      <c r="L31" s="187">
        <v>-23002</v>
      </c>
      <c r="M31" s="187">
        <v>-80722</v>
      </c>
      <c r="N31" s="187">
        <v>-45862</v>
      </c>
      <c r="O31" s="187">
        <v>-18859</v>
      </c>
      <c r="P31" s="187">
        <v>-143</v>
      </c>
      <c r="Q31" s="187">
        <v>-5143</v>
      </c>
      <c r="R31" s="187">
        <v>-5429</v>
      </c>
      <c r="S31" s="187">
        <v>-54863</v>
      </c>
      <c r="T31" s="187">
        <v>-17287</v>
      </c>
      <c r="U31" s="187">
        <v>-1429</v>
      </c>
      <c r="V31" s="187">
        <v>-714</v>
      </c>
      <c r="W31" s="187">
        <v>-429</v>
      </c>
      <c r="X31" s="187">
        <v>-1368849</v>
      </c>
      <c r="Y31" s="187">
        <v>-256025</v>
      </c>
      <c r="Z31" s="187">
        <v>-662065</v>
      </c>
      <c r="AA31" s="187">
        <v>-366893</v>
      </c>
      <c r="AB31" s="187">
        <v>-688211</v>
      </c>
      <c r="AC31" s="187">
        <v>-375037</v>
      </c>
      <c r="AD31" s="187">
        <v>0</v>
      </c>
      <c r="AE31" s="187">
        <v>-1056675</v>
      </c>
      <c r="AF31" s="187">
        <v>-2715</v>
      </c>
      <c r="AG31" s="187">
        <v>-420899</v>
      </c>
      <c r="AH31" s="187">
        <v>-84008</v>
      </c>
      <c r="AI31" s="187">
        <v>-399182</v>
      </c>
      <c r="AJ31" s="187">
        <v>-746645</v>
      </c>
      <c r="AK31" s="187">
        <v>-207306</v>
      </c>
      <c r="AL31" s="187">
        <v>-1190260</v>
      </c>
      <c r="AM31" s="187">
        <v>-579628</v>
      </c>
      <c r="AN31" s="187">
        <v>-254454</v>
      </c>
      <c r="AO31" s="187">
        <v>-33289</v>
      </c>
      <c r="AP31" s="187">
        <v>-389467</v>
      </c>
      <c r="AQ31" s="187">
        <v>-127584</v>
      </c>
      <c r="AR31" s="187">
        <v>-1628303</v>
      </c>
      <c r="AS31" s="187">
        <v>-229451</v>
      </c>
      <c r="AT31" s="187">
        <v>-12573</v>
      </c>
      <c r="AU31" s="187">
        <v>0</v>
      </c>
      <c r="AV31" s="187">
        <v>0</v>
      </c>
      <c r="AW31" s="187">
        <v>0</v>
      </c>
      <c r="AX31" s="187">
        <v>0</v>
      </c>
      <c r="AY31" s="187">
        <v>0</v>
      </c>
      <c r="AZ31" s="187">
        <v>0</v>
      </c>
      <c r="BA31" s="187">
        <v>0</v>
      </c>
    </row>
    <row r="32" spans="1:53" ht="15" customHeight="1">
      <c r="A32" s="153">
        <f>'Wksh 1 - Market Experience'!E18</f>
        <v>50760173.420000002</v>
      </c>
      <c r="B32" s="146" t="s">
        <v>169</v>
      </c>
      <c r="C32" s="156" t="s">
        <v>115</v>
      </c>
      <c r="D32" s="201">
        <f>SUM(E32:BA32)</f>
        <v>45477972.830000006</v>
      </c>
      <c r="E32" s="187">
        <v>499866.75000000012</v>
      </c>
      <c r="F32" s="187">
        <v>65753.109999999971</v>
      </c>
      <c r="G32" s="187">
        <v>102468.77999999997</v>
      </c>
      <c r="H32" s="187">
        <v>1718.2000000000003</v>
      </c>
      <c r="I32" s="187">
        <v>20122.370000000003</v>
      </c>
      <c r="J32" s="187">
        <v>85205.949999999983</v>
      </c>
      <c r="K32" s="187">
        <v>275479.48</v>
      </c>
      <c r="L32" s="187">
        <v>77097.550000000017</v>
      </c>
      <c r="M32" s="187">
        <v>314386.01000000007</v>
      </c>
      <c r="N32" s="187">
        <v>169246.33</v>
      </c>
      <c r="O32" s="187">
        <v>55467.9</v>
      </c>
      <c r="P32" s="187">
        <v>401.97999999999996</v>
      </c>
      <c r="Q32" s="187">
        <v>21927.44999999999</v>
      </c>
      <c r="R32" s="187">
        <v>17005.700000000004</v>
      </c>
      <c r="S32" s="187">
        <v>152562.98000000001</v>
      </c>
      <c r="T32" s="187">
        <v>52744.17</v>
      </c>
      <c r="U32" s="187">
        <v>4548.12</v>
      </c>
      <c r="V32" s="187">
        <v>4217.7</v>
      </c>
      <c r="W32" s="187">
        <v>1085.28</v>
      </c>
      <c r="X32" s="187">
        <v>6355384.2499999991</v>
      </c>
      <c r="Y32" s="187">
        <v>1098820.2499999998</v>
      </c>
      <c r="Z32" s="187">
        <v>2732258.1400000006</v>
      </c>
      <c r="AA32" s="187">
        <v>1473201.3</v>
      </c>
      <c r="AB32" s="187">
        <v>3068239.61</v>
      </c>
      <c r="AC32" s="187">
        <v>1640229.9100000001</v>
      </c>
      <c r="AD32" s="187">
        <v>0</v>
      </c>
      <c r="AE32" s="187">
        <v>4632296.9100000011</v>
      </c>
      <c r="AF32" s="187">
        <v>8179.96</v>
      </c>
      <c r="AG32" s="187">
        <v>1755597.82</v>
      </c>
      <c r="AH32" s="187">
        <v>319215.93999999994</v>
      </c>
      <c r="AI32" s="187">
        <v>1533887.8800000001</v>
      </c>
      <c r="AJ32" s="187">
        <v>2807313.64</v>
      </c>
      <c r="AK32" s="187">
        <v>785925.64999999979</v>
      </c>
      <c r="AL32" s="187">
        <v>4615433.2400000012</v>
      </c>
      <c r="AM32" s="187">
        <v>2122182.2700000005</v>
      </c>
      <c r="AN32" s="187">
        <v>864684.2</v>
      </c>
      <c r="AO32" s="187">
        <v>112971.39000000001</v>
      </c>
      <c r="AP32" s="187">
        <v>1365539.57</v>
      </c>
      <c r="AQ32" s="187">
        <v>416330.22000000003</v>
      </c>
      <c r="AR32" s="187">
        <v>5094089.63</v>
      </c>
      <c r="AS32" s="187">
        <v>721955.58000000007</v>
      </c>
      <c r="AT32" s="187">
        <v>32929.659999999996</v>
      </c>
      <c r="AU32" s="187">
        <v>0</v>
      </c>
      <c r="AV32" s="187">
        <v>0</v>
      </c>
      <c r="AW32" s="187">
        <v>0</v>
      </c>
      <c r="AX32" s="187">
        <v>0</v>
      </c>
      <c r="AY32" s="187">
        <v>0</v>
      </c>
      <c r="AZ32" s="187">
        <v>0</v>
      </c>
      <c r="BA32" s="187">
        <v>0</v>
      </c>
    </row>
    <row r="33" spans="1:57" ht="15" customHeight="1">
      <c r="A33" s="157">
        <f>'Wksh 1 - Market Experience'!E19</f>
        <v>81262</v>
      </c>
      <c r="B33" s="146" t="s">
        <v>170</v>
      </c>
      <c r="C33" s="156" t="s">
        <v>22</v>
      </c>
      <c r="D33" s="202">
        <f>SUM(E33:BA33)</f>
        <v>81262</v>
      </c>
      <c r="E33" s="218">
        <v>843</v>
      </c>
      <c r="F33" s="218">
        <v>136</v>
      </c>
      <c r="G33" s="218">
        <v>210</v>
      </c>
      <c r="H33" s="218">
        <v>3</v>
      </c>
      <c r="I33" s="218">
        <v>48</v>
      </c>
      <c r="J33" s="218">
        <v>189</v>
      </c>
      <c r="K33" s="218">
        <v>507</v>
      </c>
      <c r="L33" s="218">
        <v>161</v>
      </c>
      <c r="M33" s="218">
        <v>565</v>
      </c>
      <c r="N33" s="218">
        <v>321</v>
      </c>
      <c r="O33" s="218">
        <v>132</v>
      </c>
      <c r="P33" s="218">
        <v>1</v>
      </c>
      <c r="Q33" s="218">
        <v>36</v>
      </c>
      <c r="R33" s="218">
        <v>38</v>
      </c>
      <c r="S33" s="218">
        <v>384</v>
      </c>
      <c r="T33" s="218">
        <v>121</v>
      </c>
      <c r="U33" s="218">
        <v>10</v>
      </c>
      <c r="V33" s="218">
        <v>5</v>
      </c>
      <c r="W33" s="218">
        <v>3</v>
      </c>
      <c r="X33" s="218">
        <v>9581</v>
      </c>
      <c r="Y33" s="218">
        <v>1792</v>
      </c>
      <c r="Z33" s="218">
        <v>4634</v>
      </c>
      <c r="AA33" s="218">
        <v>2568</v>
      </c>
      <c r="AB33" s="218">
        <v>4817</v>
      </c>
      <c r="AC33" s="218">
        <v>2625</v>
      </c>
      <c r="AD33" s="218">
        <v>0</v>
      </c>
      <c r="AE33" s="218">
        <v>7396</v>
      </c>
      <c r="AF33" s="218">
        <v>19</v>
      </c>
      <c r="AG33" s="218">
        <v>2946</v>
      </c>
      <c r="AH33" s="218">
        <v>588</v>
      </c>
      <c r="AI33" s="218">
        <v>2794</v>
      </c>
      <c r="AJ33" s="218">
        <v>5226</v>
      </c>
      <c r="AK33" s="218">
        <v>1451</v>
      </c>
      <c r="AL33" s="218">
        <v>8331</v>
      </c>
      <c r="AM33" s="218">
        <v>4057</v>
      </c>
      <c r="AN33" s="218">
        <v>1781</v>
      </c>
      <c r="AO33" s="218">
        <v>233</v>
      </c>
      <c r="AP33" s="218">
        <v>2726</v>
      </c>
      <c r="AQ33" s="218">
        <v>893</v>
      </c>
      <c r="AR33" s="218">
        <v>11397</v>
      </c>
      <c r="AS33" s="218">
        <v>1606</v>
      </c>
      <c r="AT33" s="218">
        <v>88</v>
      </c>
      <c r="AU33" s="218">
        <v>0</v>
      </c>
      <c r="AV33" s="218">
        <v>0</v>
      </c>
      <c r="AW33" s="218">
        <v>0</v>
      </c>
      <c r="AX33" s="218">
        <v>0</v>
      </c>
      <c r="AY33" s="218">
        <v>0</v>
      </c>
      <c r="AZ33" s="218">
        <v>0</v>
      </c>
      <c r="BA33" s="218">
        <v>0</v>
      </c>
    </row>
    <row r="34" spans="1:57" ht="15" customHeight="1">
      <c r="A34" s="154"/>
      <c r="B34" s="146" t="s">
        <v>171</v>
      </c>
      <c r="C34" s="156" t="s">
        <v>116</v>
      </c>
      <c r="D34" s="202">
        <f>SUM(E34:BA34)</f>
        <v>6289</v>
      </c>
      <c r="E34" s="218">
        <v>63</v>
      </c>
      <c r="F34" s="218">
        <v>9</v>
      </c>
      <c r="G34" s="218">
        <v>20</v>
      </c>
      <c r="H34" s="218">
        <v>3</v>
      </c>
      <c r="I34" s="218">
        <v>1</v>
      </c>
      <c r="J34" s="218">
        <v>14</v>
      </c>
      <c r="K34" s="218">
        <v>42</v>
      </c>
      <c r="L34" s="218">
        <v>8</v>
      </c>
      <c r="M34" s="218">
        <v>28</v>
      </c>
      <c r="N34" s="218">
        <v>22</v>
      </c>
      <c r="O34" s="218">
        <v>10</v>
      </c>
      <c r="P34" s="218">
        <v>1</v>
      </c>
      <c r="Q34" s="218">
        <v>2</v>
      </c>
      <c r="R34" s="218">
        <v>5</v>
      </c>
      <c r="S34" s="218">
        <v>29</v>
      </c>
      <c r="T34" s="218">
        <v>9</v>
      </c>
      <c r="U34" s="218">
        <v>0</v>
      </c>
      <c r="V34" s="218">
        <v>8</v>
      </c>
      <c r="W34" s="218">
        <v>0</v>
      </c>
      <c r="X34" s="218">
        <v>871</v>
      </c>
      <c r="Y34" s="218">
        <v>192</v>
      </c>
      <c r="Z34" s="218">
        <v>339</v>
      </c>
      <c r="AA34" s="218">
        <v>213</v>
      </c>
      <c r="AB34" s="218">
        <v>331</v>
      </c>
      <c r="AC34" s="218">
        <v>213</v>
      </c>
      <c r="AD34" s="218">
        <v>0</v>
      </c>
      <c r="AE34" s="218">
        <v>608</v>
      </c>
      <c r="AF34" s="218">
        <v>8</v>
      </c>
      <c r="AG34" s="218">
        <v>237</v>
      </c>
      <c r="AH34" s="218">
        <v>54</v>
      </c>
      <c r="AI34" s="218">
        <v>264</v>
      </c>
      <c r="AJ34" s="218">
        <v>345</v>
      </c>
      <c r="AK34" s="218">
        <v>93</v>
      </c>
      <c r="AL34" s="218">
        <v>566</v>
      </c>
      <c r="AM34" s="218">
        <v>314</v>
      </c>
      <c r="AN34" s="218">
        <v>132</v>
      </c>
      <c r="AO34" s="218">
        <v>52</v>
      </c>
      <c r="AP34" s="218">
        <v>188</v>
      </c>
      <c r="AQ34" s="218">
        <v>70</v>
      </c>
      <c r="AR34" s="218">
        <v>727</v>
      </c>
      <c r="AS34" s="218">
        <v>145</v>
      </c>
      <c r="AT34" s="218">
        <v>0</v>
      </c>
      <c r="AU34" s="218">
        <v>11</v>
      </c>
      <c r="AV34" s="218">
        <v>0</v>
      </c>
      <c r="AW34" s="218">
        <v>0</v>
      </c>
      <c r="AX34" s="218">
        <v>9</v>
      </c>
      <c r="AY34" s="218">
        <v>15</v>
      </c>
      <c r="AZ34" s="218">
        <v>18</v>
      </c>
      <c r="BA34" s="218">
        <v>0</v>
      </c>
      <c r="BC34" s="5"/>
      <c r="BD34" s="5"/>
    </row>
    <row r="35" spans="1:57" ht="15" customHeight="1">
      <c r="A35" s="149"/>
      <c r="B35" s="148" t="s">
        <v>172</v>
      </c>
      <c r="C35" s="138" t="s">
        <v>117</v>
      </c>
      <c r="D35" s="203">
        <f>SUMPRODUCT(E35:BA35,E34:BA34)/D34</f>
        <v>590.86706948640483</v>
      </c>
      <c r="E35" s="188">
        <v>626</v>
      </c>
      <c r="F35" s="188">
        <v>527</v>
      </c>
      <c r="G35" s="188">
        <v>492</v>
      </c>
      <c r="H35" s="188">
        <v>562</v>
      </c>
      <c r="I35" s="188">
        <v>525</v>
      </c>
      <c r="J35" s="188">
        <v>439</v>
      </c>
      <c r="K35" s="188">
        <v>558</v>
      </c>
      <c r="L35" s="188">
        <v>592</v>
      </c>
      <c r="M35" s="188">
        <v>551</v>
      </c>
      <c r="N35" s="188">
        <v>540</v>
      </c>
      <c r="O35" s="188">
        <v>457</v>
      </c>
      <c r="P35" s="188">
        <v>395</v>
      </c>
      <c r="Q35" s="188">
        <v>771</v>
      </c>
      <c r="R35" s="188">
        <v>511</v>
      </c>
      <c r="S35" s="188">
        <v>415</v>
      </c>
      <c r="T35" s="188">
        <v>429</v>
      </c>
      <c r="U35" s="188">
        <v>0</v>
      </c>
      <c r="V35" s="188">
        <v>702</v>
      </c>
      <c r="W35" s="188">
        <v>0</v>
      </c>
      <c r="X35" s="188">
        <v>685</v>
      </c>
      <c r="Y35" s="188">
        <v>609</v>
      </c>
      <c r="Z35" s="188">
        <v>643</v>
      </c>
      <c r="AA35" s="188">
        <v>595</v>
      </c>
      <c r="AB35" s="188">
        <v>596</v>
      </c>
      <c r="AC35" s="188">
        <v>641</v>
      </c>
      <c r="AD35" s="188">
        <v>0</v>
      </c>
      <c r="AE35" s="188">
        <v>655</v>
      </c>
      <c r="AF35" s="188">
        <v>656</v>
      </c>
      <c r="AG35" s="188">
        <v>652</v>
      </c>
      <c r="AH35" s="188">
        <v>562</v>
      </c>
      <c r="AI35" s="188">
        <v>542</v>
      </c>
      <c r="AJ35" s="188">
        <v>578</v>
      </c>
      <c r="AK35" s="188">
        <v>555</v>
      </c>
      <c r="AL35" s="188">
        <v>590</v>
      </c>
      <c r="AM35" s="188">
        <v>560</v>
      </c>
      <c r="AN35" s="188">
        <v>469</v>
      </c>
      <c r="AO35" s="188">
        <v>544</v>
      </c>
      <c r="AP35" s="188">
        <v>542</v>
      </c>
      <c r="AQ35" s="188">
        <v>570</v>
      </c>
      <c r="AR35" s="188">
        <v>494</v>
      </c>
      <c r="AS35" s="188">
        <v>384</v>
      </c>
      <c r="AT35" s="188">
        <v>0</v>
      </c>
      <c r="AU35" s="188">
        <v>1131</v>
      </c>
      <c r="AV35" s="188">
        <v>0</v>
      </c>
      <c r="AW35" s="188">
        <v>0</v>
      </c>
      <c r="AX35" s="188">
        <v>578</v>
      </c>
      <c r="AY35" s="188">
        <v>557</v>
      </c>
      <c r="AZ35" s="188">
        <v>577</v>
      </c>
      <c r="BA35" s="188">
        <v>0</v>
      </c>
      <c r="BC35" s="5"/>
      <c r="BD35" s="20"/>
    </row>
    <row r="36" spans="1:57" ht="15" customHeight="1">
      <c r="A36" s="149"/>
      <c r="B36" s="204" t="s">
        <v>173</v>
      </c>
      <c r="C36" s="205" t="s">
        <v>118</v>
      </c>
      <c r="D36" s="158">
        <f t="shared" ref="D36:AI36" si="4">D30/(D31+D32)</f>
        <v>0.91573254636982637</v>
      </c>
      <c r="E36" s="88">
        <f t="shared" si="4"/>
        <v>0.72321996274643241</v>
      </c>
      <c r="F36" s="88">
        <f t="shared" si="4"/>
        <v>0.65578498507548433</v>
      </c>
      <c r="G36" s="88">
        <f t="shared" si="4"/>
        <v>0.75987590280543482</v>
      </c>
      <c r="H36" s="88">
        <f t="shared" si="4"/>
        <v>0.26450511945392485</v>
      </c>
      <c r="I36" s="88">
        <f t="shared" si="4"/>
        <v>1.5007120579416886</v>
      </c>
      <c r="J36" s="88">
        <f t="shared" si="4"/>
        <v>0.31192577008553701</v>
      </c>
      <c r="K36" s="88">
        <f t="shared" si="4"/>
        <v>2.2106644350264291</v>
      </c>
      <c r="L36" s="88">
        <f t="shared" si="4"/>
        <v>1.0637658735330351</v>
      </c>
      <c r="M36" s="88">
        <f t="shared" si="4"/>
        <v>0.39748526099504999</v>
      </c>
      <c r="N36" s="88">
        <f t="shared" si="4"/>
        <v>0.857272556409716</v>
      </c>
      <c r="O36" s="88">
        <f t="shared" si="4"/>
        <v>0.31410394740076863</v>
      </c>
      <c r="P36" s="88">
        <f t="shared" si="4"/>
        <v>1.5445208124179476E-2</v>
      </c>
      <c r="Q36" s="88">
        <f t="shared" si="4"/>
        <v>38.50623642716922</v>
      </c>
      <c r="R36" s="88">
        <f t="shared" si="4"/>
        <v>0.61632416837267934</v>
      </c>
      <c r="S36" s="88">
        <f t="shared" si="4"/>
        <v>0.3701536069915265</v>
      </c>
      <c r="T36" s="88">
        <f t="shared" si="4"/>
        <v>0.3675984293162709</v>
      </c>
      <c r="U36" s="88">
        <f t="shared" si="4"/>
        <v>0.38857113544845984</v>
      </c>
      <c r="V36" s="88">
        <f t="shared" si="4"/>
        <v>4.2811884579159179E-3</v>
      </c>
      <c r="W36" s="88">
        <f t="shared" si="4"/>
        <v>1.400316937892363</v>
      </c>
      <c r="X36" s="88">
        <f t="shared" si="4"/>
        <v>1.1252610718033129</v>
      </c>
      <c r="Y36" s="88">
        <f t="shared" si="4"/>
        <v>0.8111293935270758</v>
      </c>
      <c r="Z36" s="88">
        <f t="shared" si="4"/>
        <v>1.1737870989177364</v>
      </c>
      <c r="AA36" s="88">
        <f t="shared" si="4"/>
        <v>0.95928413444968275</v>
      </c>
      <c r="AB36" s="88">
        <f t="shared" si="4"/>
        <v>0.81630615356342295</v>
      </c>
      <c r="AC36" s="88">
        <f t="shared" si="4"/>
        <v>0.54914313422764904</v>
      </c>
      <c r="AD36" s="88" t="e">
        <f t="shared" si="4"/>
        <v>#DIV/0!</v>
      </c>
      <c r="AE36" s="88">
        <f t="shared" si="4"/>
        <v>0.77078563376405729</v>
      </c>
      <c r="AF36" s="88">
        <f t="shared" si="4"/>
        <v>1.3442001405316781</v>
      </c>
      <c r="AG36" s="88">
        <f t="shared" si="4"/>
        <v>0.92833153175335836</v>
      </c>
      <c r="AH36" s="88">
        <f t="shared" si="4"/>
        <v>0.59024793125606234</v>
      </c>
      <c r="AI36" s="88">
        <f t="shared" si="4"/>
        <v>0.77747548113525233</v>
      </c>
      <c r="AJ36" s="88">
        <f t="shared" ref="AJ36:BA36" si="5">AJ30/(AJ31+AJ32)</f>
        <v>0.77711038490885165</v>
      </c>
      <c r="AK36" s="88">
        <f t="shared" si="5"/>
        <v>0.57597767376203024</v>
      </c>
      <c r="AL36" s="88">
        <f t="shared" si="5"/>
        <v>0.96816445990918665</v>
      </c>
      <c r="AM36" s="88">
        <f t="shared" si="5"/>
        <v>0.75842064214700178</v>
      </c>
      <c r="AN36" s="88">
        <f t="shared" si="5"/>
        <v>0.49522131156406224</v>
      </c>
      <c r="AO36" s="88">
        <f t="shared" si="5"/>
        <v>0.54336974581209219</v>
      </c>
      <c r="AP36" s="88">
        <f t="shared" si="5"/>
        <v>1.5456453202040088</v>
      </c>
      <c r="AQ36" s="88">
        <f t="shared" si="5"/>
        <v>0.45968740300738825</v>
      </c>
      <c r="AR36" s="88">
        <f t="shared" si="5"/>
        <v>0.8690454207217021</v>
      </c>
      <c r="AS36" s="88">
        <f t="shared" si="5"/>
        <v>0.65146196203901285</v>
      </c>
      <c r="AT36" s="88">
        <f t="shared" si="5"/>
        <v>0.34372043350922998</v>
      </c>
      <c r="AU36" s="88" t="e">
        <f t="shared" si="5"/>
        <v>#DIV/0!</v>
      </c>
      <c r="AV36" s="88" t="e">
        <f t="shared" si="5"/>
        <v>#DIV/0!</v>
      </c>
      <c r="AW36" s="88" t="e">
        <f t="shared" si="5"/>
        <v>#DIV/0!</v>
      </c>
      <c r="AX36" s="88" t="e">
        <f t="shared" si="5"/>
        <v>#DIV/0!</v>
      </c>
      <c r="AY36" s="88" t="e">
        <f t="shared" si="5"/>
        <v>#DIV/0!</v>
      </c>
      <c r="AZ36" s="88" t="e">
        <f t="shared" si="5"/>
        <v>#DIV/0!</v>
      </c>
      <c r="BA36" s="88" t="e">
        <f t="shared" si="5"/>
        <v>#DIV/0!</v>
      </c>
    </row>
    <row r="37" spans="1:57" ht="15" customHeight="1">
      <c r="A37" s="72"/>
      <c r="C37" s="76" t="s">
        <v>120</v>
      </c>
      <c r="D37" s="25"/>
      <c r="BC37" s="5"/>
      <c r="BD37" s="5"/>
      <c r="BE37" s="5"/>
    </row>
    <row r="38" spans="1:57" ht="15" customHeight="1">
      <c r="A38" s="149"/>
      <c r="B38" s="146" t="s">
        <v>174</v>
      </c>
      <c r="C38" s="156" t="s">
        <v>86</v>
      </c>
      <c r="D38" s="86">
        <f t="shared" ref="D38:AI38" si="6">D26/D33</f>
        <v>459.84829317516181</v>
      </c>
      <c r="E38" s="86">
        <f t="shared" si="6"/>
        <v>350.49703440094902</v>
      </c>
      <c r="F38" s="86">
        <f t="shared" si="6"/>
        <v>250.69117647058823</v>
      </c>
      <c r="G38" s="86">
        <f t="shared" si="6"/>
        <v>300.01904761904763</v>
      </c>
      <c r="H38" s="86">
        <f t="shared" si="6"/>
        <v>143.33333333333334</v>
      </c>
      <c r="I38" s="86">
        <f t="shared" si="6"/>
        <v>490.77083333333331</v>
      </c>
      <c r="J38" s="86">
        <f t="shared" si="6"/>
        <v>117.14285714285714</v>
      </c>
      <c r="K38" s="86">
        <f t="shared" si="6"/>
        <v>1108.043392504931</v>
      </c>
      <c r="L38" s="86">
        <f t="shared" si="6"/>
        <v>460</v>
      </c>
      <c r="M38" s="86">
        <f t="shared" si="6"/>
        <v>211.83716814159291</v>
      </c>
      <c r="N38" s="86">
        <f t="shared" si="6"/>
        <v>437.02180685358258</v>
      </c>
      <c r="O38" s="86">
        <f t="shared" si="6"/>
        <v>125.34848484848484</v>
      </c>
      <c r="P38" s="86">
        <f t="shared" si="6"/>
        <v>5</v>
      </c>
      <c r="Q38" s="86">
        <f t="shared" si="6"/>
        <v>23317.027777777777</v>
      </c>
      <c r="R38" s="86">
        <f t="shared" si="6"/>
        <v>260.07894736842104</v>
      </c>
      <c r="S38" s="86">
        <f t="shared" si="6"/>
        <v>142.984375</v>
      </c>
      <c r="T38" s="86">
        <f t="shared" si="6"/>
        <v>162.71900826446281</v>
      </c>
      <c r="U38" s="86">
        <f t="shared" si="6"/>
        <v>133.9</v>
      </c>
      <c r="V38" s="86">
        <f t="shared" si="6"/>
        <v>3.6</v>
      </c>
      <c r="W38" s="86">
        <f t="shared" si="6"/>
        <v>399.33333333333331</v>
      </c>
      <c r="X38" s="86">
        <f t="shared" si="6"/>
        <v>598.82851476881331</v>
      </c>
      <c r="Y38" s="86">
        <f t="shared" si="6"/>
        <v>400.29799107142856</v>
      </c>
      <c r="Z38" s="86">
        <f t="shared" si="6"/>
        <v>564.64954682779455</v>
      </c>
      <c r="AA38" s="86">
        <f t="shared" si="6"/>
        <v>456.23792834890963</v>
      </c>
      <c r="AB38" s="86">
        <f t="shared" si="6"/>
        <v>452.66908864438449</v>
      </c>
      <c r="AC38" s="86">
        <f t="shared" si="6"/>
        <v>311.38247619047621</v>
      </c>
      <c r="AD38" s="86" t="e">
        <f t="shared" si="6"/>
        <v>#DIV/0!</v>
      </c>
      <c r="AE38" s="86">
        <f t="shared" si="6"/>
        <v>426.36046511627904</v>
      </c>
      <c r="AF38" s="86">
        <f t="shared" si="6"/>
        <v>488.15789473684208</v>
      </c>
      <c r="AG38" s="86">
        <f t="shared" si="6"/>
        <v>497.73353699932113</v>
      </c>
      <c r="AH38" s="86">
        <f t="shared" si="6"/>
        <v>292.21258503401361</v>
      </c>
      <c r="AI38" s="86">
        <f t="shared" si="6"/>
        <v>385.06120257695062</v>
      </c>
      <c r="AJ38" s="86">
        <f t="shared" ref="AJ38:BA38" si="7">AJ26/AJ33</f>
        <v>383.50822809031763</v>
      </c>
      <c r="AK38" s="86">
        <f t="shared" si="7"/>
        <v>295.60441075120605</v>
      </c>
      <c r="AL38" s="86">
        <f t="shared" si="7"/>
        <v>512.94742527907817</v>
      </c>
      <c r="AM38" s="86">
        <f t="shared" si="7"/>
        <v>382.44959329553859</v>
      </c>
      <c r="AN38" s="86">
        <f t="shared" si="7"/>
        <v>244.14317798989333</v>
      </c>
      <c r="AO38" s="86">
        <f t="shared" si="7"/>
        <v>269.31330472103002</v>
      </c>
      <c r="AP38" s="86">
        <f t="shared" si="7"/>
        <v>715.38517975055026</v>
      </c>
      <c r="AQ38" s="86">
        <f t="shared" si="7"/>
        <v>205.86786114221724</v>
      </c>
      <c r="AR38" s="86">
        <f t="shared" si="7"/>
        <v>402.59278757567779</v>
      </c>
      <c r="AS38" s="86">
        <f t="shared" si="7"/>
        <v>301.7833125778331</v>
      </c>
      <c r="AT38" s="86">
        <f t="shared" si="7"/>
        <v>120.29545454545455</v>
      </c>
      <c r="AU38" s="86" t="e">
        <f t="shared" si="7"/>
        <v>#DIV/0!</v>
      </c>
      <c r="AV38" s="86" t="e">
        <f t="shared" si="7"/>
        <v>#DIV/0!</v>
      </c>
      <c r="AW38" s="86" t="e">
        <f t="shared" si="7"/>
        <v>#DIV/0!</v>
      </c>
      <c r="AX38" s="86" t="e">
        <f t="shared" si="7"/>
        <v>#DIV/0!</v>
      </c>
      <c r="AY38" s="86" t="e">
        <f t="shared" si="7"/>
        <v>#DIV/0!</v>
      </c>
      <c r="AZ38" s="86" t="e">
        <f t="shared" si="7"/>
        <v>#DIV/0!</v>
      </c>
      <c r="BA38" s="86" t="e">
        <f t="shared" si="7"/>
        <v>#DIV/0!</v>
      </c>
    </row>
    <row r="39" spans="1:57" ht="15" customHeight="1">
      <c r="A39" s="149"/>
      <c r="B39" s="146" t="s">
        <v>175</v>
      </c>
      <c r="C39" s="156" t="s">
        <v>87</v>
      </c>
      <c r="D39" s="86">
        <f t="shared" ref="D39:AI39" si="8">D27/D33</f>
        <v>0</v>
      </c>
      <c r="E39" s="86">
        <f t="shared" si="8"/>
        <v>0</v>
      </c>
      <c r="F39" s="86">
        <f t="shared" si="8"/>
        <v>0</v>
      </c>
      <c r="G39" s="86">
        <f t="shared" si="8"/>
        <v>0</v>
      </c>
      <c r="H39" s="86">
        <f t="shared" si="8"/>
        <v>0</v>
      </c>
      <c r="I39" s="86">
        <f t="shared" si="8"/>
        <v>0</v>
      </c>
      <c r="J39" s="86">
        <f t="shared" si="8"/>
        <v>0</v>
      </c>
      <c r="K39" s="86">
        <f t="shared" si="8"/>
        <v>0</v>
      </c>
      <c r="L39" s="86">
        <f t="shared" si="8"/>
        <v>0</v>
      </c>
      <c r="M39" s="86">
        <f t="shared" si="8"/>
        <v>0</v>
      </c>
      <c r="N39" s="86">
        <f t="shared" si="8"/>
        <v>0</v>
      </c>
      <c r="O39" s="86">
        <f t="shared" si="8"/>
        <v>0</v>
      </c>
      <c r="P39" s="86">
        <f t="shared" si="8"/>
        <v>0</v>
      </c>
      <c r="Q39" s="86">
        <f t="shared" si="8"/>
        <v>0</v>
      </c>
      <c r="R39" s="86">
        <f t="shared" si="8"/>
        <v>0</v>
      </c>
      <c r="S39" s="86">
        <f t="shared" si="8"/>
        <v>0</v>
      </c>
      <c r="T39" s="86">
        <f t="shared" si="8"/>
        <v>0</v>
      </c>
      <c r="U39" s="86">
        <f t="shared" si="8"/>
        <v>0</v>
      </c>
      <c r="V39" s="86">
        <f t="shared" si="8"/>
        <v>0</v>
      </c>
      <c r="W39" s="86">
        <f t="shared" si="8"/>
        <v>0</v>
      </c>
      <c r="X39" s="86">
        <f t="shared" si="8"/>
        <v>0</v>
      </c>
      <c r="Y39" s="86">
        <f t="shared" si="8"/>
        <v>0</v>
      </c>
      <c r="Z39" s="86">
        <f t="shared" si="8"/>
        <v>0</v>
      </c>
      <c r="AA39" s="86">
        <f t="shared" si="8"/>
        <v>0</v>
      </c>
      <c r="AB39" s="86">
        <f t="shared" si="8"/>
        <v>0</v>
      </c>
      <c r="AC39" s="86">
        <f t="shared" si="8"/>
        <v>0</v>
      </c>
      <c r="AD39" s="86" t="e">
        <f t="shared" si="8"/>
        <v>#DIV/0!</v>
      </c>
      <c r="AE39" s="86">
        <f t="shared" si="8"/>
        <v>0</v>
      </c>
      <c r="AF39" s="86">
        <f t="shared" si="8"/>
        <v>0</v>
      </c>
      <c r="AG39" s="86">
        <f t="shared" si="8"/>
        <v>0</v>
      </c>
      <c r="AH39" s="86">
        <f t="shared" si="8"/>
        <v>0</v>
      </c>
      <c r="AI39" s="86">
        <f t="shared" si="8"/>
        <v>0</v>
      </c>
      <c r="AJ39" s="86">
        <f t="shared" ref="AJ39:BA39" si="9">AJ27/AJ33</f>
        <v>0</v>
      </c>
      <c r="AK39" s="86">
        <f t="shared" si="9"/>
        <v>0</v>
      </c>
      <c r="AL39" s="86">
        <f t="shared" si="9"/>
        <v>0</v>
      </c>
      <c r="AM39" s="86">
        <f t="shared" si="9"/>
        <v>0</v>
      </c>
      <c r="AN39" s="86">
        <f t="shared" si="9"/>
        <v>0</v>
      </c>
      <c r="AO39" s="86">
        <f t="shared" si="9"/>
        <v>0</v>
      </c>
      <c r="AP39" s="86">
        <f t="shared" si="9"/>
        <v>0</v>
      </c>
      <c r="AQ39" s="86">
        <f t="shared" si="9"/>
        <v>0</v>
      </c>
      <c r="AR39" s="86">
        <f t="shared" si="9"/>
        <v>0</v>
      </c>
      <c r="AS39" s="86">
        <f t="shared" si="9"/>
        <v>0</v>
      </c>
      <c r="AT39" s="86">
        <f t="shared" si="9"/>
        <v>0</v>
      </c>
      <c r="AU39" s="86" t="e">
        <f t="shared" si="9"/>
        <v>#DIV/0!</v>
      </c>
      <c r="AV39" s="86" t="e">
        <f t="shared" si="9"/>
        <v>#DIV/0!</v>
      </c>
      <c r="AW39" s="86" t="e">
        <f t="shared" si="9"/>
        <v>#DIV/0!</v>
      </c>
      <c r="AX39" s="86" t="e">
        <f t="shared" si="9"/>
        <v>#DIV/0!</v>
      </c>
      <c r="AY39" s="86" t="e">
        <f t="shared" si="9"/>
        <v>#DIV/0!</v>
      </c>
      <c r="AZ39" s="86" t="e">
        <f t="shared" si="9"/>
        <v>#DIV/0!</v>
      </c>
      <c r="BA39" s="86" t="e">
        <f t="shared" si="9"/>
        <v>#DIV/0!</v>
      </c>
    </row>
    <row r="40" spans="1:57" ht="15" customHeight="1">
      <c r="A40" s="149"/>
      <c r="B40" s="146" t="s">
        <v>176</v>
      </c>
      <c r="C40" s="156" t="s">
        <v>111</v>
      </c>
      <c r="D40" s="86">
        <f t="shared" ref="D40:AI40" si="10">D28/D33</f>
        <v>78.19382983436293</v>
      </c>
      <c r="E40" s="86">
        <f t="shared" si="10"/>
        <v>24.982206405693951</v>
      </c>
      <c r="F40" s="86">
        <f t="shared" si="10"/>
        <v>27.323529411764707</v>
      </c>
      <c r="G40" s="86">
        <f t="shared" si="10"/>
        <v>37.804761904761904</v>
      </c>
      <c r="H40" s="86">
        <f t="shared" si="10"/>
        <v>29.666666666666668</v>
      </c>
      <c r="I40" s="86">
        <f t="shared" si="10"/>
        <v>76.0625</v>
      </c>
      <c r="J40" s="86">
        <f t="shared" si="10"/>
        <v>21.084656084656086</v>
      </c>
      <c r="K40" s="86">
        <f t="shared" si="10"/>
        <v>222.71597633136093</v>
      </c>
      <c r="L40" s="86">
        <f t="shared" si="10"/>
        <v>102.57763975155279</v>
      </c>
      <c r="M40" s="86">
        <f t="shared" si="10"/>
        <v>47.451327433628322</v>
      </c>
      <c r="N40" s="86">
        <f t="shared" si="10"/>
        <v>107.50778816199377</v>
      </c>
      <c r="O40" s="86">
        <f t="shared" si="10"/>
        <v>38.234848484848484</v>
      </c>
      <c r="P40" s="86">
        <f t="shared" si="10"/>
        <v>1</v>
      </c>
      <c r="Q40" s="86">
        <f t="shared" si="10"/>
        <v>5364.083333333333</v>
      </c>
      <c r="R40" s="86">
        <f t="shared" si="10"/>
        <v>72.315789473684205</v>
      </c>
      <c r="S40" s="86">
        <f t="shared" si="10"/>
        <v>48.807291666666664</v>
      </c>
      <c r="T40" s="86">
        <f t="shared" si="10"/>
        <v>55</v>
      </c>
      <c r="U40" s="86">
        <f t="shared" si="10"/>
        <v>12.7</v>
      </c>
      <c r="V40" s="86">
        <f t="shared" si="10"/>
        <v>0.6</v>
      </c>
      <c r="W40" s="86">
        <f t="shared" si="10"/>
        <v>93</v>
      </c>
      <c r="X40" s="86">
        <f t="shared" si="10"/>
        <v>13.174198935392965</v>
      </c>
      <c r="Y40" s="86">
        <f t="shared" si="10"/>
        <v>18.815848214285715</v>
      </c>
      <c r="Z40" s="86">
        <f t="shared" si="10"/>
        <v>40.271903323262841</v>
      </c>
      <c r="AA40" s="86">
        <f t="shared" si="10"/>
        <v>42.973130841121495</v>
      </c>
      <c r="AB40" s="86">
        <f t="shared" si="10"/>
        <v>49.340876063940215</v>
      </c>
      <c r="AC40" s="86">
        <f t="shared" si="10"/>
        <v>46.707428571428572</v>
      </c>
      <c r="AD40" s="86" t="e">
        <f t="shared" si="10"/>
        <v>#DIV/0!</v>
      </c>
      <c r="AE40" s="86">
        <f t="shared" si="10"/>
        <v>53.721471065440781</v>
      </c>
      <c r="AF40" s="86">
        <f t="shared" si="10"/>
        <v>101.52631578947368</v>
      </c>
      <c r="AG40" s="86">
        <f t="shared" si="10"/>
        <v>77.14867617107943</v>
      </c>
      <c r="AH40" s="86">
        <f t="shared" si="10"/>
        <v>56.105442176870746</v>
      </c>
      <c r="AI40" s="86">
        <f t="shared" si="10"/>
        <v>69.311023622047244</v>
      </c>
      <c r="AJ40" s="86">
        <f t="shared" ref="AJ40:BA40" si="11">AJ28/AJ33</f>
        <v>77.085151167240724</v>
      </c>
      <c r="AK40" s="86">
        <f t="shared" si="11"/>
        <v>65.920055134390083</v>
      </c>
      <c r="AL40" s="86">
        <f t="shared" si="11"/>
        <v>114.90025207057977</v>
      </c>
      <c r="AM40" s="86">
        <f t="shared" si="11"/>
        <v>94.082573330046827</v>
      </c>
      <c r="AN40" s="86">
        <f t="shared" si="11"/>
        <v>74.463784390791687</v>
      </c>
      <c r="AO40" s="86">
        <f t="shared" si="11"/>
        <v>83.489270386266099</v>
      </c>
      <c r="AP40" s="86">
        <f t="shared" si="11"/>
        <v>161.95084372707262</v>
      </c>
      <c r="AQ40" s="86">
        <f t="shared" si="11"/>
        <v>57.23068309070549</v>
      </c>
      <c r="AR40" s="86">
        <f t="shared" si="11"/>
        <v>138.31920680880933</v>
      </c>
      <c r="AS40" s="86">
        <f t="shared" si="11"/>
        <v>102.0024906600249</v>
      </c>
      <c r="AT40" s="86">
        <f t="shared" si="11"/>
        <v>40.784090909090907</v>
      </c>
      <c r="AU40" s="86" t="e">
        <f t="shared" si="11"/>
        <v>#DIV/0!</v>
      </c>
      <c r="AV40" s="86" t="e">
        <f t="shared" si="11"/>
        <v>#DIV/0!</v>
      </c>
      <c r="AW40" s="86" t="e">
        <f t="shared" si="11"/>
        <v>#DIV/0!</v>
      </c>
      <c r="AX40" s="86" t="e">
        <f t="shared" si="11"/>
        <v>#DIV/0!</v>
      </c>
      <c r="AY40" s="86" t="e">
        <f t="shared" si="11"/>
        <v>#DIV/0!</v>
      </c>
      <c r="AZ40" s="86" t="e">
        <f t="shared" si="11"/>
        <v>#DIV/0!</v>
      </c>
      <c r="BA40" s="86" t="e">
        <f t="shared" si="11"/>
        <v>#DIV/0!</v>
      </c>
    </row>
    <row r="41" spans="1:57" ht="15" customHeight="1">
      <c r="A41" s="149"/>
      <c r="B41" s="146" t="s">
        <v>177</v>
      </c>
      <c r="C41" s="156" t="s">
        <v>112</v>
      </c>
      <c r="D41" s="86">
        <f t="shared" ref="D41:AI41" si="12">D29/D33</f>
        <v>0</v>
      </c>
      <c r="E41" s="86">
        <f t="shared" si="12"/>
        <v>0</v>
      </c>
      <c r="F41" s="86">
        <f t="shared" si="12"/>
        <v>0</v>
      </c>
      <c r="G41" s="86">
        <f t="shared" si="12"/>
        <v>0</v>
      </c>
      <c r="H41" s="86">
        <f t="shared" si="12"/>
        <v>0</v>
      </c>
      <c r="I41" s="86">
        <f t="shared" si="12"/>
        <v>0</v>
      </c>
      <c r="J41" s="86">
        <f t="shared" si="12"/>
        <v>0</v>
      </c>
      <c r="K41" s="86">
        <f t="shared" si="12"/>
        <v>0</v>
      </c>
      <c r="L41" s="86">
        <f t="shared" si="12"/>
        <v>0</v>
      </c>
      <c r="M41" s="86">
        <f t="shared" si="12"/>
        <v>0</v>
      </c>
      <c r="N41" s="86">
        <f t="shared" si="12"/>
        <v>0</v>
      </c>
      <c r="O41" s="86">
        <f t="shared" si="12"/>
        <v>0</v>
      </c>
      <c r="P41" s="86">
        <f t="shared" si="12"/>
        <v>0</v>
      </c>
      <c r="Q41" s="86">
        <f t="shared" si="12"/>
        <v>0</v>
      </c>
      <c r="R41" s="86">
        <f t="shared" si="12"/>
        <v>0</v>
      </c>
      <c r="S41" s="86">
        <f t="shared" si="12"/>
        <v>0</v>
      </c>
      <c r="T41" s="86">
        <f t="shared" si="12"/>
        <v>0</v>
      </c>
      <c r="U41" s="86">
        <f t="shared" si="12"/>
        <v>0</v>
      </c>
      <c r="V41" s="86">
        <f t="shared" si="12"/>
        <v>0</v>
      </c>
      <c r="W41" s="86">
        <f t="shared" si="12"/>
        <v>0</v>
      </c>
      <c r="X41" s="86">
        <f t="shared" si="12"/>
        <v>0</v>
      </c>
      <c r="Y41" s="86">
        <f t="shared" si="12"/>
        <v>0</v>
      </c>
      <c r="Z41" s="86">
        <f t="shared" si="12"/>
        <v>0</v>
      </c>
      <c r="AA41" s="86">
        <f t="shared" si="12"/>
        <v>0</v>
      </c>
      <c r="AB41" s="86">
        <f t="shared" si="12"/>
        <v>0</v>
      </c>
      <c r="AC41" s="86">
        <f t="shared" si="12"/>
        <v>0</v>
      </c>
      <c r="AD41" s="86" t="e">
        <f t="shared" si="12"/>
        <v>#DIV/0!</v>
      </c>
      <c r="AE41" s="86">
        <f t="shared" si="12"/>
        <v>0</v>
      </c>
      <c r="AF41" s="86">
        <f t="shared" si="12"/>
        <v>0</v>
      </c>
      <c r="AG41" s="86">
        <f t="shared" si="12"/>
        <v>0</v>
      </c>
      <c r="AH41" s="86">
        <f t="shared" si="12"/>
        <v>0</v>
      </c>
      <c r="AI41" s="86">
        <f t="shared" si="12"/>
        <v>0</v>
      </c>
      <c r="AJ41" s="86">
        <f t="shared" ref="AJ41:BA41" si="13">AJ29/AJ33</f>
        <v>0</v>
      </c>
      <c r="AK41" s="86">
        <f t="shared" si="13"/>
        <v>0</v>
      </c>
      <c r="AL41" s="86">
        <f t="shared" si="13"/>
        <v>0</v>
      </c>
      <c r="AM41" s="86">
        <f t="shared" si="13"/>
        <v>0</v>
      </c>
      <c r="AN41" s="86">
        <f t="shared" si="13"/>
        <v>0</v>
      </c>
      <c r="AO41" s="86">
        <f t="shared" si="13"/>
        <v>0</v>
      </c>
      <c r="AP41" s="86">
        <f t="shared" si="13"/>
        <v>0</v>
      </c>
      <c r="AQ41" s="86">
        <f t="shared" si="13"/>
        <v>0</v>
      </c>
      <c r="AR41" s="86">
        <f t="shared" si="13"/>
        <v>0</v>
      </c>
      <c r="AS41" s="86">
        <f t="shared" si="13"/>
        <v>0</v>
      </c>
      <c r="AT41" s="86">
        <f t="shared" si="13"/>
        <v>0</v>
      </c>
      <c r="AU41" s="86" t="e">
        <f t="shared" si="13"/>
        <v>#DIV/0!</v>
      </c>
      <c r="AV41" s="86" t="e">
        <f t="shared" si="13"/>
        <v>#DIV/0!</v>
      </c>
      <c r="AW41" s="86" t="e">
        <f t="shared" si="13"/>
        <v>#DIV/0!</v>
      </c>
      <c r="AX41" s="86" t="e">
        <f t="shared" si="13"/>
        <v>#DIV/0!</v>
      </c>
      <c r="AY41" s="86" t="e">
        <f t="shared" si="13"/>
        <v>#DIV/0!</v>
      </c>
      <c r="AZ41" s="86" t="e">
        <f t="shared" si="13"/>
        <v>#DIV/0!</v>
      </c>
      <c r="BA41" s="86" t="e">
        <f t="shared" si="13"/>
        <v>#DIV/0!</v>
      </c>
    </row>
    <row r="42" spans="1:57" ht="15" customHeight="1">
      <c r="A42" s="149"/>
      <c r="B42" s="146" t="s">
        <v>178</v>
      </c>
      <c r="C42" s="156" t="s">
        <v>113</v>
      </c>
      <c r="D42" s="86">
        <f t="shared" ref="D42:AI42" si="14">D30/D33</f>
        <v>381.65446334079888</v>
      </c>
      <c r="E42" s="86">
        <f t="shared" si="14"/>
        <v>325.51482799525502</v>
      </c>
      <c r="F42" s="86">
        <f t="shared" si="14"/>
        <v>223.36764705882354</v>
      </c>
      <c r="G42" s="86">
        <f t="shared" si="14"/>
        <v>262.21428571428572</v>
      </c>
      <c r="H42" s="86">
        <f t="shared" si="14"/>
        <v>113.66666666666667</v>
      </c>
      <c r="I42" s="86">
        <f t="shared" si="14"/>
        <v>414.70833333333331</v>
      </c>
      <c r="J42" s="86">
        <f t="shared" si="14"/>
        <v>96.058201058201064</v>
      </c>
      <c r="K42" s="86">
        <f t="shared" si="14"/>
        <v>885.32741617356999</v>
      </c>
      <c r="L42" s="86">
        <f t="shared" si="14"/>
        <v>357.42236024844721</v>
      </c>
      <c r="M42" s="86">
        <f t="shared" si="14"/>
        <v>164.3858407079646</v>
      </c>
      <c r="N42" s="86">
        <f t="shared" si="14"/>
        <v>329.51401869158877</v>
      </c>
      <c r="O42" s="86">
        <f t="shared" si="14"/>
        <v>87.11363636363636</v>
      </c>
      <c r="P42" s="86">
        <f t="shared" si="14"/>
        <v>4</v>
      </c>
      <c r="Q42" s="86">
        <f t="shared" si="14"/>
        <v>17952.944444444445</v>
      </c>
      <c r="R42" s="86">
        <f t="shared" si="14"/>
        <v>187.76315789473685</v>
      </c>
      <c r="S42" s="86">
        <f t="shared" si="14"/>
        <v>94.177083333333329</v>
      </c>
      <c r="T42" s="86">
        <f t="shared" si="14"/>
        <v>107.71900826446281</v>
      </c>
      <c r="U42" s="86">
        <f t="shared" si="14"/>
        <v>121.2</v>
      </c>
      <c r="V42" s="86">
        <f t="shared" si="14"/>
        <v>3</v>
      </c>
      <c r="W42" s="86">
        <f t="shared" si="14"/>
        <v>306.33333333333331</v>
      </c>
      <c r="X42" s="86">
        <f t="shared" si="14"/>
        <v>585.65431583342036</v>
      </c>
      <c r="Y42" s="86">
        <f t="shared" si="14"/>
        <v>381.48214285714283</v>
      </c>
      <c r="Z42" s="86">
        <f t="shared" si="14"/>
        <v>524.37764350453176</v>
      </c>
      <c r="AA42" s="86">
        <f t="shared" si="14"/>
        <v>413.26479750778816</v>
      </c>
      <c r="AB42" s="86">
        <f t="shared" si="14"/>
        <v>403.32821258044424</v>
      </c>
      <c r="AC42" s="86">
        <f t="shared" si="14"/>
        <v>264.67504761904763</v>
      </c>
      <c r="AD42" s="86" t="e">
        <f t="shared" si="14"/>
        <v>#DIV/0!</v>
      </c>
      <c r="AE42" s="86">
        <f t="shared" si="14"/>
        <v>372.63899405083828</v>
      </c>
      <c r="AF42" s="86">
        <f t="shared" si="14"/>
        <v>386.63157894736844</v>
      </c>
      <c r="AG42" s="86">
        <f t="shared" si="14"/>
        <v>420.58486082824169</v>
      </c>
      <c r="AH42" s="86">
        <f t="shared" si="14"/>
        <v>236.10714285714286</v>
      </c>
      <c r="AI42" s="86">
        <f t="shared" si="14"/>
        <v>315.75017895490339</v>
      </c>
      <c r="AJ42" s="86">
        <f t="shared" ref="AJ42:BA42" si="15">AJ30/AJ33</f>
        <v>306.42307692307691</v>
      </c>
      <c r="AK42" s="86">
        <f t="shared" si="15"/>
        <v>229.68435561681599</v>
      </c>
      <c r="AL42" s="86">
        <f t="shared" si="15"/>
        <v>398.04717320849841</v>
      </c>
      <c r="AM42" s="86">
        <f t="shared" si="15"/>
        <v>288.36701996549175</v>
      </c>
      <c r="AN42" s="86">
        <f t="shared" si="15"/>
        <v>169.67939359910162</v>
      </c>
      <c r="AO42" s="86">
        <f t="shared" si="15"/>
        <v>185.82403433476395</v>
      </c>
      <c r="AP42" s="86">
        <f t="shared" si="15"/>
        <v>553.43433602347761</v>
      </c>
      <c r="AQ42" s="86">
        <f t="shared" si="15"/>
        <v>148.63717805151177</v>
      </c>
      <c r="AR42" s="86">
        <f t="shared" si="15"/>
        <v>264.27358076686846</v>
      </c>
      <c r="AS42" s="86">
        <f t="shared" si="15"/>
        <v>199.78082191780823</v>
      </c>
      <c r="AT42" s="86">
        <f t="shared" si="15"/>
        <v>79.51136363636364</v>
      </c>
      <c r="AU42" s="86" t="e">
        <f t="shared" si="15"/>
        <v>#DIV/0!</v>
      </c>
      <c r="AV42" s="86" t="e">
        <f t="shared" si="15"/>
        <v>#DIV/0!</v>
      </c>
      <c r="AW42" s="86" t="e">
        <f t="shared" si="15"/>
        <v>#DIV/0!</v>
      </c>
      <c r="AX42" s="86" t="e">
        <f t="shared" si="15"/>
        <v>#DIV/0!</v>
      </c>
      <c r="AY42" s="86" t="e">
        <f t="shared" si="15"/>
        <v>#DIV/0!</v>
      </c>
      <c r="AZ42" s="86" t="e">
        <f t="shared" si="15"/>
        <v>#DIV/0!</v>
      </c>
      <c r="BA42" s="86" t="e">
        <f t="shared" si="15"/>
        <v>#DIV/0!</v>
      </c>
    </row>
    <row r="43" spans="1:57" ht="15" customHeight="1">
      <c r="A43" s="149"/>
      <c r="B43" s="146" t="s">
        <v>179</v>
      </c>
      <c r="C43" s="156" t="s">
        <v>114</v>
      </c>
      <c r="D43" s="86">
        <f t="shared" ref="D43:AI43" si="16">D31/D33</f>
        <v>-142.8712067140853</v>
      </c>
      <c r="E43" s="86">
        <f t="shared" si="16"/>
        <v>-142.87069988137603</v>
      </c>
      <c r="F43" s="86">
        <f t="shared" si="16"/>
        <v>-142.86764705882354</v>
      </c>
      <c r="G43" s="86">
        <f t="shared" si="16"/>
        <v>-142.87142857142857</v>
      </c>
      <c r="H43" s="86">
        <f t="shared" si="16"/>
        <v>-143</v>
      </c>
      <c r="I43" s="86">
        <f t="shared" si="16"/>
        <v>-142.875</v>
      </c>
      <c r="J43" s="86">
        <f t="shared" si="16"/>
        <v>-142.87301587301587</v>
      </c>
      <c r="K43" s="86">
        <f t="shared" si="16"/>
        <v>-142.87179487179486</v>
      </c>
      <c r="L43" s="86">
        <f t="shared" si="16"/>
        <v>-142.86956521739131</v>
      </c>
      <c r="M43" s="86">
        <f t="shared" si="16"/>
        <v>-142.87079646017699</v>
      </c>
      <c r="N43" s="86">
        <f t="shared" si="16"/>
        <v>-142.87227414330218</v>
      </c>
      <c r="O43" s="86">
        <f t="shared" si="16"/>
        <v>-142.87121212121212</v>
      </c>
      <c r="P43" s="86">
        <f t="shared" si="16"/>
        <v>-143</v>
      </c>
      <c r="Q43" s="86">
        <f t="shared" si="16"/>
        <v>-142.86111111111111</v>
      </c>
      <c r="R43" s="86">
        <f t="shared" si="16"/>
        <v>-142.86842105263159</v>
      </c>
      <c r="S43" s="86">
        <f t="shared" si="16"/>
        <v>-142.87239583333334</v>
      </c>
      <c r="T43" s="86">
        <f t="shared" si="16"/>
        <v>-142.86776859504133</v>
      </c>
      <c r="U43" s="86">
        <f t="shared" si="16"/>
        <v>-142.9</v>
      </c>
      <c r="V43" s="86">
        <f t="shared" si="16"/>
        <v>-142.80000000000001</v>
      </c>
      <c r="W43" s="86">
        <f t="shared" si="16"/>
        <v>-143</v>
      </c>
      <c r="X43" s="86">
        <f t="shared" si="16"/>
        <v>-142.87120342344224</v>
      </c>
      <c r="Y43" s="86">
        <f t="shared" si="16"/>
        <v>-142.87109375</v>
      </c>
      <c r="Z43" s="86">
        <f t="shared" si="16"/>
        <v>-142.87116961588259</v>
      </c>
      <c r="AA43" s="86">
        <f t="shared" si="16"/>
        <v>-142.87110591900313</v>
      </c>
      <c r="AB43" s="86">
        <f t="shared" si="16"/>
        <v>-142.8712891841395</v>
      </c>
      <c r="AC43" s="86">
        <f t="shared" si="16"/>
        <v>-142.87123809523808</v>
      </c>
      <c r="AD43" s="86" t="e">
        <f t="shared" si="16"/>
        <v>#DIV/0!</v>
      </c>
      <c r="AE43" s="86">
        <f t="shared" si="16"/>
        <v>-142.8711465657112</v>
      </c>
      <c r="AF43" s="86">
        <f t="shared" si="16"/>
        <v>-142.89473684210526</v>
      </c>
      <c r="AG43" s="86">
        <f t="shared" si="16"/>
        <v>-142.8713509843856</v>
      </c>
      <c r="AH43" s="86">
        <f t="shared" si="16"/>
        <v>-142.87074829931973</v>
      </c>
      <c r="AI43" s="86">
        <f t="shared" si="16"/>
        <v>-142.87115246957768</v>
      </c>
      <c r="AJ43" s="86">
        <f t="shared" ref="AJ43:BA43" si="17">AJ31/AJ33</f>
        <v>-142.87122081898201</v>
      </c>
      <c r="AK43" s="86">
        <f t="shared" si="17"/>
        <v>-142.8711233631978</v>
      </c>
      <c r="AL43" s="86">
        <f t="shared" si="17"/>
        <v>-142.87120393710239</v>
      </c>
      <c r="AM43" s="86">
        <f t="shared" si="17"/>
        <v>-142.87108701010598</v>
      </c>
      <c r="AN43" s="86">
        <f t="shared" si="17"/>
        <v>-142.87142055025268</v>
      </c>
      <c r="AO43" s="86">
        <f t="shared" si="17"/>
        <v>-142.87124463519314</v>
      </c>
      <c r="AP43" s="86">
        <f t="shared" si="17"/>
        <v>-142.87123991195892</v>
      </c>
      <c r="AQ43" s="86">
        <f t="shared" si="17"/>
        <v>-142.87122060470324</v>
      </c>
      <c r="AR43" s="86">
        <f t="shared" si="17"/>
        <v>-142.87119417390542</v>
      </c>
      <c r="AS43" s="86">
        <f t="shared" si="17"/>
        <v>-142.87110834371109</v>
      </c>
      <c r="AT43" s="86">
        <f t="shared" si="17"/>
        <v>-142.875</v>
      </c>
      <c r="AU43" s="86" t="e">
        <f t="shared" si="17"/>
        <v>#DIV/0!</v>
      </c>
      <c r="AV43" s="86" t="e">
        <f t="shared" si="17"/>
        <v>#DIV/0!</v>
      </c>
      <c r="AW43" s="86" t="e">
        <f t="shared" si="17"/>
        <v>#DIV/0!</v>
      </c>
      <c r="AX43" s="86" t="e">
        <f t="shared" si="17"/>
        <v>#DIV/0!</v>
      </c>
      <c r="AY43" s="86" t="e">
        <f t="shared" si="17"/>
        <v>#DIV/0!</v>
      </c>
      <c r="AZ43" s="86" t="e">
        <f t="shared" si="17"/>
        <v>#DIV/0!</v>
      </c>
      <c r="BA43" s="86" t="e">
        <f t="shared" si="17"/>
        <v>#DIV/0!</v>
      </c>
    </row>
    <row r="44" spans="1:57" ht="15" customHeight="1">
      <c r="A44" s="149"/>
      <c r="B44" s="148" t="s">
        <v>180</v>
      </c>
      <c r="C44" s="155" t="s">
        <v>115</v>
      </c>
      <c r="D44" s="86">
        <f t="shared" ref="D44:AI44" si="18">D32/D33</f>
        <v>559.64624092441738</v>
      </c>
      <c r="E44" s="86">
        <f t="shared" si="18"/>
        <v>592.96174377224213</v>
      </c>
      <c r="F44" s="86">
        <f t="shared" si="18"/>
        <v>483.47874999999976</v>
      </c>
      <c r="G44" s="86">
        <f t="shared" si="18"/>
        <v>487.9465714285713</v>
      </c>
      <c r="H44" s="86">
        <f t="shared" si="18"/>
        <v>572.73333333333346</v>
      </c>
      <c r="I44" s="86">
        <f t="shared" si="18"/>
        <v>419.21604166666674</v>
      </c>
      <c r="J44" s="86">
        <f t="shared" si="18"/>
        <v>450.8251322751322</v>
      </c>
      <c r="K44" s="86">
        <f t="shared" si="18"/>
        <v>543.35203155818533</v>
      </c>
      <c r="L44" s="86">
        <f t="shared" si="18"/>
        <v>478.86677018633549</v>
      </c>
      <c r="M44" s="86">
        <f t="shared" si="18"/>
        <v>556.43541592920371</v>
      </c>
      <c r="N44" s="86">
        <f t="shared" si="18"/>
        <v>527.24713395638628</v>
      </c>
      <c r="O44" s="86">
        <f t="shared" si="18"/>
        <v>420.21136363636367</v>
      </c>
      <c r="P44" s="86">
        <f t="shared" si="18"/>
        <v>401.97999999999996</v>
      </c>
      <c r="Q44" s="86">
        <f t="shared" si="18"/>
        <v>609.09583333333308</v>
      </c>
      <c r="R44" s="86">
        <f t="shared" si="18"/>
        <v>447.51842105263171</v>
      </c>
      <c r="S44" s="86">
        <f t="shared" si="18"/>
        <v>397.29942708333334</v>
      </c>
      <c r="T44" s="86">
        <f t="shared" si="18"/>
        <v>435.90223140495868</v>
      </c>
      <c r="U44" s="86">
        <f t="shared" si="18"/>
        <v>454.81200000000001</v>
      </c>
      <c r="V44" s="86">
        <f t="shared" si="18"/>
        <v>843.54</v>
      </c>
      <c r="W44" s="86">
        <f t="shared" si="18"/>
        <v>361.76</v>
      </c>
      <c r="X44" s="86">
        <f t="shared" si="18"/>
        <v>663.33203736561939</v>
      </c>
      <c r="Y44" s="86">
        <f t="shared" si="18"/>
        <v>613.180943080357</v>
      </c>
      <c r="Z44" s="86">
        <f t="shared" si="18"/>
        <v>589.61116529995695</v>
      </c>
      <c r="AA44" s="86">
        <f t="shared" si="18"/>
        <v>573.67651869158885</v>
      </c>
      <c r="AB44" s="86">
        <f t="shared" si="18"/>
        <v>636.96068299771639</v>
      </c>
      <c r="AC44" s="86">
        <f t="shared" si="18"/>
        <v>624.84948952380955</v>
      </c>
      <c r="AD44" s="86" t="e">
        <f t="shared" si="18"/>
        <v>#DIV/0!</v>
      </c>
      <c r="AE44" s="86">
        <f t="shared" si="18"/>
        <v>626.32462276906449</v>
      </c>
      <c r="AF44" s="86">
        <f t="shared" si="18"/>
        <v>430.52421052631581</v>
      </c>
      <c r="AG44" s="86">
        <f t="shared" si="18"/>
        <v>595.92594025797689</v>
      </c>
      <c r="AH44" s="86">
        <f t="shared" si="18"/>
        <v>542.88425170068012</v>
      </c>
      <c r="AI44" s="86">
        <f t="shared" si="18"/>
        <v>548.99351467430211</v>
      </c>
      <c r="AJ44" s="86">
        <f t="shared" ref="AJ44:BA44" si="19">AJ32/AJ33</f>
        <v>537.18209720627635</v>
      </c>
      <c r="AK44" s="86">
        <f t="shared" si="19"/>
        <v>541.6441419710543</v>
      </c>
      <c r="AL44" s="86">
        <f t="shared" si="19"/>
        <v>554.00711079102166</v>
      </c>
      <c r="AM44" s="86">
        <f t="shared" si="19"/>
        <v>523.09151343357178</v>
      </c>
      <c r="AN44" s="86">
        <f t="shared" si="19"/>
        <v>485.50488489612576</v>
      </c>
      <c r="AO44" s="86">
        <f t="shared" si="19"/>
        <v>484.85575107296143</v>
      </c>
      <c r="AP44" s="86">
        <f t="shared" si="19"/>
        <v>500.93161041819519</v>
      </c>
      <c r="AQ44" s="86">
        <f t="shared" si="19"/>
        <v>466.2152519596865</v>
      </c>
      <c r="AR44" s="86">
        <f t="shared" si="19"/>
        <v>446.96759059401597</v>
      </c>
      <c r="AS44" s="86">
        <f t="shared" si="19"/>
        <v>449.53647571606479</v>
      </c>
      <c r="AT44" s="86">
        <f t="shared" si="19"/>
        <v>374.20068181818175</v>
      </c>
      <c r="AU44" s="86" t="e">
        <f t="shared" si="19"/>
        <v>#DIV/0!</v>
      </c>
      <c r="AV44" s="86" t="e">
        <f t="shared" si="19"/>
        <v>#DIV/0!</v>
      </c>
      <c r="AW44" s="86" t="e">
        <f t="shared" si="19"/>
        <v>#DIV/0!</v>
      </c>
      <c r="AX44" s="86" t="e">
        <f t="shared" si="19"/>
        <v>#DIV/0!</v>
      </c>
      <c r="AY44" s="86" t="e">
        <f t="shared" si="19"/>
        <v>#DIV/0!</v>
      </c>
      <c r="AZ44" s="86" t="e">
        <f t="shared" si="19"/>
        <v>#DIV/0!</v>
      </c>
      <c r="BA44" s="86" t="e">
        <f t="shared" si="19"/>
        <v>#DIV/0!</v>
      </c>
    </row>
    <row r="45" spans="1:57" ht="15" customHeight="1"/>
    <row r="46" spans="1:57" ht="15" customHeight="1">
      <c r="C46" s="76" t="s">
        <v>121</v>
      </c>
    </row>
    <row r="47" spans="1:57" ht="15" customHeight="1">
      <c r="B47" s="146" t="s">
        <v>181</v>
      </c>
      <c r="C47" s="163" t="s">
        <v>106</v>
      </c>
      <c r="D47" s="165"/>
      <c r="E47" s="191" t="str">
        <f t="shared" ref="E47:AJ47" si="20">IF(E13&lt;&gt;"",E13,"")</f>
        <v>89942GA0060002</v>
      </c>
      <c r="F47" s="191" t="str">
        <f t="shared" si="20"/>
        <v>89942GA0060003</v>
      </c>
      <c r="G47" s="191" t="str">
        <f t="shared" si="20"/>
        <v>89942GA0060012</v>
      </c>
      <c r="H47" s="191" t="str">
        <f t="shared" si="20"/>
        <v>89942GA0060033</v>
      </c>
      <c r="I47" s="191" t="str">
        <f t="shared" si="20"/>
        <v>89942GA0060027</v>
      </c>
      <c r="J47" s="191" t="str">
        <f t="shared" si="20"/>
        <v>89942GA0060028</v>
      </c>
      <c r="K47" s="191" t="str">
        <f t="shared" si="20"/>
        <v>89942GA0060005</v>
      </c>
      <c r="L47" s="191" t="str">
        <f t="shared" si="20"/>
        <v>89942GA0060007</v>
      </c>
      <c r="M47" s="191" t="str">
        <f t="shared" si="20"/>
        <v>89942GA0060013</v>
      </c>
      <c r="N47" s="191" t="str">
        <f t="shared" si="20"/>
        <v>89942GA0060017</v>
      </c>
      <c r="O47" s="191" t="str">
        <f t="shared" si="20"/>
        <v>89942GA0060025</v>
      </c>
      <c r="P47" s="191" t="str">
        <f t="shared" si="20"/>
        <v>89942GA0060034</v>
      </c>
      <c r="Q47" s="191" t="str">
        <f t="shared" si="20"/>
        <v>89942GA0060029</v>
      </c>
      <c r="R47" s="191" t="str">
        <f t="shared" si="20"/>
        <v>89942GA0060032</v>
      </c>
      <c r="S47" s="191" t="str">
        <f t="shared" si="20"/>
        <v>89942GA0060006</v>
      </c>
      <c r="T47" s="191" t="str">
        <f t="shared" si="20"/>
        <v>89942GA0060016</v>
      </c>
      <c r="U47" s="191" t="str">
        <f t="shared" si="20"/>
        <v>89942GA0060030</v>
      </c>
      <c r="V47" s="191" t="str">
        <f t="shared" si="20"/>
        <v>89942GA0060018</v>
      </c>
      <c r="W47" s="191" t="str">
        <f t="shared" si="20"/>
        <v>89942GA0060011</v>
      </c>
      <c r="X47" s="191" t="str">
        <f t="shared" si="20"/>
        <v>89942GA0080001</v>
      </c>
      <c r="Y47" s="191" t="str">
        <f t="shared" si="20"/>
        <v>89942GA0080026</v>
      </c>
      <c r="Z47" s="191" t="str">
        <f t="shared" si="20"/>
        <v>89942GA0080002</v>
      </c>
      <c r="AA47" s="191" t="str">
        <f t="shared" si="20"/>
        <v>89942GA0080030</v>
      </c>
      <c r="AB47" s="191" t="str">
        <f t="shared" si="20"/>
        <v>89942GA0080003</v>
      </c>
      <c r="AC47" s="191" t="str">
        <f t="shared" si="20"/>
        <v>89942GA0080018</v>
      </c>
      <c r="AD47" s="191" t="str">
        <f t="shared" si="20"/>
        <v>89942GA0080036</v>
      </c>
      <c r="AE47" s="191" t="str">
        <f t="shared" si="20"/>
        <v>89942GA0080012</v>
      </c>
      <c r="AF47" s="191" t="str">
        <f t="shared" si="20"/>
        <v>89942GA0080033</v>
      </c>
      <c r="AG47" s="191" t="str">
        <f t="shared" si="20"/>
        <v>89942GA0080027</v>
      </c>
      <c r="AH47" s="191" t="str">
        <f t="shared" si="20"/>
        <v>89942GA0080031</v>
      </c>
      <c r="AI47" s="191" t="str">
        <f t="shared" si="20"/>
        <v>89942GA0080028</v>
      </c>
      <c r="AJ47" s="191" t="str">
        <f t="shared" si="20"/>
        <v>89942GA0080005</v>
      </c>
      <c r="AK47" s="191" t="str">
        <f t="shared" ref="AK47:BA47" si="21">IF(AK13&lt;&gt;"",AK13,"")</f>
        <v>89942GA0080007</v>
      </c>
      <c r="AL47" s="191" t="str">
        <f t="shared" si="21"/>
        <v>89942GA0080013</v>
      </c>
      <c r="AM47" s="191" t="str">
        <f t="shared" si="21"/>
        <v>89942GA0080017</v>
      </c>
      <c r="AN47" s="191" t="str">
        <f t="shared" si="21"/>
        <v>89942GA0080025</v>
      </c>
      <c r="AO47" s="191" t="str">
        <f t="shared" si="21"/>
        <v>89942GA0080034</v>
      </c>
      <c r="AP47" s="191" t="str">
        <f t="shared" si="21"/>
        <v>89942GA0080029</v>
      </c>
      <c r="AQ47" s="191" t="str">
        <f t="shared" si="21"/>
        <v>89942GA0080032</v>
      </c>
      <c r="AR47" s="191" t="str">
        <f t="shared" si="21"/>
        <v>89942GA0080006</v>
      </c>
      <c r="AS47" s="191" t="str">
        <f t="shared" si="21"/>
        <v>89942GA0080016</v>
      </c>
      <c r="AT47" s="191" t="str">
        <f t="shared" si="21"/>
        <v>89942GA0080009</v>
      </c>
      <c r="AU47" s="191" t="str">
        <f t="shared" si="21"/>
        <v>89942GA0160001</v>
      </c>
      <c r="AV47" s="191" t="str">
        <f t="shared" si="21"/>
        <v>89942GA0160002</v>
      </c>
      <c r="AW47" s="191" t="str">
        <f t="shared" si="21"/>
        <v>89942GA0160003</v>
      </c>
      <c r="AX47" s="191" t="str">
        <f t="shared" si="21"/>
        <v>89942GA0160004</v>
      </c>
      <c r="AY47" s="191" t="str">
        <f t="shared" si="21"/>
        <v>89942GA0160005</v>
      </c>
      <c r="AZ47" s="191" t="str">
        <f t="shared" si="21"/>
        <v>89942GA0160006</v>
      </c>
      <c r="BA47" s="191" t="str">
        <f t="shared" si="21"/>
        <v>89942GA0110015</v>
      </c>
    </row>
    <row r="48" spans="1:57" ht="15" customHeight="1">
      <c r="B48" s="146" t="s">
        <v>182</v>
      </c>
      <c r="C48" s="163" t="s">
        <v>122</v>
      </c>
      <c r="D48" s="166"/>
      <c r="E48" s="251">
        <f>'Wksh 1 - Market Experience'!F46</f>
        <v>748.72</v>
      </c>
      <c r="F48" s="252"/>
      <c r="G48" s="252"/>
      <c r="H48" s="252"/>
      <c r="I48" s="252"/>
      <c r="J48" s="252"/>
      <c r="K48" s="252"/>
      <c r="L48" s="252"/>
      <c r="M48" s="252"/>
      <c r="N48" s="252"/>
      <c r="O48" s="252"/>
      <c r="P48" s="252"/>
      <c r="Q48" s="252"/>
      <c r="R48" s="252"/>
      <c r="S48" s="252"/>
      <c r="T48" s="252"/>
      <c r="U48" s="252"/>
      <c r="V48" s="252"/>
      <c r="W48" s="252"/>
      <c r="X48" s="252"/>
      <c r="Y48" s="252"/>
      <c r="Z48" s="252"/>
      <c r="AA48" s="252"/>
      <c r="AB48" s="252"/>
      <c r="AC48" s="252"/>
      <c r="AD48" s="252"/>
      <c r="AE48" s="252"/>
      <c r="AF48" s="252"/>
      <c r="AG48" s="252"/>
      <c r="AH48" s="252"/>
      <c r="AI48" s="252"/>
      <c r="AJ48" s="252"/>
      <c r="AK48" s="252"/>
      <c r="AL48" s="252"/>
      <c r="AM48" s="252"/>
      <c r="AN48" s="252"/>
      <c r="AO48" s="252"/>
      <c r="AP48" s="252"/>
      <c r="AQ48" s="252"/>
      <c r="AR48" s="252"/>
      <c r="AS48" s="252"/>
      <c r="AT48" s="252"/>
      <c r="AU48" s="252"/>
      <c r="AV48" s="252"/>
      <c r="AW48" s="252"/>
      <c r="AX48" s="252"/>
      <c r="AY48" s="252"/>
      <c r="AZ48" s="252"/>
      <c r="BA48" s="253"/>
    </row>
    <row r="49" spans="2:53" ht="15" customHeight="1">
      <c r="B49" s="146" t="s">
        <v>183</v>
      </c>
      <c r="C49" s="163" t="s">
        <v>123</v>
      </c>
      <c r="D49" s="166"/>
      <c r="E49" s="193">
        <v>0.90800000000000003</v>
      </c>
      <c r="F49" s="193">
        <v>0.88900000000000001</v>
      </c>
      <c r="G49" s="193">
        <v>0.87</v>
      </c>
      <c r="H49" s="193">
        <v>0.8</v>
      </c>
      <c r="I49" s="193">
        <v>0.84099999999999997</v>
      </c>
      <c r="J49" s="193">
        <v>0.81399999999999995</v>
      </c>
      <c r="K49" s="193">
        <v>0.78300000000000003</v>
      </c>
      <c r="L49" s="193">
        <v>0.747</v>
      </c>
      <c r="M49" s="193">
        <v>0.76</v>
      </c>
      <c r="N49" s="193">
        <v>0.73899999999999999</v>
      </c>
      <c r="O49" s="193">
        <v>0.68300000000000005</v>
      </c>
      <c r="P49" s="193">
        <v>0.68799999999999994</v>
      </c>
      <c r="Q49" s="193">
        <v>0.77200000000000002</v>
      </c>
      <c r="R49" s="193">
        <v>0.71899999999999997</v>
      </c>
      <c r="S49" s="193">
        <v>0.66500000000000004</v>
      </c>
      <c r="T49" s="193">
        <v>0.65300000000000002</v>
      </c>
      <c r="U49" s="193">
        <v>0</v>
      </c>
      <c r="V49" s="193">
        <v>0</v>
      </c>
      <c r="W49" s="193">
        <v>0</v>
      </c>
      <c r="X49" s="193">
        <v>0.97799999999999998</v>
      </c>
      <c r="Y49" s="193">
        <v>0.95499999999999996</v>
      </c>
      <c r="Z49" s="193">
        <v>0.90800000000000003</v>
      </c>
      <c r="AA49" s="193">
        <v>0.90300000000000002</v>
      </c>
      <c r="AB49" s="193">
        <v>0.88900000000000001</v>
      </c>
      <c r="AC49" s="193">
        <v>0.84699999999999998</v>
      </c>
      <c r="AD49" s="193">
        <v>0.88400000000000001</v>
      </c>
      <c r="AE49" s="193">
        <v>0.87</v>
      </c>
      <c r="AF49" s="193">
        <v>0.8</v>
      </c>
      <c r="AG49" s="193">
        <v>0.84099999999999997</v>
      </c>
      <c r="AH49" s="193">
        <v>0.82199999999999995</v>
      </c>
      <c r="AI49" s="193">
        <v>0.81399999999999995</v>
      </c>
      <c r="AJ49" s="193">
        <v>0.78300000000000003</v>
      </c>
      <c r="AK49" s="193">
        <v>0.747</v>
      </c>
      <c r="AL49" s="193">
        <v>0.76</v>
      </c>
      <c r="AM49" s="193">
        <v>0.73899999999999999</v>
      </c>
      <c r="AN49" s="193">
        <v>0.68300000000000005</v>
      </c>
      <c r="AO49" s="193">
        <v>0.68799999999999994</v>
      </c>
      <c r="AP49" s="193">
        <v>0.77200000000000002</v>
      </c>
      <c r="AQ49" s="193">
        <v>0.71899999999999997</v>
      </c>
      <c r="AR49" s="193">
        <v>0.66500000000000004</v>
      </c>
      <c r="AS49" s="193">
        <v>0.65300000000000002</v>
      </c>
      <c r="AT49" s="193">
        <v>0</v>
      </c>
      <c r="AU49" s="193">
        <v>0.97799999999999998</v>
      </c>
      <c r="AV49" s="193">
        <v>0.90800000000000003</v>
      </c>
      <c r="AW49" s="193">
        <v>0.88900000000000001</v>
      </c>
      <c r="AX49" s="193">
        <v>0.87</v>
      </c>
      <c r="AY49" s="193">
        <v>0.78300000000000003</v>
      </c>
      <c r="AZ49" s="193">
        <v>0.76</v>
      </c>
      <c r="BA49" s="193">
        <v>0.875</v>
      </c>
    </row>
    <row r="50" spans="2:53" ht="15" customHeight="1">
      <c r="B50" s="146" t="s">
        <v>184</v>
      </c>
      <c r="C50" s="163" t="s">
        <v>124</v>
      </c>
      <c r="D50" s="166"/>
      <c r="E50" s="193">
        <v>0.99970000000000003</v>
      </c>
      <c r="F50" s="193">
        <v>0.99970000000000003</v>
      </c>
      <c r="G50" s="193">
        <v>0.99970000000000003</v>
      </c>
      <c r="H50" s="193">
        <v>0.99970000000000003</v>
      </c>
      <c r="I50" s="193">
        <v>0.99970000000000003</v>
      </c>
      <c r="J50" s="193">
        <v>0.99970000000000003</v>
      </c>
      <c r="K50" s="193">
        <v>0.99970000000000003</v>
      </c>
      <c r="L50" s="193">
        <v>0.99970000000000003</v>
      </c>
      <c r="M50" s="193">
        <v>0.99970000000000003</v>
      </c>
      <c r="N50" s="193">
        <v>0.99970000000000003</v>
      </c>
      <c r="O50" s="193">
        <v>0.99970000000000003</v>
      </c>
      <c r="P50" s="193">
        <v>0.99970000000000003</v>
      </c>
      <c r="Q50" s="193">
        <v>0.99970000000000003</v>
      </c>
      <c r="R50" s="193">
        <v>0.99970000000000003</v>
      </c>
      <c r="S50" s="193">
        <v>0.99970000000000003</v>
      </c>
      <c r="T50" s="193">
        <v>0.99970000000000003</v>
      </c>
      <c r="U50" s="193">
        <v>0</v>
      </c>
      <c r="V50" s="193">
        <v>0</v>
      </c>
      <c r="W50" s="193">
        <v>0</v>
      </c>
      <c r="X50" s="193">
        <v>0.99970000000000003</v>
      </c>
      <c r="Y50" s="193">
        <v>0.99970000000000003</v>
      </c>
      <c r="Z50" s="193">
        <v>0.99970000000000003</v>
      </c>
      <c r="AA50" s="193">
        <v>0.99970000000000003</v>
      </c>
      <c r="AB50" s="193">
        <v>0.99970000000000003</v>
      </c>
      <c r="AC50" s="193">
        <v>0.99970000000000003</v>
      </c>
      <c r="AD50" s="193">
        <v>0.99970000000000003</v>
      </c>
      <c r="AE50" s="193">
        <v>0.99970000000000003</v>
      </c>
      <c r="AF50" s="193">
        <v>0.99970000000000003</v>
      </c>
      <c r="AG50" s="193">
        <v>0.99970000000000003</v>
      </c>
      <c r="AH50" s="193">
        <v>0.99970000000000003</v>
      </c>
      <c r="AI50" s="193">
        <v>0.99970000000000003</v>
      </c>
      <c r="AJ50" s="193">
        <v>0.99970000000000003</v>
      </c>
      <c r="AK50" s="193">
        <v>0.99970000000000003</v>
      </c>
      <c r="AL50" s="193">
        <v>0.99970000000000003</v>
      </c>
      <c r="AM50" s="193">
        <v>0.99970000000000003</v>
      </c>
      <c r="AN50" s="193">
        <v>0.99970000000000003</v>
      </c>
      <c r="AO50" s="193">
        <v>0.99970000000000003</v>
      </c>
      <c r="AP50" s="193">
        <v>0.99970000000000003</v>
      </c>
      <c r="AQ50" s="193">
        <v>0.99970000000000003</v>
      </c>
      <c r="AR50" s="193">
        <v>0.99970000000000003</v>
      </c>
      <c r="AS50" s="193">
        <v>0.99970000000000003</v>
      </c>
      <c r="AT50" s="193">
        <v>0</v>
      </c>
      <c r="AU50" s="193">
        <v>1.0397000000000001</v>
      </c>
      <c r="AV50" s="193">
        <v>1.0397000000000001</v>
      </c>
      <c r="AW50" s="193">
        <v>1.0397000000000001</v>
      </c>
      <c r="AX50" s="193">
        <v>1.0397000000000001</v>
      </c>
      <c r="AY50" s="193">
        <v>1.0397000000000001</v>
      </c>
      <c r="AZ50" s="193">
        <v>1.0397000000000001</v>
      </c>
      <c r="BA50" s="193">
        <v>1.32</v>
      </c>
    </row>
    <row r="51" spans="2:53" ht="15" customHeight="1">
      <c r="B51" s="148" t="s">
        <v>185</v>
      </c>
      <c r="C51" s="164" t="s">
        <v>125</v>
      </c>
      <c r="D51" s="167"/>
      <c r="E51" s="193">
        <v>1.0004999999999999</v>
      </c>
      <c r="F51" s="193">
        <v>1.0004999999999999</v>
      </c>
      <c r="G51" s="193">
        <v>1.0004999999999999</v>
      </c>
      <c r="H51" s="193">
        <v>1.0004999999999999</v>
      </c>
      <c r="I51" s="193">
        <v>1.0004999999999999</v>
      </c>
      <c r="J51" s="193">
        <v>1.0004999999999999</v>
      </c>
      <c r="K51" s="193">
        <v>1.0004999999999999</v>
      </c>
      <c r="L51" s="193">
        <v>1.0004999999999999</v>
      </c>
      <c r="M51" s="193">
        <v>1.0004999999999999</v>
      </c>
      <c r="N51" s="193">
        <v>1.0004999999999999</v>
      </c>
      <c r="O51" s="193">
        <v>1.0004999999999999</v>
      </c>
      <c r="P51" s="193">
        <v>1.0004999999999999</v>
      </c>
      <c r="Q51" s="193">
        <v>1.0004999999999999</v>
      </c>
      <c r="R51" s="193">
        <v>1.0004999999999999</v>
      </c>
      <c r="S51" s="193">
        <v>1.0004999999999999</v>
      </c>
      <c r="T51" s="193">
        <v>1.0004999999999999</v>
      </c>
      <c r="U51" s="193">
        <v>0</v>
      </c>
      <c r="V51" s="193">
        <v>0</v>
      </c>
      <c r="W51" s="193">
        <v>0</v>
      </c>
      <c r="X51" s="193">
        <v>1.0004999999999999</v>
      </c>
      <c r="Y51" s="193">
        <v>1.0004999999999999</v>
      </c>
      <c r="Z51" s="193">
        <v>1.0004999999999999</v>
      </c>
      <c r="AA51" s="193">
        <v>1.0029999999999999</v>
      </c>
      <c r="AB51" s="193">
        <v>1.0029999999999999</v>
      </c>
      <c r="AC51" s="193">
        <v>1.0029999999999999</v>
      </c>
      <c r="AD51" s="193">
        <v>1.0029999999999999</v>
      </c>
      <c r="AE51" s="193">
        <v>1.0029999999999999</v>
      </c>
      <c r="AF51" s="193">
        <v>1.0029999999999999</v>
      </c>
      <c r="AG51" s="193">
        <v>1.0029999999999999</v>
      </c>
      <c r="AH51" s="193">
        <v>1.0029999999999999</v>
      </c>
      <c r="AI51" s="193">
        <v>1.0029999999999999</v>
      </c>
      <c r="AJ51" s="193">
        <v>1.0029999999999999</v>
      </c>
      <c r="AK51" s="193">
        <v>1.0029999999999999</v>
      </c>
      <c r="AL51" s="193">
        <v>1.0029999999999999</v>
      </c>
      <c r="AM51" s="193">
        <v>1.0029999999999999</v>
      </c>
      <c r="AN51" s="193">
        <v>1.0029999999999999</v>
      </c>
      <c r="AO51" s="193">
        <v>1.0029999999999999</v>
      </c>
      <c r="AP51" s="193">
        <v>1.0029999999999999</v>
      </c>
      <c r="AQ51" s="193">
        <v>1.0029999999999999</v>
      </c>
      <c r="AR51" s="193">
        <v>1.0029999999999999</v>
      </c>
      <c r="AS51" s="193">
        <v>1.0029999999999999</v>
      </c>
      <c r="AT51" s="193">
        <v>0</v>
      </c>
      <c r="AU51" s="193">
        <v>1.0029999999999999</v>
      </c>
      <c r="AV51" s="193">
        <v>1.0029999999999999</v>
      </c>
      <c r="AW51" s="193">
        <v>1.0029999999999999</v>
      </c>
      <c r="AX51" s="193">
        <v>1.0029999999999999</v>
      </c>
      <c r="AY51" s="193">
        <v>1.0029999999999999</v>
      </c>
      <c r="AZ51" s="193">
        <v>1.0029999999999999</v>
      </c>
      <c r="BA51" s="193">
        <v>1.0029999999999999</v>
      </c>
    </row>
    <row r="52" spans="2:53" ht="15" customHeight="1">
      <c r="C52" s="77" t="s">
        <v>133</v>
      </c>
    </row>
    <row r="53" spans="2:53" ht="15" customHeight="1">
      <c r="B53" s="146" t="s">
        <v>186</v>
      </c>
      <c r="C53" s="172" t="s">
        <v>134</v>
      </c>
      <c r="D53" s="165"/>
      <c r="E53" s="196">
        <v>0.154</v>
      </c>
      <c r="F53" s="196">
        <v>0.154</v>
      </c>
      <c r="G53" s="196">
        <v>0.154</v>
      </c>
      <c r="H53" s="196">
        <v>0.154</v>
      </c>
      <c r="I53" s="196">
        <v>0.154</v>
      </c>
      <c r="J53" s="196">
        <v>0.154</v>
      </c>
      <c r="K53" s="196">
        <v>0.154</v>
      </c>
      <c r="L53" s="196">
        <v>0.154</v>
      </c>
      <c r="M53" s="196">
        <v>0.154</v>
      </c>
      <c r="N53" s="196">
        <v>0.154</v>
      </c>
      <c r="O53" s="196">
        <v>0.154</v>
      </c>
      <c r="P53" s="196">
        <v>0.154</v>
      </c>
      <c r="Q53" s="196">
        <v>0.154</v>
      </c>
      <c r="R53" s="196">
        <v>0.154</v>
      </c>
      <c r="S53" s="196">
        <v>0.154</v>
      </c>
      <c r="T53" s="196">
        <v>0.154</v>
      </c>
      <c r="U53" s="196">
        <v>0</v>
      </c>
      <c r="V53" s="196">
        <v>0</v>
      </c>
      <c r="W53" s="196">
        <v>0</v>
      </c>
      <c r="X53" s="196">
        <v>0.154</v>
      </c>
      <c r="Y53" s="196">
        <v>0.154</v>
      </c>
      <c r="Z53" s="196">
        <v>0.154</v>
      </c>
      <c r="AA53" s="196">
        <v>0.154</v>
      </c>
      <c r="AB53" s="196">
        <v>0.154</v>
      </c>
      <c r="AC53" s="196">
        <v>0.154</v>
      </c>
      <c r="AD53" s="196">
        <v>0.154</v>
      </c>
      <c r="AE53" s="196">
        <v>0.154</v>
      </c>
      <c r="AF53" s="196">
        <v>0.154</v>
      </c>
      <c r="AG53" s="196">
        <v>0.154</v>
      </c>
      <c r="AH53" s="196">
        <v>0.154</v>
      </c>
      <c r="AI53" s="196">
        <v>0.154</v>
      </c>
      <c r="AJ53" s="196">
        <v>0.154</v>
      </c>
      <c r="AK53" s="196">
        <v>0.154</v>
      </c>
      <c r="AL53" s="196">
        <v>0.154</v>
      </c>
      <c r="AM53" s="196">
        <v>0.154</v>
      </c>
      <c r="AN53" s="196">
        <v>0.154</v>
      </c>
      <c r="AO53" s="196">
        <v>0.154</v>
      </c>
      <c r="AP53" s="196">
        <v>0.154</v>
      </c>
      <c r="AQ53" s="196">
        <v>0.154</v>
      </c>
      <c r="AR53" s="196">
        <v>0.154</v>
      </c>
      <c r="AS53" s="196">
        <v>0.154</v>
      </c>
      <c r="AT53" s="196">
        <v>0</v>
      </c>
      <c r="AU53" s="196">
        <v>0.154</v>
      </c>
      <c r="AV53" s="196">
        <v>0.154</v>
      </c>
      <c r="AW53" s="196">
        <v>0.154</v>
      </c>
      <c r="AX53" s="196">
        <v>0.154</v>
      </c>
      <c r="AY53" s="196">
        <v>0.154</v>
      </c>
      <c r="AZ53" s="196">
        <v>0.154</v>
      </c>
      <c r="BA53" s="196">
        <v>0.154</v>
      </c>
    </row>
    <row r="54" spans="2:53" ht="15" customHeight="1">
      <c r="B54" s="146" t="s">
        <v>187</v>
      </c>
      <c r="C54" s="172" t="s">
        <v>135</v>
      </c>
      <c r="D54" s="166"/>
      <c r="E54" s="196">
        <v>6.0000000000000001E-3</v>
      </c>
      <c r="F54" s="196">
        <v>6.0000000000000001E-3</v>
      </c>
      <c r="G54" s="196">
        <v>6.0000000000000001E-3</v>
      </c>
      <c r="H54" s="196">
        <v>6.0000000000000001E-3</v>
      </c>
      <c r="I54" s="196">
        <v>6.0000000000000001E-3</v>
      </c>
      <c r="J54" s="196">
        <v>6.0000000000000001E-3</v>
      </c>
      <c r="K54" s="196">
        <v>6.0000000000000001E-3</v>
      </c>
      <c r="L54" s="196">
        <v>6.0000000000000001E-3</v>
      </c>
      <c r="M54" s="196">
        <v>6.0000000000000001E-3</v>
      </c>
      <c r="N54" s="196">
        <v>6.0000000000000001E-3</v>
      </c>
      <c r="O54" s="196">
        <v>6.0000000000000001E-3</v>
      </c>
      <c r="P54" s="196">
        <v>6.0000000000000001E-3</v>
      </c>
      <c r="Q54" s="196">
        <v>6.0000000000000001E-3</v>
      </c>
      <c r="R54" s="196">
        <v>6.0000000000000001E-3</v>
      </c>
      <c r="S54" s="196">
        <v>6.0000000000000001E-3</v>
      </c>
      <c r="T54" s="196">
        <v>6.0000000000000001E-3</v>
      </c>
      <c r="U54" s="196">
        <v>0</v>
      </c>
      <c r="V54" s="196">
        <v>0</v>
      </c>
      <c r="W54" s="196">
        <v>0</v>
      </c>
      <c r="X54" s="196">
        <v>6.0000000000000001E-3</v>
      </c>
      <c r="Y54" s="196">
        <v>6.0000000000000001E-3</v>
      </c>
      <c r="Z54" s="196">
        <v>6.0000000000000001E-3</v>
      </c>
      <c r="AA54" s="196">
        <v>6.0000000000000001E-3</v>
      </c>
      <c r="AB54" s="196">
        <v>6.0000000000000001E-3</v>
      </c>
      <c r="AC54" s="196">
        <v>6.0000000000000001E-3</v>
      </c>
      <c r="AD54" s="196">
        <v>6.0000000000000001E-3</v>
      </c>
      <c r="AE54" s="196">
        <v>6.0000000000000001E-3</v>
      </c>
      <c r="AF54" s="196">
        <v>6.0000000000000001E-3</v>
      </c>
      <c r="AG54" s="196">
        <v>6.0000000000000001E-3</v>
      </c>
      <c r="AH54" s="196">
        <v>6.0000000000000001E-3</v>
      </c>
      <c r="AI54" s="196">
        <v>6.0000000000000001E-3</v>
      </c>
      <c r="AJ54" s="196">
        <v>6.0000000000000001E-3</v>
      </c>
      <c r="AK54" s="196">
        <v>6.0000000000000001E-3</v>
      </c>
      <c r="AL54" s="196">
        <v>6.0000000000000001E-3</v>
      </c>
      <c r="AM54" s="196">
        <v>6.0000000000000001E-3</v>
      </c>
      <c r="AN54" s="196">
        <v>6.0000000000000001E-3</v>
      </c>
      <c r="AO54" s="196">
        <v>6.0000000000000001E-3</v>
      </c>
      <c r="AP54" s="196">
        <v>6.0000000000000001E-3</v>
      </c>
      <c r="AQ54" s="196">
        <v>6.0000000000000001E-3</v>
      </c>
      <c r="AR54" s="196">
        <v>6.0000000000000001E-3</v>
      </c>
      <c r="AS54" s="196">
        <v>6.0000000000000001E-3</v>
      </c>
      <c r="AT54" s="196">
        <v>0</v>
      </c>
      <c r="AU54" s="196">
        <v>6.0000000000000001E-3</v>
      </c>
      <c r="AV54" s="196">
        <v>6.0000000000000001E-3</v>
      </c>
      <c r="AW54" s="196">
        <v>6.0000000000000001E-3</v>
      </c>
      <c r="AX54" s="196">
        <v>6.0000000000000001E-3</v>
      </c>
      <c r="AY54" s="196">
        <v>6.0000000000000001E-3</v>
      </c>
      <c r="AZ54" s="196">
        <v>6.0000000000000001E-3</v>
      </c>
      <c r="BA54" s="196">
        <v>6.0000000000000001E-3</v>
      </c>
    </row>
    <row r="55" spans="2:53" ht="15" customHeight="1">
      <c r="B55" s="146" t="s">
        <v>188</v>
      </c>
      <c r="C55" s="172" t="s">
        <v>12</v>
      </c>
      <c r="D55" s="166"/>
      <c r="E55" s="196">
        <v>-2.7115237E-2</v>
      </c>
      <c r="F55" s="196">
        <v>-2.7115237E-2</v>
      </c>
      <c r="G55" s="196">
        <v>-2.7115237E-2</v>
      </c>
      <c r="H55" s="196">
        <v>-2.7115237E-2</v>
      </c>
      <c r="I55" s="196">
        <v>-2.7115237E-2</v>
      </c>
      <c r="J55" s="196">
        <v>-2.7115237E-2</v>
      </c>
      <c r="K55" s="196">
        <v>-2.7115237E-2</v>
      </c>
      <c r="L55" s="196">
        <v>-2.7115237E-2</v>
      </c>
      <c r="M55" s="196">
        <v>-2.7115237E-2</v>
      </c>
      <c r="N55" s="196">
        <v>-2.7115237E-2</v>
      </c>
      <c r="O55" s="196">
        <v>-2.7115237E-2</v>
      </c>
      <c r="P55" s="196">
        <v>-2.7115237E-2</v>
      </c>
      <c r="Q55" s="196">
        <v>-2.7115237E-2</v>
      </c>
      <c r="R55" s="196">
        <v>-2.7115237E-2</v>
      </c>
      <c r="S55" s="196">
        <v>-2.7115237E-2</v>
      </c>
      <c r="T55" s="196">
        <v>-2.7115237E-2</v>
      </c>
      <c r="U55" s="196">
        <v>0</v>
      </c>
      <c r="V55" s="196">
        <v>0</v>
      </c>
      <c r="W55" s="196">
        <v>0</v>
      </c>
      <c r="X55" s="196">
        <v>-2.7115237E-2</v>
      </c>
      <c r="Y55" s="196">
        <v>-2.7115237E-2</v>
      </c>
      <c r="Z55" s="196">
        <v>-2.7115237E-2</v>
      </c>
      <c r="AA55" s="196">
        <v>-2.7115237E-2</v>
      </c>
      <c r="AB55" s="196">
        <v>-2.7115237E-2</v>
      </c>
      <c r="AC55" s="196">
        <v>-2.7115237E-2</v>
      </c>
      <c r="AD55" s="196">
        <v>-2.7115237E-2</v>
      </c>
      <c r="AE55" s="196">
        <v>-2.7115237E-2</v>
      </c>
      <c r="AF55" s="196">
        <v>-2.7115237E-2</v>
      </c>
      <c r="AG55" s="196">
        <v>-2.7115237E-2</v>
      </c>
      <c r="AH55" s="196">
        <v>-2.7115237E-2</v>
      </c>
      <c r="AI55" s="196">
        <v>-2.7115237E-2</v>
      </c>
      <c r="AJ55" s="196">
        <v>-2.7115237E-2</v>
      </c>
      <c r="AK55" s="196">
        <v>-2.7115237E-2</v>
      </c>
      <c r="AL55" s="196">
        <v>-2.7115237E-2</v>
      </c>
      <c r="AM55" s="196">
        <v>-2.7115237E-2</v>
      </c>
      <c r="AN55" s="196">
        <v>-2.7115237E-2</v>
      </c>
      <c r="AO55" s="196">
        <v>-2.7115237E-2</v>
      </c>
      <c r="AP55" s="196">
        <v>-2.7115237E-2</v>
      </c>
      <c r="AQ55" s="196">
        <v>-2.7115237E-2</v>
      </c>
      <c r="AR55" s="196">
        <v>-2.7115237E-2</v>
      </c>
      <c r="AS55" s="196">
        <v>-2.7115237E-2</v>
      </c>
      <c r="AT55" s="196">
        <v>0</v>
      </c>
      <c r="AU55" s="196">
        <v>-2.7115237E-2</v>
      </c>
      <c r="AV55" s="196">
        <v>-2.7115237E-2</v>
      </c>
      <c r="AW55" s="196">
        <v>-2.7115237E-2</v>
      </c>
      <c r="AX55" s="196">
        <v>-2.7115237E-2</v>
      </c>
      <c r="AY55" s="196">
        <v>-2.7115237E-2</v>
      </c>
      <c r="AZ55" s="196">
        <v>-2.7115237E-2</v>
      </c>
      <c r="BA55" s="196">
        <v>-2.7115237E-2</v>
      </c>
    </row>
    <row r="56" spans="2:53"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0</v>
      </c>
      <c r="V56" s="193">
        <v>0</v>
      </c>
      <c r="W56" s="193">
        <v>0</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c r="AT56" s="193">
        <v>0</v>
      </c>
      <c r="AU56" s="193">
        <v>1</v>
      </c>
      <c r="AV56" s="193">
        <v>1</v>
      </c>
      <c r="AW56" s="193">
        <v>1</v>
      </c>
      <c r="AX56" s="193">
        <v>1</v>
      </c>
      <c r="AY56" s="193">
        <v>1</v>
      </c>
      <c r="AZ56" s="193">
        <v>1</v>
      </c>
      <c r="BA56" s="193">
        <v>1</v>
      </c>
    </row>
    <row r="57" spans="2:53" ht="15" customHeight="1">
      <c r="B57" s="148" t="s">
        <v>190</v>
      </c>
      <c r="C57" s="173" t="s">
        <v>79</v>
      </c>
      <c r="D57" s="167"/>
      <c r="E57" s="195">
        <f t="shared" ref="E57:AJ57" si="22">($E$48*PRODUCT(E49:E51)*E56)/(1-SUM(E53:E55))</f>
        <v>784.17907627695854</v>
      </c>
      <c r="F57" s="195">
        <f t="shared" si="22"/>
        <v>767.77004274252886</v>
      </c>
      <c r="G57" s="195">
        <f t="shared" si="22"/>
        <v>751.36100920809906</v>
      </c>
      <c r="H57" s="195">
        <f t="shared" si="22"/>
        <v>690.90667513388428</v>
      </c>
      <c r="I57" s="195">
        <f t="shared" si="22"/>
        <v>726.31564223449573</v>
      </c>
      <c r="J57" s="195">
        <f t="shared" si="22"/>
        <v>702.99754194872719</v>
      </c>
      <c r="K57" s="195">
        <f t="shared" si="22"/>
        <v>676.22490828728928</v>
      </c>
      <c r="L57" s="195">
        <f t="shared" si="22"/>
        <v>645.13410790626449</v>
      </c>
      <c r="M57" s="195">
        <f t="shared" si="22"/>
        <v>656.36134137719</v>
      </c>
      <c r="N57" s="195">
        <f t="shared" si="22"/>
        <v>638.22504115492563</v>
      </c>
      <c r="O57" s="195">
        <f t="shared" si="22"/>
        <v>589.86157389555376</v>
      </c>
      <c r="P57" s="195">
        <f t="shared" si="22"/>
        <v>594.17974061514042</v>
      </c>
      <c r="Q57" s="195">
        <f t="shared" si="22"/>
        <v>666.72494150419834</v>
      </c>
      <c r="R57" s="195">
        <f t="shared" si="22"/>
        <v>620.95237427657844</v>
      </c>
      <c r="S57" s="195">
        <f t="shared" si="22"/>
        <v>574.31617370504125</v>
      </c>
      <c r="T57" s="195">
        <f t="shared" si="22"/>
        <v>563.95257357803303</v>
      </c>
      <c r="U57" s="195">
        <f t="shared" si="22"/>
        <v>0</v>
      </c>
      <c r="V57" s="195">
        <f t="shared" si="22"/>
        <v>0</v>
      </c>
      <c r="W57" s="195">
        <f t="shared" si="22"/>
        <v>0</v>
      </c>
      <c r="X57" s="195">
        <f t="shared" si="22"/>
        <v>844.63341035117344</v>
      </c>
      <c r="Y57" s="195">
        <f t="shared" si="22"/>
        <v>824.76984344107427</v>
      </c>
      <c r="Z57" s="195">
        <f t="shared" si="22"/>
        <v>784.17907627695854</v>
      </c>
      <c r="AA57" s="195">
        <f t="shared" si="22"/>
        <v>781.80958749229774</v>
      </c>
      <c r="AB57" s="195">
        <f t="shared" si="22"/>
        <v>769.6885086164483</v>
      </c>
      <c r="AC57" s="195">
        <f t="shared" si="22"/>
        <v>733.32527198889954</v>
      </c>
      <c r="AD57" s="195">
        <f t="shared" si="22"/>
        <v>765.35955187507329</v>
      </c>
      <c r="AE57" s="195">
        <f t="shared" si="22"/>
        <v>753.23847299922375</v>
      </c>
      <c r="AF57" s="195">
        <f t="shared" si="22"/>
        <v>692.63307861997589</v>
      </c>
      <c r="AG57" s="195">
        <f t="shared" si="22"/>
        <v>728.13052389924962</v>
      </c>
      <c r="AH57" s="195">
        <f t="shared" si="22"/>
        <v>711.68048828202518</v>
      </c>
      <c r="AI57" s="195">
        <f t="shared" si="22"/>
        <v>704.75415749582544</v>
      </c>
      <c r="AJ57" s="195">
        <f t="shared" si="22"/>
        <v>677.9146256993015</v>
      </c>
      <c r="AK57" s="195">
        <f t="shared" ref="AK57:BA57" si="23">($E$48*PRODUCT(AK49:AK51)*AK56)/(1-SUM(AK53:AK55))</f>
        <v>646.74613716140254</v>
      </c>
      <c r="AL57" s="195">
        <f t="shared" si="23"/>
        <v>658.00142468897707</v>
      </c>
      <c r="AM57" s="195">
        <f t="shared" si="23"/>
        <v>639.8198063752028</v>
      </c>
      <c r="AN57" s="195">
        <f t="shared" si="23"/>
        <v>591.3354908718045</v>
      </c>
      <c r="AO57" s="195">
        <f t="shared" si="23"/>
        <v>595.66444761317928</v>
      </c>
      <c r="AP57" s="195">
        <f t="shared" si="23"/>
        <v>668.39092086827679</v>
      </c>
      <c r="AQ57" s="195">
        <f t="shared" si="23"/>
        <v>622.50397940970345</v>
      </c>
      <c r="AR57" s="195">
        <f t="shared" si="23"/>
        <v>575.75124660285496</v>
      </c>
      <c r="AS57" s="195">
        <f t="shared" si="23"/>
        <v>565.36175042355535</v>
      </c>
      <c r="AT57" s="195">
        <f t="shared" si="23"/>
        <v>0</v>
      </c>
      <c r="AU57" s="195">
        <f t="shared" si="23"/>
        <v>880.6238601338938</v>
      </c>
      <c r="AV57" s="195">
        <f t="shared" si="23"/>
        <v>817.59352249649851</v>
      </c>
      <c r="AW57" s="195">
        <f t="shared" si="23"/>
        <v>800.48528799491976</v>
      </c>
      <c r="AX57" s="195">
        <f t="shared" si="23"/>
        <v>783.37705349334112</v>
      </c>
      <c r="AY57" s="195">
        <f t="shared" si="23"/>
        <v>705.03934814400691</v>
      </c>
      <c r="AZ57" s="195">
        <f t="shared" si="23"/>
        <v>684.32938006314851</v>
      </c>
      <c r="BA57" s="195">
        <f t="shared" si="23"/>
        <v>1000.2890939857858</v>
      </c>
    </row>
    <row r="58" spans="2:53" ht="15" customHeight="1"/>
    <row r="59" spans="2:53" ht="15" customHeight="1">
      <c r="B59" s="146" t="s">
        <v>191</v>
      </c>
      <c r="C59" s="156" t="s">
        <v>127</v>
      </c>
      <c r="D59" s="208">
        <v>0.67930000000000001</v>
      </c>
      <c r="E59" s="248">
        <f>IF(D59&lt;&gt;"", D59, "")</f>
        <v>0.67930000000000001</v>
      </c>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49"/>
      <c r="AL59" s="249"/>
      <c r="AM59" s="249"/>
      <c r="AN59" s="249"/>
      <c r="AO59" s="249"/>
      <c r="AP59" s="249"/>
      <c r="AQ59" s="249"/>
      <c r="AR59" s="249"/>
      <c r="AS59" s="249"/>
      <c r="AT59" s="249"/>
      <c r="AU59" s="249"/>
      <c r="AV59" s="249"/>
      <c r="AW59" s="249"/>
      <c r="AX59" s="249"/>
      <c r="AY59" s="249"/>
      <c r="AZ59" s="249"/>
      <c r="BA59" s="250"/>
    </row>
    <row r="60" spans="2:53" ht="15" customHeight="1">
      <c r="B60" s="146" t="s">
        <v>192</v>
      </c>
      <c r="C60" s="156" t="s">
        <v>128</v>
      </c>
      <c r="D60" s="208">
        <v>1</v>
      </c>
      <c r="E60" s="248">
        <f>IF(D60&lt;&gt;"", D60, "")</f>
        <v>1</v>
      </c>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c r="AD60" s="249"/>
      <c r="AE60" s="249"/>
      <c r="AF60" s="249"/>
      <c r="AG60" s="249"/>
      <c r="AH60" s="249"/>
      <c r="AI60" s="249"/>
      <c r="AJ60" s="249"/>
      <c r="AK60" s="249"/>
      <c r="AL60" s="249"/>
      <c r="AM60" s="249"/>
      <c r="AN60" s="249"/>
      <c r="AO60" s="249"/>
      <c r="AP60" s="249"/>
      <c r="AQ60" s="249"/>
      <c r="AR60" s="249"/>
      <c r="AS60" s="249"/>
      <c r="AT60" s="249"/>
      <c r="AU60" s="249"/>
      <c r="AV60" s="249"/>
      <c r="AW60" s="249"/>
      <c r="AX60" s="249"/>
      <c r="AY60" s="249"/>
      <c r="AZ60" s="249"/>
      <c r="BA60" s="250"/>
    </row>
    <row r="61" spans="2:53" ht="15" customHeight="1">
      <c r="B61" s="146" t="s">
        <v>193</v>
      </c>
      <c r="C61" s="156" t="s">
        <v>129</v>
      </c>
      <c r="D61" s="208">
        <v>1</v>
      </c>
      <c r="E61" s="248">
        <f>IF(D61&lt;&gt;"", D61, "")</f>
        <v>1</v>
      </c>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c r="AD61" s="249"/>
      <c r="AE61" s="249"/>
      <c r="AF61" s="249"/>
      <c r="AG61" s="249"/>
      <c r="AH61" s="249"/>
      <c r="AI61" s="249"/>
      <c r="AJ61" s="249"/>
      <c r="AK61" s="249"/>
      <c r="AL61" s="249"/>
      <c r="AM61" s="249"/>
      <c r="AN61" s="249"/>
      <c r="AO61" s="249"/>
      <c r="AP61" s="249"/>
      <c r="AQ61" s="249"/>
      <c r="AR61" s="249"/>
      <c r="AS61" s="249"/>
      <c r="AT61" s="249"/>
      <c r="AU61" s="249"/>
      <c r="AV61" s="249"/>
      <c r="AW61" s="249"/>
      <c r="AX61" s="249"/>
      <c r="AY61" s="249"/>
      <c r="AZ61" s="249"/>
      <c r="BA61" s="250"/>
    </row>
    <row r="62" spans="2:53" ht="15" customHeight="1">
      <c r="B62" s="148" t="s">
        <v>194</v>
      </c>
      <c r="C62" s="171" t="s">
        <v>136</v>
      </c>
      <c r="D62" s="170"/>
      <c r="E62" s="195">
        <f t="shared" ref="E62:AJ62" si="24">E57*(PRODUCT($E$59:$E$61))</f>
        <v>532.69284651493797</v>
      </c>
      <c r="F62" s="195">
        <f t="shared" si="24"/>
        <v>521.54619003499988</v>
      </c>
      <c r="G62" s="195">
        <f t="shared" si="24"/>
        <v>510.39953355506168</v>
      </c>
      <c r="H62" s="195">
        <f t="shared" si="24"/>
        <v>469.33290441844758</v>
      </c>
      <c r="I62" s="195">
        <f t="shared" si="24"/>
        <v>493.38621576989294</v>
      </c>
      <c r="J62" s="195">
        <f t="shared" si="24"/>
        <v>477.5462302457704</v>
      </c>
      <c r="K62" s="195">
        <f t="shared" si="24"/>
        <v>459.35958019955564</v>
      </c>
      <c r="L62" s="195">
        <f t="shared" si="24"/>
        <v>438.23959950072549</v>
      </c>
      <c r="M62" s="195">
        <f t="shared" si="24"/>
        <v>445.86625919752515</v>
      </c>
      <c r="N62" s="195">
        <f t="shared" si="24"/>
        <v>433.54627045654098</v>
      </c>
      <c r="O62" s="195">
        <f t="shared" si="24"/>
        <v>400.6929671472497</v>
      </c>
      <c r="P62" s="195">
        <f t="shared" si="24"/>
        <v>403.62629779986491</v>
      </c>
      <c r="Q62" s="195">
        <f t="shared" si="24"/>
        <v>452.90625276380194</v>
      </c>
      <c r="R62" s="195">
        <f t="shared" si="24"/>
        <v>421.81294784607974</v>
      </c>
      <c r="S62" s="195">
        <f t="shared" si="24"/>
        <v>390.13297679783454</v>
      </c>
      <c r="T62" s="195">
        <f t="shared" si="24"/>
        <v>383.09298323155787</v>
      </c>
      <c r="U62" s="195">
        <f t="shared" si="24"/>
        <v>0</v>
      </c>
      <c r="V62" s="195">
        <f t="shared" si="24"/>
        <v>0</v>
      </c>
      <c r="W62" s="195">
        <f t="shared" si="24"/>
        <v>0</v>
      </c>
      <c r="X62" s="195">
        <f t="shared" si="24"/>
        <v>573.75947565155218</v>
      </c>
      <c r="Y62" s="195">
        <f t="shared" si="24"/>
        <v>560.26615464952181</v>
      </c>
      <c r="Z62" s="195">
        <f t="shared" si="24"/>
        <v>532.69284651493797</v>
      </c>
      <c r="AA62" s="195">
        <f t="shared" si="24"/>
        <v>531.08325278351788</v>
      </c>
      <c r="AB62" s="195">
        <f t="shared" si="24"/>
        <v>522.8494039031533</v>
      </c>
      <c r="AC62" s="195">
        <f t="shared" si="24"/>
        <v>498.14785726205946</v>
      </c>
      <c r="AD62" s="195">
        <f t="shared" si="24"/>
        <v>519.90874358873725</v>
      </c>
      <c r="AE62" s="195">
        <f t="shared" si="24"/>
        <v>511.67489470837268</v>
      </c>
      <c r="AF62" s="195">
        <f t="shared" si="24"/>
        <v>470.50565030654963</v>
      </c>
      <c r="AG62" s="195">
        <f t="shared" si="24"/>
        <v>494.61906488476029</v>
      </c>
      <c r="AH62" s="195">
        <f t="shared" si="24"/>
        <v>483.44455568997972</v>
      </c>
      <c r="AI62" s="195">
        <f t="shared" si="24"/>
        <v>478.73949918691426</v>
      </c>
      <c r="AJ62" s="195">
        <f t="shared" si="24"/>
        <v>460.50740523753552</v>
      </c>
      <c r="AK62" s="195">
        <f t="shared" ref="AK62:BA62" si="25">AK57*(PRODUCT($E$59:$E$61))</f>
        <v>439.33465097374074</v>
      </c>
      <c r="AL62" s="195">
        <f t="shared" si="25"/>
        <v>446.98036779122214</v>
      </c>
      <c r="AM62" s="195">
        <f t="shared" si="25"/>
        <v>434.62959447067527</v>
      </c>
      <c r="AN62" s="195">
        <f t="shared" si="25"/>
        <v>401.6941989492168</v>
      </c>
      <c r="AO62" s="195">
        <f t="shared" si="25"/>
        <v>404.63485926363268</v>
      </c>
      <c r="AP62" s="195">
        <f t="shared" si="25"/>
        <v>454.03795254582042</v>
      </c>
      <c r="AQ62" s="195">
        <f t="shared" si="25"/>
        <v>422.86695321301158</v>
      </c>
      <c r="AR62" s="195">
        <f t="shared" si="25"/>
        <v>391.1078218173194</v>
      </c>
      <c r="AS62" s="195">
        <f t="shared" si="25"/>
        <v>384.05023706272118</v>
      </c>
      <c r="AT62" s="195">
        <f t="shared" si="25"/>
        <v>0</v>
      </c>
      <c r="AU62" s="195">
        <f t="shared" si="25"/>
        <v>598.20778818895405</v>
      </c>
      <c r="AV62" s="195">
        <f t="shared" si="25"/>
        <v>555.39127983187143</v>
      </c>
      <c r="AW62" s="195">
        <f t="shared" si="25"/>
        <v>543.76965613494906</v>
      </c>
      <c r="AX62" s="195">
        <f t="shared" si="25"/>
        <v>532.14803243802669</v>
      </c>
      <c r="AY62" s="195">
        <f t="shared" si="25"/>
        <v>478.93322919422388</v>
      </c>
      <c r="AZ62" s="195">
        <f t="shared" si="25"/>
        <v>464.86494787689679</v>
      </c>
      <c r="BA62" s="195">
        <f t="shared" si="25"/>
        <v>679.49638154454431</v>
      </c>
    </row>
    <row r="63" spans="2:53" ht="15" customHeight="1"/>
    <row r="64" spans="2:53" ht="15" customHeight="1">
      <c r="C64" s="76" t="s">
        <v>130</v>
      </c>
    </row>
    <row r="65" spans="2:53" ht="15" customHeight="1">
      <c r="B65" s="146" t="s">
        <v>195</v>
      </c>
      <c r="C65" s="152" t="s">
        <v>106</v>
      </c>
      <c r="D65" s="174" t="s">
        <v>2</v>
      </c>
      <c r="E65" s="90" t="str">
        <f t="shared" ref="E65:AJ65" si="26">IF(E13&lt;&gt;"",E13,"")</f>
        <v>89942GA0060002</v>
      </c>
      <c r="F65" s="90" t="str">
        <f t="shared" si="26"/>
        <v>89942GA0060003</v>
      </c>
      <c r="G65" s="90" t="str">
        <f t="shared" si="26"/>
        <v>89942GA0060012</v>
      </c>
      <c r="H65" s="90" t="str">
        <f t="shared" si="26"/>
        <v>89942GA0060033</v>
      </c>
      <c r="I65" s="90" t="str">
        <f t="shared" si="26"/>
        <v>89942GA0060027</v>
      </c>
      <c r="J65" s="90" t="str">
        <f t="shared" si="26"/>
        <v>89942GA0060028</v>
      </c>
      <c r="K65" s="90" t="str">
        <f t="shared" si="26"/>
        <v>89942GA0060005</v>
      </c>
      <c r="L65" s="90" t="str">
        <f t="shared" si="26"/>
        <v>89942GA0060007</v>
      </c>
      <c r="M65" s="90" t="str">
        <f t="shared" si="26"/>
        <v>89942GA0060013</v>
      </c>
      <c r="N65" s="90" t="str">
        <f t="shared" si="26"/>
        <v>89942GA0060017</v>
      </c>
      <c r="O65" s="90" t="str">
        <f t="shared" si="26"/>
        <v>89942GA0060025</v>
      </c>
      <c r="P65" s="90" t="str">
        <f t="shared" si="26"/>
        <v>89942GA0060034</v>
      </c>
      <c r="Q65" s="90" t="str">
        <f t="shared" si="26"/>
        <v>89942GA0060029</v>
      </c>
      <c r="R65" s="90" t="str">
        <f t="shared" si="26"/>
        <v>89942GA0060032</v>
      </c>
      <c r="S65" s="90" t="str">
        <f t="shared" si="26"/>
        <v>89942GA0060006</v>
      </c>
      <c r="T65" s="90" t="str">
        <f t="shared" si="26"/>
        <v>89942GA0060016</v>
      </c>
      <c r="U65" s="90" t="str">
        <f t="shared" si="26"/>
        <v>89942GA0060030</v>
      </c>
      <c r="V65" s="90" t="str">
        <f t="shared" si="26"/>
        <v>89942GA0060018</v>
      </c>
      <c r="W65" s="90" t="str">
        <f t="shared" si="26"/>
        <v>89942GA0060011</v>
      </c>
      <c r="X65" s="90" t="str">
        <f t="shared" si="26"/>
        <v>89942GA0080001</v>
      </c>
      <c r="Y65" s="90" t="str">
        <f t="shared" si="26"/>
        <v>89942GA0080026</v>
      </c>
      <c r="Z65" s="90" t="str">
        <f t="shared" si="26"/>
        <v>89942GA0080002</v>
      </c>
      <c r="AA65" s="90" t="str">
        <f t="shared" si="26"/>
        <v>89942GA0080030</v>
      </c>
      <c r="AB65" s="90" t="str">
        <f t="shared" si="26"/>
        <v>89942GA0080003</v>
      </c>
      <c r="AC65" s="90" t="str">
        <f t="shared" si="26"/>
        <v>89942GA0080018</v>
      </c>
      <c r="AD65" s="90" t="str">
        <f t="shared" si="26"/>
        <v>89942GA0080036</v>
      </c>
      <c r="AE65" s="90" t="str">
        <f t="shared" si="26"/>
        <v>89942GA0080012</v>
      </c>
      <c r="AF65" s="90" t="str">
        <f t="shared" si="26"/>
        <v>89942GA0080033</v>
      </c>
      <c r="AG65" s="90" t="str">
        <f t="shared" si="26"/>
        <v>89942GA0080027</v>
      </c>
      <c r="AH65" s="90" t="str">
        <f t="shared" si="26"/>
        <v>89942GA0080031</v>
      </c>
      <c r="AI65" s="90" t="str">
        <f t="shared" si="26"/>
        <v>89942GA0080028</v>
      </c>
      <c r="AJ65" s="90" t="str">
        <f t="shared" si="26"/>
        <v>89942GA0080005</v>
      </c>
      <c r="AK65" s="90" t="str">
        <f t="shared" ref="AK65:BA65" si="27">IF(AK13&lt;&gt;"",AK13,"")</f>
        <v>89942GA0080007</v>
      </c>
      <c r="AL65" s="90" t="str">
        <f t="shared" si="27"/>
        <v>89942GA0080013</v>
      </c>
      <c r="AM65" s="90" t="str">
        <f t="shared" si="27"/>
        <v>89942GA0080017</v>
      </c>
      <c r="AN65" s="90" t="str">
        <f t="shared" si="27"/>
        <v>89942GA0080025</v>
      </c>
      <c r="AO65" s="90" t="str">
        <f t="shared" si="27"/>
        <v>89942GA0080034</v>
      </c>
      <c r="AP65" s="90" t="str">
        <f t="shared" si="27"/>
        <v>89942GA0080029</v>
      </c>
      <c r="AQ65" s="90" t="str">
        <f t="shared" si="27"/>
        <v>89942GA0080032</v>
      </c>
      <c r="AR65" s="90" t="str">
        <f t="shared" si="27"/>
        <v>89942GA0080006</v>
      </c>
      <c r="AS65" s="90" t="str">
        <f t="shared" si="27"/>
        <v>89942GA0080016</v>
      </c>
      <c r="AT65" s="90" t="str">
        <f t="shared" si="27"/>
        <v>89942GA0080009</v>
      </c>
      <c r="AU65" s="90" t="str">
        <f t="shared" si="27"/>
        <v>89942GA0160001</v>
      </c>
      <c r="AV65" s="90" t="str">
        <f t="shared" si="27"/>
        <v>89942GA0160002</v>
      </c>
      <c r="AW65" s="90" t="str">
        <f t="shared" si="27"/>
        <v>89942GA0160003</v>
      </c>
      <c r="AX65" s="90" t="str">
        <f t="shared" si="27"/>
        <v>89942GA0160004</v>
      </c>
      <c r="AY65" s="90" t="str">
        <f t="shared" si="27"/>
        <v>89942GA0160005</v>
      </c>
      <c r="AZ65" s="90" t="str">
        <f t="shared" si="27"/>
        <v>89942GA0160006</v>
      </c>
      <c r="BA65" s="90" t="str">
        <f t="shared" si="27"/>
        <v>89942GA0110015</v>
      </c>
    </row>
    <row r="66" spans="2:53" ht="15" customHeight="1">
      <c r="B66" s="146" t="s">
        <v>196</v>
      </c>
      <c r="C66" s="152" t="s">
        <v>86</v>
      </c>
      <c r="D66" s="159">
        <f>SUM(E66:BA66)</f>
        <v>33506467.634537812</v>
      </c>
      <c r="E66" s="187">
        <v>448980.91995406733</v>
      </c>
      <c r="F66" s="187">
        <v>64933.605189584014</v>
      </c>
      <c r="G66" s="187">
        <v>200029.48314368064</v>
      </c>
      <c r="H66" s="187">
        <v>20772.293896443945</v>
      </c>
      <c r="I66" s="187">
        <v>7169.1310160609582</v>
      </c>
      <c r="J66" s="187">
        <v>96902.380759503911</v>
      </c>
      <c r="K66" s="187">
        <v>294289.02546488872</v>
      </c>
      <c r="L66" s="187">
        <v>56539.927261633333</v>
      </c>
      <c r="M66" s="187">
        <v>192954.78224010448</v>
      </c>
      <c r="N66" s="187">
        <v>149194.82861934887</v>
      </c>
      <c r="O66" s="187">
        <v>67636.584215130773</v>
      </c>
      <c r="P66" s="187">
        <v>6781.600315685494</v>
      </c>
      <c r="Q66" s="187">
        <v>13365.825276324145</v>
      </c>
      <c r="R66" s="187">
        <v>33220.684224925601</v>
      </c>
      <c r="S66" s="187">
        <v>189223.07633458593</v>
      </c>
      <c r="T66" s="187">
        <v>59617.067779585122</v>
      </c>
      <c r="U66" s="187">
        <v>0</v>
      </c>
      <c r="V66" s="187">
        <v>0</v>
      </c>
      <c r="W66" s="187">
        <v>0</v>
      </c>
      <c r="X66" s="187">
        <v>4729358.8546200041</v>
      </c>
      <c r="Y66" s="187">
        <v>1066618.5751164667</v>
      </c>
      <c r="Z66" s="187">
        <v>1819833.1572636636</v>
      </c>
      <c r="AA66" s="187">
        <v>1134523.8560707706</v>
      </c>
      <c r="AB66" s="187">
        <v>1804437.4598523008</v>
      </c>
      <c r="AC66" s="187">
        <v>906980.74339224852</v>
      </c>
      <c r="AD66" s="187">
        <v>230378.30921744925</v>
      </c>
      <c r="AE66" s="187">
        <v>3271255.999857604</v>
      </c>
      <c r="AF66" s="187">
        <v>41648.397357587761</v>
      </c>
      <c r="AG66" s="187">
        <v>1255337.1735376276</v>
      </c>
      <c r="AH66" s="187">
        <v>283526.44968964846</v>
      </c>
      <c r="AI66" s="187">
        <v>1376056.7798498862</v>
      </c>
      <c r="AJ66" s="187">
        <v>1820749.1693513354</v>
      </c>
      <c r="AK66" s="187">
        <v>493798.98491969222</v>
      </c>
      <c r="AL66" s="187">
        <v>2937705.9690876952</v>
      </c>
      <c r="AM66" s="187">
        <v>1602312.4730479612</v>
      </c>
      <c r="AN66" s="187">
        <v>672982.02394711098</v>
      </c>
      <c r="AO66" s="187">
        <v>260610.92400890993</v>
      </c>
      <c r="AP66" s="187">
        <v>960123.64434934885</v>
      </c>
      <c r="AQ66" s="187">
        <v>348338.64174483961</v>
      </c>
      <c r="AR66" s="187">
        <v>3570458.8504215581</v>
      </c>
      <c r="AS66" s="187">
        <v>725795.11857425049</v>
      </c>
      <c r="AT66" s="187">
        <v>0</v>
      </c>
      <c r="AU66" s="187">
        <v>62318.826184786274</v>
      </c>
      <c r="AV66" s="187">
        <v>504.97554111671894</v>
      </c>
      <c r="AW66" s="187">
        <v>512.88237715054254</v>
      </c>
      <c r="AX66" s="187">
        <v>49101.04361706358</v>
      </c>
      <c r="AY66" s="187">
        <v>82416.823444563735</v>
      </c>
      <c r="AZ66" s="187">
        <v>97170.312403619566</v>
      </c>
      <c r="BA66" s="187">
        <v>0</v>
      </c>
    </row>
    <row r="67" spans="2:53" ht="15" customHeight="1">
      <c r="B67" s="146" t="s">
        <v>197</v>
      </c>
      <c r="C67" s="152" t="s">
        <v>87</v>
      </c>
      <c r="D67" s="159">
        <f>SUM(E67:BA67)</f>
        <v>0</v>
      </c>
      <c r="E67" s="187">
        <v>0</v>
      </c>
      <c r="F67" s="187">
        <v>0</v>
      </c>
      <c r="G67" s="187">
        <v>0</v>
      </c>
      <c r="H67" s="187">
        <v>0</v>
      </c>
      <c r="I67" s="187">
        <v>0</v>
      </c>
      <c r="J67" s="187">
        <v>0</v>
      </c>
      <c r="K67" s="187">
        <v>0</v>
      </c>
      <c r="L67" s="187">
        <v>0</v>
      </c>
      <c r="M67" s="187">
        <v>0</v>
      </c>
      <c r="N67" s="187">
        <v>0</v>
      </c>
      <c r="O67" s="187">
        <v>0</v>
      </c>
      <c r="P67" s="187">
        <v>0</v>
      </c>
      <c r="Q67" s="187">
        <v>0</v>
      </c>
      <c r="R67" s="187">
        <v>0</v>
      </c>
      <c r="S67" s="187">
        <v>0</v>
      </c>
      <c r="T67" s="187">
        <v>0</v>
      </c>
      <c r="U67" s="187">
        <v>0</v>
      </c>
      <c r="V67" s="187">
        <v>0</v>
      </c>
      <c r="W67" s="187">
        <v>0</v>
      </c>
      <c r="X67" s="187">
        <v>0</v>
      </c>
      <c r="Y67" s="187">
        <v>0</v>
      </c>
      <c r="Z67" s="187">
        <v>0</v>
      </c>
      <c r="AA67" s="187">
        <v>0</v>
      </c>
      <c r="AB67" s="187">
        <v>0</v>
      </c>
      <c r="AC67" s="187">
        <v>0</v>
      </c>
      <c r="AD67" s="187">
        <v>0</v>
      </c>
      <c r="AE67" s="187">
        <v>0</v>
      </c>
      <c r="AF67" s="187">
        <v>0</v>
      </c>
      <c r="AG67" s="187">
        <v>0</v>
      </c>
      <c r="AH67" s="187">
        <v>0</v>
      </c>
      <c r="AI67" s="187">
        <v>0</v>
      </c>
      <c r="AJ67" s="187">
        <v>0</v>
      </c>
      <c r="AK67" s="187">
        <v>0</v>
      </c>
      <c r="AL67" s="187">
        <v>0</v>
      </c>
      <c r="AM67" s="187">
        <v>0</v>
      </c>
      <c r="AN67" s="187">
        <v>0</v>
      </c>
      <c r="AO67" s="187">
        <v>0</v>
      </c>
      <c r="AP67" s="187">
        <v>0</v>
      </c>
      <c r="AQ67" s="187">
        <v>0</v>
      </c>
      <c r="AR67" s="187">
        <v>0</v>
      </c>
      <c r="AS67" s="187">
        <v>0</v>
      </c>
      <c r="AT67" s="187">
        <v>0</v>
      </c>
      <c r="AU67" s="187">
        <v>0</v>
      </c>
      <c r="AV67" s="187">
        <v>0</v>
      </c>
      <c r="AW67" s="187">
        <v>0</v>
      </c>
      <c r="AX67" s="187">
        <v>0</v>
      </c>
      <c r="AY67" s="187">
        <v>0</v>
      </c>
      <c r="AZ67" s="187">
        <v>0</v>
      </c>
      <c r="BA67" s="187">
        <v>0</v>
      </c>
    </row>
    <row r="68" spans="2:53" ht="15" customHeight="1">
      <c r="B68" s="146" t="s">
        <v>198</v>
      </c>
      <c r="C68" s="152" t="s">
        <v>111</v>
      </c>
      <c r="D68" s="159">
        <f>SUM(E68:BA68)</f>
        <v>5867918</v>
      </c>
      <c r="E68" s="187">
        <v>41306</v>
      </c>
      <c r="F68" s="187">
        <v>7208</v>
      </c>
      <c r="G68" s="187">
        <v>26004</v>
      </c>
      <c r="H68" s="187">
        <v>4154</v>
      </c>
      <c r="I68" s="187">
        <v>1140</v>
      </c>
      <c r="J68" s="187">
        <v>18024</v>
      </c>
      <c r="K68" s="187">
        <v>63861</v>
      </c>
      <c r="L68" s="187">
        <v>14305</v>
      </c>
      <c r="M68" s="187">
        <v>46309</v>
      </c>
      <c r="N68" s="187">
        <v>38940</v>
      </c>
      <c r="O68" s="187">
        <v>21441</v>
      </c>
      <c r="P68" s="187">
        <v>2116</v>
      </c>
      <c r="Q68" s="187">
        <v>3047</v>
      </c>
      <c r="R68" s="187">
        <v>9335</v>
      </c>
      <c r="S68" s="187">
        <v>63390</v>
      </c>
      <c r="T68" s="187">
        <v>20687</v>
      </c>
      <c r="U68" s="187">
        <v>0</v>
      </c>
      <c r="V68" s="187">
        <v>0</v>
      </c>
      <c r="W68" s="187">
        <v>0</v>
      </c>
      <c r="X68" s="187">
        <v>104046</v>
      </c>
      <c r="Y68" s="187">
        <v>47998</v>
      </c>
      <c r="Z68" s="187">
        <v>167425</v>
      </c>
      <c r="AA68" s="187">
        <v>110049</v>
      </c>
      <c r="AB68" s="187">
        <v>200293</v>
      </c>
      <c r="AC68" s="187">
        <v>138768</v>
      </c>
      <c r="AD68" s="187">
        <v>26724</v>
      </c>
      <c r="AE68" s="187">
        <v>425263</v>
      </c>
      <c r="AF68" s="187">
        <v>8330</v>
      </c>
      <c r="AG68" s="187">
        <v>199599</v>
      </c>
      <c r="AH68" s="187">
        <v>50468</v>
      </c>
      <c r="AI68" s="187">
        <v>255947</v>
      </c>
      <c r="AJ68" s="187">
        <v>395103</v>
      </c>
      <c r="AK68" s="187">
        <v>124931</v>
      </c>
      <c r="AL68" s="187">
        <v>705049</v>
      </c>
      <c r="AM68" s="187">
        <v>418204</v>
      </c>
      <c r="AN68" s="187">
        <v>213335</v>
      </c>
      <c r="AO68" s="187">
        <v>81311</v>
      </c>
      <c r="AP68" s="187">
        <v>218908</v>
      </c>
      <c r="AQ68" s="187">
        <v>97883</v>
      </c>
      <c r="AR68" s="187">
        <v>1196104</v>
      </c>
      <c r="AS68" s="187">
        <v>251851</v>
      </c>
      <c r="AT68" s="187">
        <v>0</v>
      </c>
      <c r="AU68" s="187">
        <v>1371</v>
      </c>
      <c r="AV68" s="187">
        <v>46</v>
      </c>
      <c r="AW68" s="187">
        <v>57</v>
      </c>
      <c r="AX68" s="187">
        <v>6383</v>
      </c>
      <c r="AY68" s="187">
        <v>17884</v>
      </c>
      <c r="AZ68" s="187">
        <v>23321</v>
      </c>
      <c r="BA68" s="187">
        <v>0</v>
      </c>
    </row>
    <row r="69" spans="2:53" ht="15" customHeight="1">
      <c r="B69" s="146" t="s">
        <v>199</v>
      </c>
      <c r="C69" s="152" t="s">
        <v>112</v>
      </c>
      <c r="D69" s="159">
        <f>SUM(E69:BA69)</f>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c r="AQ69" s="187">
        <v>0</v>
      </c>
      <c r="AR69" s="187">
        <v>0</v>
      </c>
      <c r="AS69" s="187">
        <v>0</v>
      </c>
      <c r="AT69" s="187">
        <v>0</v>
      </c>
      <c r="AU69" s="187">
        <v>0</v>
      </c>
      <c r="AV69" s="187">
        <v>0</v>
      </c>
      <c r="AW69" s="187">
        <v>0</v>
      </c>
      <c r="AX69" s="187">
        <v>0</v>
      </c>
      <c r="AY69" s="187">
        <v>0</v>
      </c>
      <c r="AZ69" s="187">
        <v>0</v>
      </c>
      <c r="BA69" s="187">
        <v>0</v>
      </c>
    </row>
    <row r="70" spans="2:53" ht="15" customHeight="1">
      <c r="B70" s="146" t="s">
        <v>200</v>
      </c>
      <c r="C70" s="152" t="s">
        <v>113</v>
      </c>
      <c r="D70" s="159">
        <f t="shared" ref="D70:AI70" si="28">D66-D67-D68-D69</f>
        <v>27638549.634537812</v>
      </c>
      <c r="E70" s="159">
        <f t="shared" si="28"/>
        <v>407674.91995406733</v>
      </c>
      <c r="F70" s="159">
        <f t="shared" si="28"/>
        <v>57725.605189584014</v>
      </c>
      <c r="G70" s="159">
        <f t="shared" si="28"/>
        <v>174025.48314368064</v>
      </c>
      <c r="H70" s="159">
        <f t="shared" si="28"/>
        <v>16618.293896443945</v>
      </c>
      <c r="I70" s="159">
        <f t="shared" si="28"/>
        <v>6029.1310160609582</v>
      </c>
      <c r="J70" s="159">
        <f t="shared" si="28"/>
        <v>78878.380759503911</v>
      </c>
      <c r="K70" s="159">
        <f t="shared" si="28"/>
        <v>230428.02546488872</v>
      </c>
      <c r="L70" s="159">
        <f t="shared" si="28"/>
        <v>42234.927261633333</v>
      </c>
      <c r="M70" s="159">
        <f t="shared" si="28"/>
        <v>146645.78224010448</v>
      </c>
      <c r="N70" s="159">
        <f t="shared" si="28"/>
        <v>110254.82861934887</v>
      </c>
      <c r="O70" s="159">
        <f t="shared" si="28"/>
        <v>46195.584215130773</v>
      </c>
      <c r="P70" s="159">
        <f t="shared" si="28"/>
        <v>4665.600315685494</v>
      </c>
      <c r="Q70" s="159">
        <f t="shared" si="28"/>
        <v>10318.825276324145</v>
      </c>
      <c r="R70" s="159">
        <f t="shared" si="28"/>
        <v>23885.684224925601</v>
      </c>
      <c r="S70" s="159">
        <f t="shared" si="28"/>
        <v>125833.07633458593</v>
      </c>
      <c r="T70" s="159">
        <f t="shared" si="28"/>
        <v>38930.067779585122</v>
      </c>
      <c r="U70" s="159">
        <f t="shared" si="28"/>
        <v>0</v>
      </c>
      <c r="V70" s="159">
        <f t="shared" si="28"/>
        <v>0</v>
      </c>
      <c r="W70" s="159">
        <f t="shared" si="28"/>
        <v>0</v>
      </c>
      <c r="X70" s="159">
        <f t="shared" si="28"/>
        <v>4625312.8546200041</v>
      </c>
      <c r="Y70" s="159">
        <f t="shared" si="28"/>
        <v>1018620.5751164667</v>
      </c>
      <c r="Z70" s="159">
        <f t="shared" si="28"/>
        <v>1652408.1572636636</v>
      </c>
      <c r="AA70" s="159">
        <f t="shared" si="28"/>
        <v>1024474.8560707706</v>
      </c>
      <c r="AB70" s="159">
        <f t="shared" si="28"/>
        <v>1604144.4598523008</v>
      </c>
      <c r="AC70" s="159">
        <f t="shared" si="28"/>
        <v>768212.74339224852</v>
      </c>
      <c r="AD70" s="159">
        <f t="shared" si="28"/>
        <v>203654.30921744925</v>
      </c>
      <c r="AE70" s="159">
        <f t="shared" si="28"/>
        <v>2845992.999857604</v>
      </c>
      <c r="AF70" s="159">
        <f t="shared" si="28"/>
        <v>33318.397357587761</v>
      </c>
      <c r="AG70" s="159">
        <f t="shared" si="28"/>
        <v>1055738.1735376276</v>
      </c>
      <c r="AH70" s="159">
        <f t="shared" si="28"/>
        <v>233058.44968964846</v>
      </c>
      <c r="AI70" s="159">
        <f t="shared" si="28"/>
        <v>1120109.7798498862</v>
      </c>
      <c r="AJ70" s="159">
        <f t="shared" ref="AJ70:BA70" si="29">AJ66-AJ67-AJ68-AJ69</f>
        <v>1425646.1693513354</v>
      </c>
      <c r="AK70" s="159">
        <f t="shared" si="29"/>
        <v>368867.98491969222</v>
      </c>
      <c r="AL70" s="159">
        <f t="shared" si="29"/>
        <v>2232656.9690876952</v>
      </c>
      <c r="AM70" s="159">
        <f t="shared" si="29"/>
        <v>1184108.4730479612</v>
      </c>
      <c r="AN70" s="159">
        <f t="shared" si="29"/>
        <v>459647.02394711098</v>
      </c>
      <c r="AO70" s="159">
        <f t="shared" si="29"/>
        <v>179299.92400890993</v>
      </c>
      <c r="AP70" s="159">
        <f t="shared" si="29"/>
        <v>741215.64434934885</v>
      </c>
      <c r="AQ70" s="159">
        <f t="shared" si="29"/>
        <v>250455.64174483961</v>
      </c>
      <c r="AR70" s="159">
        <f t="shared" si="29"/>
        <v>2374354.8504215581</v>
      </c>
      <c r="AS70" s="159">
        <f t="shared" si="29"/>
        <v>473944.11857425049</v>
      </c>
      <c r="AT70" s="159">
        <f t="shared" si="29"/>
        <v>0</v>
      </c>
      <c r="AU70" s="159">
        <f t="shared" si="29"/>
        <v>60947.826184786274</v>
      </c>
      <c r="AV70" s="159">
        <f t="shared" si="29"/>
        <v>458.97554111671894</v>
      </c>
      <c r="AW70" s="159">
        <f t="shared" si="29"/>
        <v>455.88237715054254</v>
      </c>
      <c r="AX70" s="159">
        <f t="shared" si="29"/>
        <v>42718.04361706358</v>
      </c>
      <c r="AY70" s="159">
        <f t="shared" si="29"/>
        <v>64532.823444563735</v>
      </c>
      <c r="AZ70" s="159">
        <f t="shared" si="29"/>
        <v>73849.312403619566</v>
      </c>
      <c r="BA70" s="159">
        <f t="shared" si="29"/>
        <v>0</v>
      </c>
    </row>
    <row r="71" spans="2:53" ht="15" customHeight="1">
      <c r="B71" s="146" t="s">
        <v>201</v>
      </c>
      <c r="C71" s="152" t="s">
        <v>114</v>
      </c>
      <c r="D71" s="159">
        <f>SUM(E71:BA71)</f>
        <v>-13978822</v>
      </c>
      <c r="E71" s="187">
        <v>-202535</v>
      </c>
      <c r="F71" s="187">
        <v>-28840</v>
      </c>
      <c r="G71" s="187">
        <v>-90015</v>
      </c>
      <c r="H71" s="187">
        <v>-9613</v>
      </c>
      <c r="I71" s="187">
        <v>-3277</v>
      </c>
      <c r="J71" s="187">
        <v>-45008</v>
      </c>
      <c r="K71" s="187">
        <v>-133570</v>
      </c>
      <c r="L71" s="187">
        <v>-25504</v>
      </c>
      <c r="M71" s="187">
        <v>-89047</v>
      </c>
      <c r="N71" s="187">
        <v>-70027</v>
      </c>
      <c r="O71" s="187">
        <v>-31772</v>
      </c>
      <c r="P71" s="187">
        <v>-3242</v>
      </c>
      <c r="Q71" s="187">
        <v>-6268</v>
      </c>
      <c r="R71" s="187">
        <v>-15994</v>
      </c>
      <c r="S71" s="187">
        <v>-97098</v>
      </c>
      <c r="T71" s="187">
        <v>-30016</v>
      </c>
      <c r="U71" s="187">
        <v>0</v>
      </c>
      <c r="V71" s="187">
        <v>0</v>
      </c>
      <c r="W71" s="187">
        <v>0</v>
      </c>
      <c r="X71" s="187">
        <v>-911376</v>
      </c>
      <c r="Y71" s="187">
        <v>-200940</v>
      </c>
      <c r="Z71" s="187">
        <v>-818879</v>
      </c>
      <c r="AA71" s="187">
        <v>-514530</v>
      </c>
      <c r="AB71" s="187">
        <v>-799434</v>
      </c>
      <c r="AC71" s="187">
        <v>-411624</v>
      </c>
      <c r="AD71" s="187">
        <v>-102906</v>
      </c>
      <c r="AE71" s="187">
        <v>-1468432</v>
      </c>
      <c r="AF71" s="187">
        <v>-19227</v>
      </c>
      <c r="AG71" s="187">
        <v>-572429</v>
      </c>
      <c r="AH71" s="187">
        <v>-130435</v>
      </c>
      <c r="AI71" s="187">
        <v>-637537</v>
      </c>
      <c r="AJ71" s="187">
        <v>-824330</v>
      </c>
      <c r="AK71" s="187">
        <v>-222184</v>
      </c>
      <c r="AL71" s="187">
        <v>-1352343</v>
      </c>
      <c r="AM71" s="187">
        <v>-750197</v>
      </c>
      <c r="AN71" s="187">
        <v>-315338</v>
      </c>
      <c r="AO71" s="187">
        <v>-124276</v>
      </c>
      <c r="AP71" s="187">
        <v>-449124</v>
      </c>
      <c r="AQ71" s="187">
        <v>-167287</v>
      </c>
      <c r="AR71" s="187">
        <v>-1827587</v>
      </c>
      <c r="AS71" s="187">
        <v>-364517</v>
      </c>
      <c r="AT71" s="187">
        <v>0</v>
      </c>
      <c r="AU71" s="187">
        <v>-11547</v>
      </c>
      <c r="AV71" s="187">
        <v>-218</v>
      </c>
      <c r="AW71" s="187">
        <v>-218</v>
      </c>
      <c r="AX71" s="187">
        <v>-21193</v>
      </c>
      <c r="AY71" s="187">
        <v>-35878</v>
      </c>
      <c r="AZ71" s="187">
        <v>-43010</v>
      </c>
      <c r="BA71" s="187">
        <v>0</v>
      </c>
    </row>
    <row r="72" spans="2:53" ht="15" customHeight="1">
      <c r="B72" s="146" t="s">
        <v>202</v>
      </c>
      <c r="C72" s="152" t="s">
        <v>115</v>
      </c>
      <c r="D72" s="159">
        <f>SUM(E72:BA72)</f>
        <v>50224288</v>
      </c>
      <c r="E72" s="187">
        <v>727593</v>
      </c>
      <c r="F72" s="187">
        <v>101438</v>
      </c>
      <c r="G72" s="187">
        <v>309841</v>
      </c>
      <c r="H72" s="187">
        <v>30427</v>
      </c>
      <c r="I72" s="187">
        <v>10905</v>
      </c>
      <c r="J72" s="187">
        <v>144949</v>
      </c>
      <c r="K72" s="187">
        <v>418286</v>
      </c>
      <c r="L72" s="187">
        <v>76195</v>
      </c>
      <c r="M72" s="187">
        <v>270666</v>
      </c>
      <c r="N72" s="187">
        <v>206972</v>
      </c>
      <c r="O72" s="187">
        <v>86788</v>
      </c>
      <c r="P72" s="187">
        <v>8921</v>
      </c>
      <c r="Q72" s="187">
        <v>19353</v>
      </c>
      <c r="R72" s="187">
        <v>45992</v>
      </c>
      <c r="S72" s="187">
        <v>245455</v>
      </c>
      <c r="T72" s="187">
        <v>74509</v>
      </c>
      <c r="U72" s="187">
        <v>0</v>
      </c>
      <c r="V72" s="187">
        <v>0</v>
      </c>
      <c r="W72" s="187">
        <v>0</v>
      </c>
      <c r="X72" s="187">
        <v>8160635</v>
      </c>
      <c r="Y72" s="187">
        <v>1756941</v>
      </c>
      <c r="Z72" s="187">
        <v>2949099</v>
      </c>
      <c r="AA72" s="187">
        <v>1842819</v>
      </c>
      <c r="AB72" s="187">
        <v>2818825</v>
      </c>
      <c r="AC72" s="187">
        <v>1382828</v>
      </c>
      <c r="AD72" s="187">
        <v>360809</v>
      </c>
      <c r="AE72" s="187">
        <v>5067072</v>
      </c>
      <c r="AF72" s="187">
        <v>61007</v>
      </c>
      <c r="AG72" s="187">
        <v>1909419</v>
      </c>
      <c r="AH72" s="187">
        <v>425256</v>
      </c>
      <c r="AI72" s="187">
        <v>2058323</v>
      </c>
      <c r="AJ72" s="187">
        <v>2587893</v>
      </c>
      <c r="AK72" s="187">
        <v>665453</v>
      </c>
      <c r="AL72" s="187">
        <v>4120820</v>
      </c>
      <c r="AM72" s="187">
        <v>2222813</v>
      </c>
      <c r="AN72" s="187">
        <v>863535</v>
      </c>
      <c r="AO72" s="187">
        <v>342815</v>
      </c>
      <c r="AP72" s="187">
        <v>1390166</v>
      </c>
      <c r="AQ72" s="187">
        <v>482252</v>
      </c>
      <c r="AR72" s="187">
        <v>4631477</v>
      </c>
      <c r="AS72" s="187">
        <v>907091</v>
      </c>
      <c r="AT72" s="187">
        <v>0</v>
      </c>
      <c r="AU72" s="187">
        <v>107532</v>
      </c>
      <c r="AV72" s="187">
        <v>818</v>
      </c>
      <c r="AW72" s="187">
        <v>801</v>
      </c>
      <c r="AX72" s="187">
        <v>76055</v>
      </c>
      <c r="AY72" s="187">
        <v>117141</v>
      </c>
      <c r="AZ72" s="187">
        <v>136303</v>
      </c>
      <c r="BA72" s="187">
        <v>0</v>
      </c>
    </row>
    <row r="73" spans="2:53" ht="15" customHeight="1">
      <c r="B73" s="146" t="s">
        <v>203</v>
      </c>
      <c r="C73" s="152" t="s">
        <v>4</v>
      </c>
      <c r="D73" s="176">
        <f>SUM(E73:BA73)</f>
        <v>70527</v>
      </c>
      <c r="E73" s="218">
        <v>927</v>
      </c>
      <c r="F73" s="218">
        <v>132</v>
      </c>
      <c r="G73" s="218">
        <v>412</v>
      </c>
      <c r="H73" s="218">
        <v>44</v>
      </c>
      <c r="I73" s="218">
        <v>15</v>
      </c>
      <c r="J73" s="218">
        <v>206</v>
      </c>
      <c r="K73" s="218">
        <v>618</v>
      </c>
      <c r="L73" s="218">
        <v>118</v>
      </c>
      <c r="M73" s="218">
        <v>412</v>
      </c>
      <c r="N73" s="218">
        <v>324</v>
      </c>
      <c r="O73" s="218">
        <v>147</v>
      </c>
      <c r="P73" s="218">
        <v>15</v>
      </c>
      <c r="Q73" s="218">
        <v>29</v>
      </c>
      <c r="R73" s="218">
        <v>74</v>
      </c>
      <c r="S73" s="218">
        <v>427</v>
      </c>
      <c r="T73" s="218">
        <v>132</v>
      </c>
      <c r="U73" s="218">
        <v>0</v>
      </c>
      <c r="V73" s="218">
        <v>0</v>
      </c>
      <c r="W73" s="218">
        <v>0</v>
      </c>
      <c r="X73" s="218">
        <v>9629</v>
      </c>
      <c r="Y73" s="218">
        <v>2123</v>
      </c>
      <c r="Z73" s="218">
        <v>3748</v>
      </c>
      <c r="AA73" s="218">
        <v>2355</v>
      </c>
      <c r="AB73" s="218">
        <v>3659</v>
      </c>
      <c r="AC73" s="218">
        <v>1884</v>
      </c>
      <c r="AD73" s="218">
        <v>471</v>
      </c>
      <c r="AE73" s="218">
        <v>6721</v>
      </c>
      <c r="AF73" s="218">
        <v>88</v>
      </c>
      <c r="AG73" s="218">
        <v>2620</v>
      </c>
      <c r="AH73" s="218">
        <v>597</v>
      </c>
      <c r="AI73" s="218">
        <v>2918</v>
      </c>
      <c r="AJ73" s="218">
        <v>3814</v>
      </c>
      <c r="AK73" s="218">
        <v>1028</v>
      </c>
      <c r="AL73" s="218">
        <v>6257</v>
      </c>
      <c r="AM73" s="218">
        <v>3471</v>
      </c>
      <c r="AN73" s="218">
        <v>1459</v>
      </c>
      <c r="AO73" s="218">
        <v>575</v>
      </c>
      <c r="AP73" s="218">
        <v>2078</v>
      </c>
      <c r="AQ73" s="218">
        <v>774</v>
      </c>
      <c r="AR73" s="218">
        <v>8037</v>
      </c>
      <c r="AS73" s="218">
        <v>1603</v>
      </c>
      <c r="AT73" s="218">
        <v>0</v>
      </c>
      <c r="AU73" s="218">
        <v>122</v>
      </c>
      <c r="AV73" s="218">
        <v>1</v>
      </c>
      <c r="AW73" s="218">
        <v>1</v>
      </c>
      <c r="AX73" s="218">
        <v>97</v>
      </c>
      <c r="AY73" s="218">
        <v>166</v>
      </c>
      <c r="AZ73" s="218">
        <v>199</v>
      </c>
      <c r="BA73" s="218">
        <v>0</v>
      </c>
    </row>
    <row r="74" spans="2:53" ht="15" customHeight="1">
      <c r="B74" s="148" t="s">
        <v>204</v>
      </c>
      <c r="C74" s="170" t="s">
        <v>118</v>
      </c>
      <c r="D74" s="89">
        <f t="shared" ref="D74:AI74" si="30">D70/(D71+D72)</f>
        <v>0.76253812365215035</v>
      </c>
      <c r="E74" s="89">
        <f t="shared" si="30"/>
        <v>0.77643787915633578</v>
      </c>
      <c r="F74" s="89">
        <f t="shared" si="30"/>
        <v>0.79514043347728602</v>
      </c>
      <c r="G74" s="89">
        <f t="shared" si="30"/>
        <v>0.79165104739057546</v>
      </c>
      <c r="H74" s="89">
        <f t="shared" si="30"/>
        <v>0.79841903989833507</v>
      </c>
      <c r="I74" s="89">
        <f t="shared" si="30"/>
        <v>0.79039473204784461</v>
      </c>
      <c r="J74" s="89">
        <f t="shared" si="30"/>
        <v>0.78924946477925884</v>
      </c>
      <c r="K74" s="89">
        <f t="shared" si="30"/>
        <v>0.80932587372992282</v>
      </c>
      <c r="L74" s="89">
        <f t="shared" si="30"/>
        <v>0.83318394313849264</v>
      </c>
      <c r="M74" s="89">
        <f t="shared" si="30"/>
        <v>0.80743634884072968</v>
      </c>
      <c r="N74" s="89">
        <f t="shared" si="30"/>
        <v>0.80510298747196962</v>
      </c>
      <c r="O74" s="89">
        <f t="shared" si="30"/>
        <v>0.83967544378236825</v>
      </c>
      <c r="P74" s="89">
        <f t="shared" si="30"/>
        <v>0.8215531459210238</v>
      </c>
      <c r="Q74" s="89">
        <f t="shared" si="30"/>
        <v>0.78859956257731334</v>
      </c>
      <c r="R74" s="89">
        <f t="shared" si="30"/>
        <v>0.79624255700132007</v>
      </c>
      <c r="S74" s="89">
        <f t="shared" si="30"/>
        <v>0.84817754696162584</v>
      </c>
      <c r="T74" s="89">
        <f t="shared" si="30"/>
        <v>0.87497061963870992</v>
      </c>
      <c r="U74" s="89" t="e">
        <f t="shared" si="30"/>
        <v>#DIV/0!</v>
      </c>
      <c r="V74" s="89" t="e">
        <f t="shared" si="30"/>
        <v>#DIV/0!</v>
      </c>
      <c r="W74" s="89" t="e">
        <f t="shared" si="30"/>
        <v>#DIV/0!</v>
      </c>
      <c r="X74" s="89">
        <f t="shared" si="30"/>
        <v>0.63803939887097483</v>
      </c>
      <c r="Y74" s="89">
        <f t="shared" si="30"/>
        <v>0.65464005172006101</v>
      </c>
      <c r="Z74" s="89">
        <f t="shared" si="30"/>
        <v>0.77569835850929181</v>
      </c>
      <c r="AA74" s="89">
        <f t="shared" si="30"/>
        <v>0.77127406465819615</v>
      </c>
      <c r="AB74" s="89">
        <f t="shared" si="30"/>
        <v>0.79437041160047794</v>
      </c>
      <c r="AC74" s="89">
        <f t="shared" si="30"/>
        <v>0.79099009414319599</v>
      </c>
      <c r="AD74" s="89">
        <f t="shared" si="30"/>
        <v>0.78965467333629014</v>
      </c>
      <c r="AE74" s="89">
        <f t="shared" si="30"/>
        <v>0.79085237752528847</v>
      </c>
      <c r="AF74" s="89">
        <f t="shared" si="30"/>
        <v>0.79747241162249305</v>
      </c>
      <c r="AG74" s="89">
        <f t="shared" si="30"/>
        <v>0.78963804780710967</v>
      </c>
      <c r="AH74" s="89">
        <f t="shared" si="30"/>
        <v>0.79050830737853972</v>
      </c>
      <c r="AI74" s="89">
        <f t="shared" si="30"/>
        <v>0.78837332282967754</v>
      </c>
      <c r="AJ74" s="89">
        <f t="shared" ref="AJ74:BA74" si="31">AJ70/(AJ71+AJ72)</f>
        <v>0.80838970275024791</v>
      </c>
      <c r="AK74" s="89">
        <f t="shared" si="31"/>
        <v>0.83215380484467039</v>
      </c>
      <c r="AL74" s="89">
        <f t="shared" si="31"/>
        <v>0.80645675188477106</v>
      </c>
      <c r="AM74" s="89">
        <f t="shared" si="31"/>
        <v>0.80408502491346101</v>
      </c>
      <c r="AN74" s="89">
        <f t="shared" si="31"/>
        <v>0.83847052053752757</v>
      </c>
      <c r="AO74" s="89">
        <f t="shared" si="31"/>
        <v>0.8204481763388225</v>
      </c>
      <c r="AP74" s="89">
        <f t="shared" si="31"/>
        <v>0.78765415820903728</v>
      </c>
      <c r="AQ74" s="89">
        <f t="shared" si="31"/>
        <v>0.79518562933925863</v>
      </c>
      <c r="AR74" s="89">
        <f t="shared" si="31"/>
        <v>0.84680741770239132</v>
      </c>
      <c r="AS74" s="89">
        <f t="shared" si="31"/>
        <v>0.8735105599867492</v>
      </c>
      <c r="AT74" s="89" t="e">
        <f t="shared" si="31"/>
        <v>#DIV/0!</v>
      </c>
      <c r="AU74" s="89">
        <f t="shared" si="31"/>
        <v>0.63497240386296061</v>
      </c>
      <c r="AV74" s="89">
        <f t="shared" si="31"/>
        <v>0.76495923519453157</v>
      </c>
      <c r="AW74" s="89">
        <f t="shared" si="31"/>
        <v>0.78195948053266306</v>
      </c>
      <c r="AX74" s="89">
        <f t="shared" si="31"/>
        <v>0.7786453942084427</v>
      </c>
      <c r="AY74" s="89">
        <f t="shared" si="31"/>
        <v>0.7941230750103212</v>
      </c>
      <c r="AZ74" s="89">
        <f t="shared" si="31"/>
        <v>0.79158471057442215</v>
      </c>
      <c r="BA74" s="89" t="e">
        <f t="shared" si="31"/>
        <v>#DIV/0!</v>
      </c>
    </row>
    <row r="75" spans="2:53" ht="15" customHeight="1">
      <c r="C75" s="78" t="s">
        <v>120</v>
      </c>
    </row>
    <row r="76" spans="2:53" ht="15" customHeight="1">
      <c r="B76" s="146" t="s">
        <v>205</v>
      </c>
      <c r="C76" s="152" t="s">
        <v>86</v>
      </c>
      <c r="D76" s="107">
        <f t="shared" ref="D76:AI76" si="32">D66/D73</f>
        <v>475.08709621191616</v>
      </c>
      <c r="E76" s="107">
        <f t="shared" si="32"/>
        <v>484.33756197849766</v>
      </c>
      <c r="F76" s="107">
        <f t="shared" si="32"/>
        <v>491.92125143624253</v>
      </c>
      <c r="G76" s="107">
        <f t="shared" si="32"/>
        <v>485.50845423223456</v>
      </c>
      <c r="H76" s="107">
        <f t="shared" si="32"/>
        <v>472.09758855554423</v>
      </c>
      <c r="I76" s="107">
        <f t="shared" si="32"/>
        <v>477.94206773739722</v>
      </c>
      <c r="J76" s="107">
        <f t="shared" si="32"/>
        <v>470.39990659953355</v>
      </c>
      <c r="K76" s="107">
        <f t="shared" si="32"/>
        <v>476.19583408558043</v>
      </c>
      <c r="L76" s="107">
        <f t="shared" si="32"/>
        <v>479.1519259460452</v>
      </c>
      <c r="M76" s="107">
        <f t="shared" si="32"/>
        <v>468.33685009734097</v>
      </c>
      <c r="N76" s="107">
        <f t="shared" si="32"/>
        <v>460.47786610910146</v>
      </c>
      <c r="O76" s="107">
        <f t="shared" si="32"/>
        <v>460.11281779000524</v>
      </c>
      <c r="P76" s="107">
        <f t="shared" si="32"/>
        <v>452.10668771236629</v>
      </c>
      <c r="Q76" s="107">
        <f t="shared" si="32"/>
        <v>460.8905267697981</v>
      </c>
      <c r="R76" s="107">
        <f t="shared" si="32"/>
        <v>448.92816520169731</v>
      </c>
      <c r="S76" s="107">
        <f t="shared" si="32"/>
        <v>443.14537783275392</v>
      </c>
      <c r="T76" s="107">
        <f t="shared" si="32"/>
        <v>451.64445287564484</v>
      </c>
      <c r="U76" s="107" t="e">
        <f t="shared" si="32"/>
        <v>#DIV/0!</v>
      </c>
      <c r="V76" s="107" t="e">
        <f t="shared" si="32"/>
        <v>#DIV/0!</v>
      </c>
      <c r="W76" s="107" t="e">
        <f t="shared" si="32"/>
        <v>#DIV/0!</v>
      </c>
      <c r="X76" s="107">
        <f t="shared" si="32"/>
        <v>491.15784137709045</v>
      </c>
      <c r="Y76" s="107">
        <f t="shared" si="32"/>
        <v>502.41101041755383</v>
      </c>
      <c r="Z76" s="107">
        <f t="shared" si="32"/>
        <v>485.54780076405115</v>
      </c>
      <c r="AA76" s="107">
        <f t="shared" si="32"/>
        <v>481.75110661179218</v>
      </c>
      <c r="AB76" s="107">
        <f t="shared" si="32"/>
        <v>493.15043997056597</v>
      </c>
      <c r="AC76" s="107">
        <f t="shared" si="32"/>
        <v>481.41228417847589</v>
      </c>
      <c r="AD76" s="107">
        <f t="shared" si="32"/>
        <v>489.12592190541244</v>
      </c>
      <c r="AE76" s="107">
        <f t="shared" si="32"/>
        <v>486.72161878553845</v>
      </c>
      <c r="AF76" s="107">
        <f t="shared" si="32"/>
        <v>473.27724269986089</v>
      </c>
      <c r="AG76" s="107">
        <f t="shared" si="32"/>
        <v>479.13632577772046</v>
      </c>
      <c r="AH76" s="107">
        <f t="shared" si="32"/>
        <v>474.91867619706608</v>
      </c>
      <c r="AI76" s="107">
        <f t="shared" si="32"/>
        <v>471.5753186600021</v>
      </c>
      <c r="AJ76" s="107">
        <f t="shared" ref="AJ76:BA76" si="33">AJ66/AJ73</f>
        <v>477.38572872347544</v>
      </c>
      <c r="AK76" s="107">
        <f t="shared" si="33"/>
        <v>480.34920712032317</v>
      </c>
      <c r="AL76" s="107">
        <f t="shared" si="33"/>
        <v>469.50710709408588</v>
      </c>
      <c r="AM76" s="107">
        <f t="shared" si="33"/>
        <v>461.62848546469644</v>
      </c>
      <c r="AN76" s="107">
        <f t="shared" si="33"/>
        <v>461.26252498088485</v>
      </c>
      <c r="AO76" s="107">
        <f t="shared" si="33"/>
        <v>453.23638958071291</v>
      </c>
      <c r="AP76" s="107">
        <f t="shared" si="33"/>
        <v>462.04217726147681</v>
      </c>
      <c r="AQ76" s="107">
        <f t="shared" si="33"/>
        <v>450.0499247349349</v>
      </c>
      <c r="AR76" s="107">
        <f t="shared" si="33"/>
        <v>444.25268762244099</v>
      </c>
      <c r="AS76" s="107">
        <f t="shared" si="33"/>
        <v>452.77299973440455</v>
      </c>
      <c r="AT76" s="107" t="e">
        <f t="shared" si="33"/>
        <v>#DIV/0!</v>
      </c>
      <c r="AU76" s="107">
        <f t="shared" si="33"/>
        <v>510.81005069496945</v>
      </c>
      <c r="AV76" s="107">
        <f t="shared" si="33"/>
        <v>504.97554111671894</v>
      </c>
      <c r="AW76" s="107">
        <f t="shared" si="33"/>
        <v>512.88237715054254</v>
      </c>
      <c r="AX76" s="107">
        <f t="shared" si="33"/>
        <v>506.19632594910905</v>
      </c>
      <c r="AY76" s="107">
        <f t="shared" si="33"/>
        <v>496.48688822026344</v>
      </c>
      <c r="AZ76" s="107">
        <f t="shared" si="33"/>
        <v>488.29302715386717</v>
      </c>
      <c r="BA76" s="107" t="e">
        <f t="shared" si="33"/>
        <v>#DIV/0!</v>
      </c>
    </row>
    <row r="77" spans="2:53" ht="15" customHeight="1">
      <c r="B77" s="146" t="s">
        <v>206</v>
      </c>
      <c r="C77" s="152" t="s">
        <v>87</v>
      </c>
      <c r="D77" s="86">
        <f t="shared" ref="D77:AI77" si="34">D67/D73</f>
        <v>0</v>
      </c>
      <c r="E77" s="86">
        <f t="shared" si="34"/>
        <v>0</v>
      </c>
      <c r="F77" s="86">
        <f t="shared" si="34"/>
        <v>0</v>
      </c>
      <c r="G77" s="86">
        <f t="shared" si="34"/>
        <v>0</v>
      </c>
      <c r="H77" s="86">
        <f t="shared" si="34"/>
        <v>0</v>
      </c>
      <c r="I77" s="86">
        <f t="shared" si="34"/>
        <v>0</v>
      </c>
      <c r="J77" s="86">
        <f t="shared" si="34"/>
        <v>0</v>
      </c>
      <c r="K77" s="86">
        <f t="shared" si="34"/>
        <v>0</v>
      </c>
      <c r="L77" s="86">
        <f t="shared" si="34"/>
        <v>0</v>
      </c>
      <c r="M77" s="86">
        <f t="shared" si="34"/>
        <v>0</v>
      </c>
      <c r="N77" s="86">
        <f t="shared" si="34"/>
        <v>0</v>
      </c>
      <c r="O77" s="86">
        <f t="shared" si="34"/>
        <v>0</v>
      </c>
      <c r="P77" s="86">
        <f t="shared" si="34"/>
        <v>0</v>
      </c>
      <c r="Q77" s="86">
        <f t="shared" si="34"/>
        <v>0</v>
      </c>
      <c r="R77" s="86">
        <f t="shared" si="34"/>
        <v>0</v>
      </c>
      <c r="S77" s="86">
        <f t="shared" si="34"/>
        <v>0</v>
      </c>
      <c r="T77" s="86">
        <f t="shared" si="34"/>
        <v>0</v>
      </c>
      <c r="U77" s="86" t="e">
        <f t="shared" si="34"/>
        <v>#DIV/0!</v>
      </c>
      <c r="V77" s="86" t="e">
        <f t="shared" si="34"/>
        <v>#DIV/0!</v>
      </c>
      <c r="W77" s="86" t="e">
        <f t="shared" si="34"/>
        <v>#DIV/0!</v>
      </c>
      <c r="X77" s="86">
        <f t="shared" si="34"/>
        <v>0</v>
      </c>
      <c r="Y77" s="86">
        <f t="shared" si="34"/>
        <v>0</v>
      </c>
      <c r="Z77" s="86">
        <f t="shared" si="34"/>
        <v>0</v>
      </c>
      <c r="AA77" s="86">
        <f t="shared" si="34"/>
        <v>0</v>
      </c>
      <c r="AB77" s="86">
        <f t="shared" si="34"/>
        <v>0</v>
      </c>
      <c r="AC77" s="86">
        <f t="shared" si="34"/>
        <v>0</v>
      </c>
      <c r="AD77" s="86">
        <f t="shared" si="34"/>
        <v>0</v>
      </c>
      <c r="AE77" s="86">
        <f t="shared" si="34"/>
        <v>0</v>
      </c>
      <c r="AF77" s="86">
        <f t="shared" si="34"/>
        <v>0</v>
      </c>
      <c r="AG77" s="86">
        <f t="shared" si="34"/>
        <v>0</v>
      </c>
      <c r="AH77" s="86">
        <f t="shared" si="34"/>
        <v>0</v>
      </c>
      <c r="AI77" s="86">
        <f t="shared" si="34"/>
        <v>0</v>
      </c>
      <c r="AJ77" s="86">
        <f t="shared" ref="AJ77:BA77" si="35">AJ67/AJ73</f>
        <v>0</v>
      </c>
      <c r="AK77" s="86">
        <f t="shared" si="35"/>
        <v>0</v>
      </c>
      <c r="AL77" s="86">
        <f t="shared" si="35"/>
        <v>0</v>
      </c>
      <c r="AM77" s="86">
        <f t="shared" si="35"/>
        <v>0</v>
      </c>
      <c r="AN77" s="86">
        <f t="shared" si="35"/>
        <v>0</v>
      </c>
      <c r="AO77" s="86">
        <f t="shared" si="35"/>
        <v>0</v>
      </c>
      <c r="AP77" s="86">
        <f t="shared" si="35"/>
        <v>0</v>
      </c>
      <c r="AQ77" s="86">
        <f t="shared" si="35"/>
        <v>0</v>
      </c>
      <c r="AR77" s="86">
        <f t="shared" si="35"/>
        <v>0</v>
      </c>
      <c r="AS77" s="86">
        <f t="shared" si="35"/>
        <v>0</v>
      </c>
      <c r="AT77" s="86" t="e">
        <f t="shared" si="35"/>
        <v>#DIV/0!</v>
      </c>
      <c r="AU77" s="86">
        <f t="shared" si="35"/>
        <v>0</v>
      </c>
      <c r="AV77" s="86">
        <f t="shared" si="35"/>
        <v>0</v>
      </c>
      <c r="AW77" s="86">
        <f t="shared" si="35"/>
        <v>0</v>
      </c>
      <c r="AX77" s="86">
        <f t="shared" si="35"/>
        <v>0</v>
      </c>
      <c r="AY77" s="86">
        <f t="shared" si="35"/>
        <v>0</v>
      </c>
      <c r="AZ77" s="86">
        <f t="shared" si="35"/>
        <v>0</v>
      </c>
      <c r="BA77" s="86" t="e">
        <f t="shared" si="35"/>
        <v>#DIV/0!</v>
      </c>
    </row>
    <row r="78" spans="2:53" ht="15" customHeight="1">
      <c r="B78" s="146" t="s">
        <v>207</v>
      </c>
      <c r="C78" s="152" t="s">
        <v>111</v>
      </c>
      <c r="D78" s="107">
        <f t="shared" ref="D78:AI78" si="36">D68/D73</f>
        <v>83.2010152140315</v>
      </c>
      <c r="E78" s="107">
        <f t="shared" si="36"/>
        <v>44.558791801510246</v>
      </c>
      <c r="F78" s="107">
        <f t="shared" si="36"/>
        <v>54.606060606060609</v>
      </c>
      <c r="G78" s="107">
        <f t="shared" si="36"/>
        <v>63.116504854368934</v>
      </c>
      <c r="H78" s="107">
        <f t="shared" si="36"/>
        <v>94.409090909090907</v>
      </c>
      <c r="I78" s="107">
        <f t="shared" si="36"/>
        <v>76</v>
      </c>
      <c r="J78" s="107">
        <f t="shared" si="36"/>
        <v>87.495145631067956</v>
      </c>
      <c r="K78" s="107">
        <f t="shared" si="36"/>
        <v>103.33495145631068</v>
      </c>
      <c r="L78" s="107">
        <f t="shared" si="36"/>
        <v>121.22881355932203</v>
      </c>
      <c r="M78" s="107">
        <f t="shared" si="36"/>
        <v>112.40048543689321</v>
      </c>
      <c r="N78" s="107">
        <f t="shared" si="36"/>
        <v>120.18518518518519</v>
      </c>
      <c r="O78" s="107">
        <f t="shared" si="36"/>
        <v>145.85714285714286</v>
      </c>
      <c r="P78" s="107">
        <f t="shared" si="36"/>
        <v>141.06666666666666</v>
      </c>
      <c r="Q78" s="107">
        <f t="shared" si="36"/>
        <v>105.06896551724138</v>
      </c>
      <c r="R78" s="107">
        <f t="shared" si="36"/>
        <v>126.14864864864865</v>
      </c>
      <c r="S78" s="107">
        <f t="shared" si="36"/>
        <v>148.45433255269322</v>
      </c>
      <c r="T78" s="107">
        <f t="shared" si="36"/>
        <v>156.71969696969697</v>
      </c>
      <c r="U78" s="107" t="e">
        <f t="shared" si="36"/>
        <v>#DIV/0!</v>
      </c>
      <c r="V78" s="107" t="e">
        <f t="shared" si="36"/>
        <v>#DIV/0!</v>
      </c>
      <c r="W78" s="107" t="e">
        <f t="shared" si="36"/>
        <v>#DIV/0!</v>
      </c>
      <c r="X78" s="107">
        <f t="shared" si="36"/>
        <v>10.805483435455395</v>
      </c>
      <c r="Y78" s="107">
        <f t="shared" si="36"/>
        <v>22.608572774375883</v>
      </c>
      <c r="Z78" s="107">
        <f t="shared" si="36"/>
        <v>44.670490928495198</v>
      </c>
      <c r="AA78" s="107">
        <f t="shared" si="36"/>
        <v>46.729936305732487</v>
      </c>
      <c r="AB78" s="107">
        <f t="shared" si="36"/>
        <v>54.739819622847776</v>
      </c>
      <c r="AC78" s="107">
        <f t="shared" si="36"/>
        <v>73.656050955414017</v>
      </c>
      <c r="AD78" s="107">
        <f t="shared" si="36"/>
        <v>56.738853503184714</v>
      </c>
      <c r="AE78" s="107">
        <f t="shared" si="36"/>
        <v>63.273768784407082</v>
      </c>
      <c r="AF78" s="107">
        <f t="shared" si="36"/>
        <v>94.659090909090907</v>
      </c>
      <c r="AG78" s="107">
        <f t="shared" si="36"/>
        <v>76.182824427480909</v>
      </c>
      <c r="AH78" s="107">
        <f t="shared" si="36"/>
        <v>84.536013400335008</v>
      </c>
      <c r="AI78" s="107">
        <f t="shared" si="36"/>
        <v>87.713159698423581</v>
      </c>
      <c r="AJ78" s="107">
        <f t="shared" ref="AJ78:BA78" si="37">AJ68/AJ73</f>
        <v>103.59281594126901</v>
      </c>
      <c r="AK78" s="107">
        <f t="shared" si="37"/>
        <v>121.52821011673151</v>
      </c>
      <c r="AL78" s="107">
        <f t="shared" si="37"/>
        <v>112.6816365670449</v>
      </c>
      <c r="AM78" s="107">
        <f t="shared" si="37"/>
        <v>120.4851627772976</v>
      </c>
      <c r="AN78" s="107">
        <f t="shared" si="37"/>
        <v>146.2200137080192</v>
      </c>
      <c r="AO78" s="107">
        <f t="shared" si="37"/>
        <v>141.41043478260869</v>
      </c>
      <c r="AP78" s="107">
        <f t="shared" si="37"/>
        <v>105.34552454282965</v>
      </c>
      <c r="AQ78" s="107">
        <f t="shared" si="37"/>
        <v>126.46382428940568</v>
      </c>
      <c r="AR78" s="107">
        <f t="shared" si="37"/>
        <v>148.82468582804529</v>
      </c>
      <c r="AS78" s="107">
        <f t="shared" si="37"/>
        <v>157.11228945726762</v>
      </c>
      <c r="AT78" s="107" t="e">
        <f t="shared" si="37"/>
        <v>#DIV/0!</v>
      </c>
      <c r="AU78" s="107">
        <f t="shared" si="37"/>
        <v>11.237704918032787</v>
      </c>
      <c r="AV78" s="107">
        <f t="shared" si="37"/>
        <v>46</v>
      </c>
      <c r="AW78" s="107">
        <f t="shared" si="37"/>
        <v>57</v>
      </c>
      <c r="AX78" s="107">
        <f t="shared" si="37"/>
        <v>65.80412371134021</v>
      </c>
      <c r="AY78" s="107">
        <f t="shared" si="37"/>
        <v>107.73493975903614</v>
      </c>
      <c r="AZ78" s="107">
        <f t="shared" si="37"/>
        <v>117.19095477386935</v>
      </c>
      <c r="BA78" s="107" t="e">
        <f t="shared" si="37"/>
        <v>#DIV/0!</v>
      </c>
    </row>
    <row r="79" spans="2:53" ht="15" customHeight="1">
      <c r="B79" s="146" t="s">
        <v>208</v>
      </c>
      <c r="C79" s="152" t="s">
        <v>112</v>
      </c>
      <c r="D79" s="107">
        <f t="shared" ref="D79:AI79" si="38">D69/D73</f>
        <v>0</v>
      </c>
      <c r="E79" s="107">
        <f t="shared" si="38"/>
        <v>0</v>
      </c>
      <c r="F79" s="107">
        <f t="shared" si="38"/>
        <v>0</v>
      </c>
      <c r="G79" s="107">
        <f t="shared" si="38"/>
        <v>0</v>
      </c>
      <c r="H79" s="107">
        <f t="shared" si="38"/>
        <v>0</v>
      </c>
      <c r="I79" s="107">
        <f t="shared" si="38"/>
        <v>0</v>
      </c>
      <c r="J79" s="107">
        <f t="shared" si="38"/>
        <v>0</v>
      </c>
      <c r="K79" s="107">
        <f t="shared" si="38"/>
        <v>0</v>
      </c>
      <c r="L79" s="107">
        <f t="shared" si="38"/>
        <v>0</v>
      </c>
      <c r="M79" s="107">
        <f t="shared" si="38"/>
        <v>0</v>
      </c>
      <c r="N79" s="107">
        <f t="shared" si="38"/>
        <v>0</v>
      </c>
      <c r="O79" s="107">
        <f t="shared" si="38"/>
        <v>0</v>
      </c>
      <c r="P79" s="107">
        <f t="shared" si="38"/>
        <v>0</v>
      </c>
      <c r="Q79" s="107">
        <f t="shared" si="38"/>
        <v>0</v>
      </c>
      <c r="R79" s="107">
        <f t="shared" si="38"/>
        <v>0</v>
      </c>
      <c r="S79" s="107">
        <f t="shared" si="38"/>
        <v>0</v>
      </c>
      <c r="T79" s="107">
        <f t="shared" si="38"/>
        <v>0</v>
      </c>
      <c r="U79" s="107" t="e">
        <f t="shared" si="38"/>
        <v>#DIV/0!</v>
      </c>
      <c r="V79" s="107" t="e">
        <f t="shared" si="38"/>
        <v>#DIV/0!</v>
      </c>
      <c r="W79" s="107" t="e">
        <f t="shared" si="38"/>
        <v>#DIV/0!</v>
      </c>
      <c r="X79" s="107">
        <f t="shared" si="38"/>
        <v>0</v>
      </c>
      <c r="Y79" s="107">
        <f t="shared" si="38"/>
        <v>0</v>
      </c>
      <c r="Z79" s="107">
        <f t="shared" si="38"/>
        <v>0</v>
      </c>
      <c r="AA79" s="107">
        <f t="shared" si="38"/>
        <v>0</v>
      </c>
      <c r="AB79" s="107">
        <f t="shared" si="38"/>
        <v>0</v>
      </c>
      <c r="AC79" s="107">
        <f t="shared" si="38"/>
        <v>0</v>
      </c>
      <c r="AD79" s="107">
        <f t="shared" si="38"/>
        <v>0</v>
      </c>
      <c r="AE79" s="107">
        <f t="shared" si="38"/>
        <v>0</v>
      </c>
      <c r="AF79" s="107">
        <f t="shared" si="38"/>
        <v>0</v>
      </c>
      <c r="AG79" s="107">
        <f t="shared" si="38"/>
        <v>0</v>
      </c>
      <c r="AH79" s="107">
        <f t="shared" si="38"/>
        <v>0</v>
      </c>
      <c r="AI79" s="107">
        <f t="shared" si="38"/>
        <v>0</v>
      </c>
      <c r="AJ79" s="107">
        <f t="shared" ref="AJ79:BA79" si="39">AJ69/AJ73</f>
        <v>0</v>
      </c>
      <c r="AK79" s="107">
        <f t="shared" si="39"/>
        <v>0</v>
      </c>
      <c r="AL79" s="107">
        <f t="shared" si="39"/>
        <v>0</v>
      </c>
      <c r="AM79" s="107">
        <f t="shared" si="39"/>
        <v>0</v>
      </c>
      <c r="AN79" s="107">
        <f t="shared" si="39"/>
        <v>0</v>
      </c>
      <c r="AO79" s="107">
        <f t="shared" si="39"/>
        <v>0</v>
      </c>
      <c r="AP79" s="107">
        <f t="shared" si="39"/>
        <v>0</v>
      </c>
      <c r="AQ79" s="107">
        <f t="shared" si="39"/>
        <v>0</v>
      </c>
      <c r="AR79" s="107">
        <f t="shared" si="39"/>
        <v>0</v>
      </c>
      <c r="AS79" s="107">
        <f t="shared" si="39"/>
        <v>0</v>
      </c>
      <c r="AT79" s="107" t="e">
        <f t="shared" si="39"/>
        <v>#DIV/0!</v>
      </c>
      <c r="AU79" s="107">
        <f t="shared" si="39"/>
        <v>0</v>
      </c>
      <c r="AV79" s="107">
        <f t="shared" si="39"/>
        <v>0</v>
      </c>
      <c r="AW79" s="107">
        <f t="shared" si="39"/>
        <v>0</v>
      </c>
      <c r="AX79" s="107">
        <f t="shared" si="39"/>
        <v>0</v>
      </c>
      <c r="AY79" s="107">
        <f t="shared" si="39"/>
        <v>0</v>
      </c>
      <c r="AZ79" s="107">
        <f t="shared" si="39"/>
        <v>0</v>
      </c>
      <c r="BA79" s="107" t="e">
        <f t="shared" si="39"/>
        <v>#DIV/0!</v>
      </c>
    </row>
    <row r="80" spans="2:53" ht="15" customHeight="1">
      <c r="B80" s="146" t="s">
        <v>209</v>
      </c>
      <c r="C80" s="152" t="s">
        <v>113</v>
      </c>
      <c r="D80" s="107">
        <f t="shared" ref="D80:AI80" si="40">D70/D73</f>
        <v>391.88608099788468</v>
      </c>
      <c r="E80" s="107">
        <f t="shared" si="40"/>
        <v>439.77877017698739</v>
      </c>
      <c r="F80" s="107">
        <f t="shared" si="40"/>
        <v>437.3151908301819</v>
      </c>
      <c r="G80" s="107">
        <f t="shared" si="40"/>
        <v>422.39194937786561</v>
      </c>
      <c r="H80" s="107">
        <f t="shared" si="40"/>
        <v>377.6884976464533</v>
      </c>
      <c r="I80" s="107">
        <f t="shared" si="40"/>
        <v>401.94206773739722</v>
      </c>
      <c r="J80" s="107">
        <f t="shared" si="40"/>
        <v>382.90476096846561</v>
      </c>
      <c r="K80" s="107">
        <f t="shared" si="40"/>
        <v>372.86088262926978</v>
      </c>
      <c r="L80" s="107">
        <f t="shared" si="40"/>
        <v>357.92311238672318</v>
      </c>
      <c r="M80" s="107">
        <f t="shared" si="40"/>
        <v>355.93636466044779</v>
      </c>
      <c r="N80" s="107">
        <f t="shared" si="40"/>
        <v>340.29268092391629</v>
      </c>
      <c r="O80" s="107">
        <f t="shared" si="40"/>
        <v>314.25567493286241</v>
      </c>
      <c r="P80" s="107">
        <f t="shared" si="40"/>
        <v>311.04002104569958</v>
      </c>
      <c r="Q80" s="107">
        <f t="shared" si="40"/>
        <v>355.82156125255676</v>
      </c>
      <c r="R80" s="107">
        <f t="shared" si="40"/>
        <v>322.77951655304867</v>
      </c>
      <c r="S80" s="107">
        <f t="shared" si="40"/>
        <v>294.69104528006073</v>
      </c>
      <c r="T80" s="107">
        <f t="shared" si="40"/>
        <v>294.9247559059479</v>
      </c>
      <c r="U80" s="107" t="e">
        <f t="shared" si="40"/>
        <v>#DIV/0!</v>
      </c>
      <c r="V80" s="107" t="e">
        <f t="shared" si="40"/>
        <v>#DIV/0!</v>
      </c>
      <c r="W80" s="107" t="e">
        <f t="shared" si="40"/>
        <v>#DIV/0!</v>
      </c>
      <c r="X80" s="107">
        <f t="shared" si="40"/>
        <v>480.35235794163509</v>
      </c>
      <c r="Y80" s="107">
        <f t="shared" si="40"/>
        <v>479.80243764317794</v>
      </c>
      <c r="Z80" s="107">
        <f t="shared" si="40"/>
        <v>440.87730983555593</v>
      </c>
      <c r="AA80" s="107">
        <f t="shared" si="40"/>
        <v>435.02117030605973</v>
      </c>
      <c r="AB80" s="107">
        <f t="shared" si="40"/>
        <v>438.41062034771818</v>
      </c>
      <c r="AC80" s="107">
        <f t="shared" si="40"/>
        <v>407.75623322306183</v>
      </c>
      <c r="AD80" s="107">
        <f t="shared" si="40"/>
        <v>432.38706840222773</v>
      </c>
      <c r="AE80" s="107">
        <f t="shared" si="40"/>
        <v>423.44785000113137</v>
      </c>
      <c r="AF80" s="107">
        <f t="shared" si="40"/>
        <v>378.61815179077001</v>
      </c>
      <c r="AG80" s="107">
        <f t="shared" si="40"/>
        <v>402.95350135023955</v>
      </c>
      <c r="AH80" s="107">
        <f t="shared" si="40"/>
        <v>390.3826627967311</v>
      </c>
      <c r="AI80" s="107">
        <f t="shared" si="40"/>
        <v>383.86215896157853</v>
      </c>
      <c r="AJ80" s="107">
        <f t="shared" ref="AJ80:BA80" si="41">AJ70/AJ73</f>
        <v>373.79291278220643</v>
      </c>
      <c r="AK80" s="107">
        <f t="shared" si="41"/>
        <v>358.82099700359163</v>
      </c>
      <c r="AL80" s="107">
        <f t="shared" si="41"/>
        <v>356.82547052704098</v>
      </c>
      <c r="AM80" s="107">
        <f t="shared" si="41"/>
        <v>341.14332268739878</v>
      </c>
      <c r="AN80" s="107">
        <f t="shared" si="41"/>
        <v>315.04251127286562</v>
      </c>
      <c r="AO80" s="107">
        <f t="shared" si="41"/>
        <v>311.82595479810425</v>
      </c>
      <c r="AP80" s="107">
        <f t="shared" si="41"/>
        <v>356.69665271864716</v>
      </c>
      <c r="AQ80" s="107">
        <f t="shared" si="41"/>
        <v>323.58610044552921</v>
      </c>
      <c r="AR80" s="107">
        <f t="shared" si="41"/>
        <v>295.4280017943957</v>
      </c>
      <c r="AS80" s="107">
        <f t="shared" si="41"/>
        <v>295.6607102771369</v>
      </c>
      <c r="AT80" s="107" t="e">
        <f t="shared" si="41"/>
        <v>#DIV/0!</v>
      </c>
      <c r="AU80" s="107">
        <f t="shared" si="41"/>
        <v>499.57234577693669</v>
      </c>
      <c r="AV80" s="107">
        <f t="shared" si="41"/>
        <v>458.97554111671894</v>
      </c>
      <c r="AW80" s="107">
        <f t="shared" si="41"/>
        <v>455.88237715054254</v>
      </c>
      <c r="AX80" s="107">
        <f t="shared" si="41"/>
        <v>440.39220223776886</v>
      </c>
      <c r="AY80" s="107">
        <f t="shared" si="41"/>
        <v>388.7519484612273</v>
      </c>
      <c r="AZ80" s="107">
        <f t="shared" si="41"/>
        <v>371.10207237999782</v>
      </c>
      <c r="BA80" s="107" t="e">
        <f t="shared" si="41"/>
        <v>#DIV/0!</v>
      </c>
    </row>
    <row r="81" spans="2:53" ht="15" customHeight="1">
      <c r="B81" s="146" t="s">
        <v>210</v>
      </c>
      <c r="C81" s="152" t="s">
        <v>114</v>
      </c>
      <c r="D81" s="107">
        <f t="shared" ref="D81:AI81" si="42">D71/D73</f>
        <v>-198.20525472514072</v>
      </c>
      <c r="E81" s="107">
        <f t="shared" si="42"/>
        <v>-218.48435814455232</v>
      </c>
      <c r="F81" s="107">
        <f t="shared" si="42"/>
        <v>-218.4848484848485</v>
      </c>
      <c r="G81" s="107">
        <f t="shared" si="42"/>
        <v>-218.48300970873785</v>
      </c>
      <c r="H81" s="107">
        <f t="shared" si="42"/>
        <v>-218.47727272727272</v>
      </c>
      <c r="I81" s="107">
        <f t="shared" si="42"/>
        <v>-218.46666666666667</v>
      </c>
      <c r="J81" s="107">
        <f t="shared" si="42"/>
        <v>-218.48543689320388</v>
      </c>
      <c r="K81" s="107">
        <f t="shared" si="42"/>
        <v>-216.13268608414239</v>
      </c>
      <c r="L81" s="107">
        <f t="shared" si="42"/>
        <v>-216.13559322033899</v>
      </c>
      <c r="M81" s="107">
        <f t="shared" si="42"/>
        <v>-216.13349514563106</v>
      </c>
      <c r="N81" s="107">
        <f t="shared" si="42"/>
        <v>-216.13271604938271</v>
      </c>
      <c r="O81" s="107">
        <f t="shared" si="42"/>
        <v>-216.1360544217687</v>
      </c>
      <c r="P81" s="107">
        <f t="shared" si="42"/>
        <v>-216.13333333333333</v>
      </c>
      <c r="Q81" s="107">
        <f t="shared" si="42"/>
        <v>-216.13793103448276</v>
      </c>
      <c r="R81" s="107">
        <f t="shared" si="42"/>
        <v>-216.13513513513513</v>
      </c>
      <c r="S81" s="107">
        <f t="shared" si="42"/>
        <v>-227.39578454332553</v>
      </c>
      <c r="T81" s="107">
        <f t="shared" si="42"/>
        <v>-227.39393939393941</v>
      </c>
      <c r="U81" s="107" t="e">
        <f t="shared" si="42"/>
        <v>#DIV/0!</v>
      </c>
      <c r="V81" s="107" t="e">
        <f t="shared" si="42"/>
        <v>#DIV/0!</v>
      </c>
      <c r="W81" s="107" t="e">
        <f t="shared" si="42"/>
        <v>#DIV/0!</v>
      </c>
      <c r="X81" s="107">
        <f t="shared" si="42"/>
        <v>-94.649080901443554</v>
      </c>
      <c r="Y81" s="107">
        <f t="shared" si="42"/>
        <v>-94.649081488459728</v>
      </c>
      <c r="Z81" s="107">
        <f t="shared" si="42"/>
        <v>-218.48425827107792</v>
      </c>
      <c r="AA81" s="107">
        <f t="shared" si="42"/>
        <v>-218.48407643312103</v>
      </c>
      <c r="AB81" s="107">
        <f t="shared" si="42"/>
        <v>-218.48428532385898</v>
      </c>
      <c r="AC81" s="107">
        <f t="shared" si="42"/>
        <v>-218.48407643312103</v>
      </c>
      <c r="AD81" s="107">
        <f t="shared" si="42"/>
        <v>-218.48407643312103</v>
      </c>
      <c r="AE81" s="107">
        <f t="shared" si="42"/>
        <v>-218.4841541437286</v>
      </c>
      <c r="AF81" s="107">
        <f t="shared" si="42"/>
        <v>-218.48863636363637</v>
      </c>
      <c r="AG81" s="107">
        <f t="shared" si="42"/>
        <v>-218.48435114503818</v>
      </c>
      <c r="AH81" s="107">
        <f t="shared" si="42"/>
        <v>-218.48408710217757</v>
      </c>
      <c r="AI81" s="107">
        <f t="shared" si="42"/>
        <v>-218.48423577793008</v>
      </c>
      <c r="AJ81" s="107">
        <f t="shared" ref="AJ81:BA81" si="43">AJ71/AJ73</f>
        <v>-216.13266911379131</v>
      </c>
      <c r="AK81" s="107">
        <f t="shared" si="43"/>
        <v>-216.13229571984436</v>
      </c>
      <c r="AL81" s="107">
        <f t="shared" si="43"/>
        <v>-216.13281125139844</v>
      </c>
      <c r="AM81" s="107">
        <f t="shared" si="43"/>
        <v>-216.13281475079228</v>
      </c>
      <c r="AN81" s="107">
        <f t="shared" si="43"/>
        <v>-216.13296778615489</v>
      </c>
      <c r="AO81" s="107">
        <f t="shared" si="43"/>
        <v>-216.13217391304349</v>
      </c>
      <c r="AP81" s="107">
        <f t="shared" si="43"/>
        <v>-216.13282001924927</v>
      </c>
      <c r="AQ81" s="107">
        <f t="shared" si="43"/>
        <v>-216.13307493540051</v>
      </c>
      <c r="AR81" s="107">
        <f t="shared" si="43"/>
        <v>-227.39666542242131</v>
      </c>
      <c r="AS81" s="107">
        <f t="shared" si="43"/>
        <v>-227.3967560823456</v>
      </c>
      <c r="AT81" s="107" t="e">
        <f t="shared" si="43"/>
        <v>#DIV/0!</v>
      </c>
      <c r="AU81" s="107">
        <f t="shared" si="43"/>
        <v>-94.647540983606561</v>
      </c>
      <c r="AV81" s="107">
        <f t="shared" si="43"/>
        <v>-218</v>
      </c>
      <c r="AW81" s="107">
        <f t="shared" si="43"/>
        <v>-218</v>
      </c>
      <c r="AX81" s="107">
        <f t="shared" si="43"/>
        <v>-218.48453608247422</v>
      </c>
      <c r="AY81" s="107">
        <f t="shared" si="43"/>
        <v>-216.13253012048193</v>
      </c>
      <c r="AZ81" s="107">
        <f t="shared" si="43"/>
        <v>-216.13065326633165</v>
      </c>
      <c r="BA81" s="107" t="e">
        <f t="shared" si="43"/>
        <v>#DIV/0!</v>
      </c>
    </row>
    <row r="82" spans="2:53" ht="15" customHeight="1">
      <c r="B82" s="148" t="s">
        <v>211</v>
      </c>
      <c r="C82" s="170" t="s">
        <v>115</v>
      </c>
      <c r="D82" s="107">
        <f t="shared" ref="D82:AI82" si="44">D72/D73</f>
        <v>712.12851815616716</v>
      </c>
      <c r="E82" s="107">
        <f t="shared" si="44"/>
        <v>784.88996763754051</v>
      </c>
      <c r="F82" s="107">
        <f t="shared" si="44"/>
        <v>768.469696969697</v>
      </c>
      <c r="G82" s="107">
        <f t="shared" si="44"/>
        <v>752.04126213592235</v>
      </c>
      <c r="H82" s="107">
        <f t="shared" si="44"/>
        <v>691.52272727272725</v>
      </c>
      <c r="I82" s="107">
        <f t="shared" si="44"/>
        <v>727</v>
      </c>
      <c r="J82" s="107">
        <f t="shared" si="44"/>
        <v>703.63592233009706</v>
      </c>
      <c r="K82" s="107">
        <f t="shared" si="44"/>
        <v>676.83818770226537</v>
      </c>
      <c r="L82" s="107">
        <f t="shared" si="44"/>
        <v>645.72033898305085</v>
      </c>
      <c r="M82" s="107">
        <f t="shared" si="44"/>
        <v>656.95631067961165</v>
      </c>
      <c r="N82" s="107">
        <f t="shared" si="44"/>
        <v>638.80246913580243</v>
      </c>
      <c r="O82" s="107">
        <f t="shared" si="44"/>
        <v>590.39455782312928</v>
      </c>
      <c r="P82" s="107">
        <f t="shared" si="44"/>
        <v>594.73333333333335</v>
      </c>
      <c r="Q82" s="107">
        <f t="shared" si="44"/>
        <v>667.34482758620686</v>
      </c>
      <c r="R82" s="107">
        <f t="shared" si="44"/>
        <v>621.51351351351354</v>
      </c>
      <c r="S82" s="107">
        <f t="shared" si="44"/>
        <v>574.8360655737705</v>
      </c>
      <c r="T82" s="107">
        <f t="shared" si="44"/>
        <v>564.46212121212125</v>
      </c>
      <c r="U82" s="107" t="e">
        <f t="shared" si="44"/>
        <v>#DIV/0!</v>
      </c>
      <c r="V82" s="107" t="e">
        <f t="shared" si="44"/>
        <v>#DIV/0!</v>
      </c>
      <c r="W82" s="107" t="e">
        <f t="shared" si="44"/>
        <v>#DIV/0!</v>
      </c>
      <c r="X82" s="107">
        <f t="shared" si="44"/>
        <v>847.50597154429329</v>
      </c>
      <c r="Y82" s="107">
        <f t="shared" si="44"/>
        <v>827.57465850211963</v>
      </c>
      <c r="Z82" s="107">
        <f t="shared" si="44"/>
        <v>786.84605122732125</v>
      </c>
      <c r="AA82" s="107">
        <f t="shared" si="44"/>
        <v>782.51337579617837</v>
      </c>
      <c r="AB82" s="107">
        <f t="shared" si="44"/>
        <v>770.38125170811702</v>
      </c>
      <c r="AC82" s="107">
        <f t="shared" si="44"/>
        <v>733.98513800424632</v>
      </c>
      <c r="AD82" s="107">
        <f t="shared" si="44"/>
        <v>766.04883227176219</v>
      </c>
      <c r="AE82" s="107">
        <f t="shared" si="44"/>
        <v>753.91638149084963</v>
      </c>
      <c r="AF82" s="107">
        <f t="shared" si="44"/>
        <v>693.26136363636363</v>
      </c>
      <c r="AG82" s="107">
        <f t="shared" si="44"/>
        <v>728.78587786259538</v>
      </c>
      <c r="AH82" s="107">
        <f t="shared" si="44"/>
        <v>712.321608040201</v>
      </c>
      <c r="AI82" s="107">
        <f t="shared" si="44"/>
        <v>705.38827964359155</v>
      </c>
      <c r="AJ82" s="107">
        <f t="shared" ref="AJ82:BA82" si="45">AJ72/AJ73</f>
        <v>678.52464604090198</v>
      </c>
      <c r="AK82" s="107">
        <f t="shared" si="45"/>
        <v>647.32782101167311</v>
      </c>
      <c r="AL82" s="107">
        <f t="shared" si="45"/>
        <v>658.59357519578077</v>
      </c>
      <c r="AM82" s="107">
        <f t="shared" si="45"/>
        <v>640.39556323825991</v>
      </c>
      <c r="AN82" s="107">
        <f t="shared" si="45"/>
        <v>591.86771761480463</v>
      </c>
      <c r="AO82" s="107">
        <f t="shared" si="45"/>
        <v>596.20000000000005</v>
      </c>
      <c r="AP82" s="107">
        <f t="shared" si="45"/>
        <v>668.99230028873922</v>
      </c>
      <c r="AQ82" s="107">
        <f t="shared" si="45"/>
        <v>623.06459948320412</v>
      </c>
      <c r="AR82" s="107">
        <f t="shared" si="45"/>
        <v>576.26937912156279</v>
      </c>
      <c r="AS82" s="107">
        <f t="shared" si="45"/>
        <v>565.87086712414225</v>
      </c>
      <c r="AT82" s="107" t="e">
        <f t="shared" si="45"/>
        <v>#DIV/0!</v>
      </c>
      <c r="AU82" s="107">
        <f t="shared" si="45"/>
        <v>881.40983606557381</v>
      </c>
      <c r="AV82" s="107">
        <f t="shared" si="45"/>
        <v>818</v>
      </c>
      <c r="AW82" s="107">
        <f t="shared" si="45"/>
        <v>801</v>
      </c>
      <c r="AX82" s="107">
        <f t="shared" si="45"/>
        <v>784.07216494845363</v>
      </c>
      <c r="AY82" s="107">
        <f t="shared" si="45"/>
        <v>705.66867469879514</v>
      </c>
      <c r="AZ82" s="107">
        <f t="shared" si="45"/>
        <v>684.9396984924623</v>
      </c>
      <c r="BA82" s="107" t="e">
        <f t="shared" si="45"/>
        <v>#DIV/0!</v>
      </c>
    </row>
    <row r="83" spans="2:53" ht="15" customHeight="1"/>
  </sheetData>
  <sheetProtection algorithmName="SHA-512" hashValue="saxHwajjqCtgfwIn6S/JnQb2gFWvg6vrkByxpACSFkzXoUVtNpxfjVcZ5JNpf9r0km4fPVaTyJBz8uQpR+StPQ==" saltValue="WFlawIJr92q4NWB14klfFA==" spinCount="100000" sheet="1" objects="1"/>
  <mergeCells count="15">
    <mergeCell ref="C7:V8"/>
    <mergeCell ref="E10:W10"/>
    <mergeCell ref="E11:W11"/>
    <mergeCell ref="E21:W21"/>
    <mergeCell ref="E60:BA60"/>
    <mergeCell ref="E61:BA61"/>
    <mergeCell ref="E48:BA48"/>
    <mergeCell ref="AU10:AZ10"/>
    <mergeCell ref="AU11:AZ11"/>
    <mergeCell ref="AU21:AZ21"/>
    <mergeCell ref="X10:AT10"/>
    <mergeCell ref="X11:AT11"/>
    <mergeCell ref="X21:AT21"/>
    <mergeCell ref="E22:BA22"/>
    <mergeCell ref="E59:BA59"/>
  </mergeCells>
  <dataValidations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BA73" xr:uid="{E3E9E837-7C21-4B07-ABD7-90CDEC059271}">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BA72" xr:uid="{D264DF6F-7EC7-445C-AA0C-47D5A926E1C5}"/>
    <dataValidation allowBlank="1" showInputMessage="1" showErrorMessage="1" promptTitle="Required:" prompt="Enter the Risk Adjustment Transfer Amount for the benefit plan for the projection period as a dollar value with up to 16 characters including decimal place." sqref="E71:BA71" xr:uid="{F79C9179-8F2C-4106-AA28-65BAE46F6362}"/>
    <dataValidation allowBlank="1" showInputMessage="1" showErrorMessage="1" promptTitle="Required:" prompt="Enter the Cost Sharing Reduction for the benefit plan for the projection period as a dollar value with up to 16 characters including decimal place." sqref="E69:BA69" xr:uid="{68C70E75-2810-488B-B5D5-B240AC919D76}"/>
    <dataValidation allowBlank="1" showInputMessage="1" showErrorMessage="1" promptTitle="Required:" prompt="Enter the Member Cost Sharing for the benefit plan for the projection period as a dollar value with up to 16 characters including decimal place." sqref="E68:BA68" xr:uid="{3A2E2292-A772-4C2C-A5F9-CCC50FF1E7E8}"/>
    <dataValidation allowBlank="1" showInputMessage="1" showErrorMessage="1" promptTitle="Required:" prompt="Enter the Reinsurance for the benefit plan for the projection period as a dollar value with up to 16 characters including decimal place." sqref="E67:BA67" xr:uid="{8E955E56-69A4-43E7-A08D-0A4DEC2901B0}"/>
    <dataValidation allowBlank="1" showInputMessage="1" showErrorMessage="1" promptTitle="Required:" prompt="Enter the total allowed claims for the benefit plan for the projection period as a dollar value with up to 16 characters including decimal place." sqref="E66:BA66" xr:uid="{DF656777-F1A2-4CE4-A144-444238E46A28}"/>
    <dataValidation allowBlank="1" showInputMessage="1" showErrorMessage="1" promptTitle="Required:" prompt="Enter the Catastrophic Adjustment for each plan as a numeric value greater than or equal to 0 with up to 16 characters including decimal place." sqref="E56:BA56" xr:uid="{A2B815A9-29C2-42A2-972F-D3C7E7378A2D}"/>
    <dataValidation allowBlank="1" showInputMessage="1" showErrorMessage="1" promptTitle="Required:" prompt="Enter the Profit and Risk Load as a percentage up to 16 characters including decimal place." sqref="E55:BA55" xr:uid="{20E9B0A7-C128-4271-86FD-CE63572AF0D5}"/>
    <dataValidation allowBlank="1" showInputMessage="1" showErrorMessage="1" promptTitle="Required:" prompt="Enter the Taxes and Fees as a percentage up to 16 characters including decimal place." sqref="E54:BA54" xr:uid="{707B131C-0D2D-4A7A-A932-5A69C43209F2}"/>
    <dataValidation allowBlank="1" showInputMessage="1" showErrorMessage="1" promptTitle="Required:" prompt="Enter the Administrative Expense as a percentage up to 16 characters including decimal place." sqref="E53:BA53" xr:uid="{F93B4B01-4BFD-4877-83E4-FA33935C3A8C}"/>
    <dataValidation allowBlank="1" showInputMessage="1" showErrorMessage="1" promptTitle="Required:" prompt="Enter the Benefits in Addition to EHB as a numeric value up to 16 characters including decimal place." sqref="E51:BA51" xr:uid="{55AD4298-1E01-4FBB-84C8-D0E6504F0E8B}"/>
    <dataValidation allowBlank="1" showInputMessage="1" showErrorMessage="1" promptTitle="Required:" prompt="Enter the Provider Network Adjustment as a numeric value up to 16 characters including decimal place." sqref="E50:BA50" xr:uid="{BC86E154-E861-47E9-BD2C-2F2F5641BDB8}"/>
    <dataValidation allowBlank="1" showInputMessage="1" showErrorMessage="1" promptTitle="Required:" prompt="Enter the AV Cost Sharing Design of Plan as a numeric value up to 16 characters including decimal place." sqref="E49:BA49" xr:uid="{6F288DC4-174F-401A-84E3-09B589253D1A}"/>
    <dataValidation allowBlank="1" showInputMessage="1" showErrorMessage="1" promptTitle="Required:" prompt="Enter the Current Premium PMPM as a dollar amount greater than or equal to 0, with up to 16 characters including decimal place." sqref="E35:BA35" xr:uid="{3CC500B7-BE3C-49FB-8575-3A4D72DDE0BD}"/>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BA34" xr:uid="{A823E7B4-1FBD-4141-97CB-C454D2471A72}">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BA33" xr:uid="{04328E94-BD1F-432E-ACCC-98183840EB0F}">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BA32" xr:uid="{406A5398-BA2D-482C-9D92-2751C75B172B}"/>
    <dataValidation allowBlank="1" showInputMessage="1" showErrorMessage="1" promptTitle="Required:" prompt="Enter the Risk Adjustment Transfer Amount for the benefit plan with service dates within the experience period as a dollar value with up to 16 characters including decimal place." sqref="E31:BA31" xr:uid="{5FFB5DAB-DB91-4075-BB77-A0C2F09FC890}"/>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BA30" xr:uid="{7C0E6C0D-FF8D-4370-8F32-BC856E36B736}">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BA29" xr:uid="{4811C8F7-21DB-4DB4-8D1E-B66FCCE981A2}"/>
    <dataValidation allowBlank="1" showInputMessage="1" showErrorMessage="1" promptTitle="Required:" prompt="Enter the Member Cost Sharing for the benefit plan with service dates within the experience period as a dollar value with up to 16 characters including decimal place." sqref="E28:BA28" xr:uid="{46E8A3C0-3D23-4875-9D45-88E2E99E5E3A}"/>
    <dataValidation allowBlank="1" showInputMessage="1" showErrorMessage="1" promptTitle="Required:" prompt="Enter Reinsurance for the benefit plan with service dates within the experience period as a dollar value with up to 16 characters including decimal place." sqref="E27:BA27" xr:uid="{5E987FDE-6E7F-4998-A420-A3C806DA3C27}"/>
    <dataValidation allowBlank="1" showInputMessage="1" showErrorMessage="1" promptTitle="Required:" prompt="Enter the total allowed claims for the benefit plan with service dates within the experience period as a dollar value with up to 16 characters including decimal place." sqref="E26:BA26" xr:uid="{BD5D7D0A-3A87-4ADC-8F20-5081D0DE6245}"/>
    <dataValidation allowBlank="1" showInputMessage="1" showErrorMessage="1" promptTitle="Required:" prompt="Enter the average change in premium rates over the twelve month period prior to the effective date for the plan as a percentage with up to 16 characters including decimal place." sqref="E20:BA20" xr:uid="{9B6190AF-7AFC-4A60-BD64-02E05239063D}"/>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BA19" xr:uid="{3146702F-F1DB-449D-B592-E81FB0159674}">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BA18" xr:uid="{8BC7838A-9131-4D2D-B990-5A98DBC07623}">
      <formula1>YesNo</formula1>
    </dataValidation>
    <dataValidation allowBlank="1" showInputMessage="1" showErrorMessage="1" promptTitle="Required:" prompt="Enter the AV Metal Value for the designated plan as a numeric value between 0 and 1, with up to 16 characters including decimal place." sqref="E15:BA15" xr:uid="{1DB00415-59FB-423A-B355-A34A263E1C00}"/>
    <dataValidation type="list" operator="greaterThan" allowBlank="1" showInputMessage="1" showErrorMessage="1" errorTitle="Value not valid:" error="Select a value from the list." promptTitle="Required:" prompt="Select the Plan Category for the designated plan." sqref="E16:BA16" xr:uid="{4B68C6D3-336F-4AB3-A04B-5C5AAD075A8B}">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BA13" xr:uid="{32A2886E-FECB-4637-B4C6-3A0B6D80F46A}">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BA12" xr:uid="{8276DEFA-5113-4DCC-ABE8-9343BB253EA6}">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BA14" xr:uid="{5192FED2-1B6B-4B7B-A6C5-836EB5B9FFDE}">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11 AU11 BA11" xr:uid="{441A1B92-DBE8-4491-A39D-2915CD94A105}">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10 AU10 BA10" xr:uid="{6D69D3F2-0C4C-4734-B635-787403AE93EB}">
      <formula1>0</formula1>
      <formula2>100</formula2>
    </dataValidation>
    <dataValidation type="list" allowBlank="1" showInputMessage="1" showErrorMessage="1" errorTitle="Value not valid:" error="Select a value from the list." promptTitle="Required:" prompt="Select the Plan Type for the designated plan." sqref="E17:BA17" xr:uid="{7DCD689A-D0ED-4D36-9703-4F416BC73246}">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8</xdr:col>
                    <xdr:colOff>0</xdr:colOff>
                    <xdr:row>53</xdr:row>
                    <xdr:rowOff>0</xdr:rowOff>
                  </from>
                  <to>
                    <xdr:col>8</xdr:col>
                    <xdr:colOff>1000125</xdr:colOff>
                    <xdr:row>54</xdr:row>
                    <xdr:rowOff>85725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10</xdr:col>
                    <xdr:colOff>28575</xdr:colOff>
                    <xdr:row>53</xdr:row>
                    <xdr:rowOff>0</xdr:rowOff>
                  </from>
                  <to>
                    <xdr:col>11</xdr:col>
                    <xdr:colOff>28575</xdr:colOff>
                    <xdr:row>54</xdr:row>
                    <xdr:rowOff>85725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11</xdr:col>
                    <xdr:colOff>38100</xdr:colOff>
                    <xdr:row>53</xdr:row>
                    <xdr:rowOff>0</xdr:rowOff>
                  </from>
                  <to>
                    <xdr:col>12</xdr:col>
                    <xdr:colOff>38100</xdr:colOff>
                    <xdr:row>54</xdr:row>
                    <xdr:rowOff>85725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9</xdr:col>
                    <xdr:colOff>9525</xdr:colOff>
                    <xdr:row>53</xdr:row>
                    <xdr:rowOff>0</xdr:rowOff>
                  </from>
                  <to>
                    <xdr:col>10</xdr:col>
                    <xdr:colOff>9525</xdr:colOff>
                    <xdr:row>54</xdr:row>
                    <xdr:rowOff>85725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48</xdr:col>
                    <xdr:colOff>1000125</xdr:colOff>
                    <xdr:row>0</xdr:row>
                    <xdr:rowOff>0</xdr:rowOff>
                  </from>
                  <to>
                    <xdr:col>49</xdr:col>
                    <xdr:colOff>981075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12</xdr:col>
                    <xdr:colOff>47625</xdr:colOff>
                    <xdr:row>0</xdr:row>
                    <xdr:rowOff>0</xdr:rowOff>
                  </from>
                  <to>
                    <xdr:col>13</xdr:col>
                    <xdr:colOff>19050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1"/>
  <sheetViews>
    <sheetView zoomScaleNormal="100" workbookViewId="0">
      <selection activeCell="F19" sqref="F19"/>
    </sheetView>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87" t="s">
        <v>340</v>
      </c>
      <c r="B6" s="91">
        <v>1</v>
      </c>
    </row>
    <row r="7" spans="1:3">
      <c r="A7" s="87" t="s">
        <v>341</v>
      </c>
      <c r="B7" s="91">
        <v>1</v>
      </c>
    </row>
    <row r="8" spans="1:3">
      <c r="A8" s="87" t="s">
        <v>342</v>
      </c>
      <c r="B8" s="91">
        <v>1</v>
      </c>
    </row>
    <row r="9" spans="1:3">
      <c r="A9" s="87" t="s">
        <v>346</v>
      </c>
      <c r="B9" s="91">
        <v>1</v>
      </c>
    </row>
    <row r="10" spans="1:3">
      <c r="A10" s="87" t="s">
        <v>348</v>
      </c>
      <c r="B10" s="91">
        <v>1</v>
      </c>
    </row>
    <row r="11" spans="1:3">
      <c r="A11" s="87" t="s">
        <v>351</v>
      </c>
      <c r="B11" s="91">
        <v>1</v>
      </c>
    </row>
  </sheetData>
  <sheetProtection algorithmName="SHA-512" hashValue="RsmWkWlhQz8og9ibfHvtfzBEIqOU/2bdVrat9nxsN2wFftlC8y3fuzfDpCAKPI2vfAQR4dBpyDzeiBHMaUXmdA==" saltValue="7Ae2mgKFEVaQmj+eay5KhA=="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Kaiser Foundation Health Plan of Georgia</v>
      </c>
      <c r="F3" s="3"/>
      <c r="G3" s="21"/>
      <c r="J3" s="1"/>
      <c r="K3" s="1"/>
      <c r="N3" s="6" t="s">
        <v>7</v>
      </c>
      <c r="O3" s="74" t="str">
        <f>IF('Wksh 1 - Market Experience'!E4="","",'Wksh 1 - Market Experience'!E4)</f>
        <v>GA</v>
      </c>
      <c r="P3" s="1"/>
    </row>
    <row r="4" spans="2:23" ht="18.75">
      <c r="C4" s="7" t="s">
        <v>6</v>
      </c>
      <c r="D4" s="4" t="str">
        <f>IF('Wksh 1 - Market Experience'!C4&lt;&gt;"", 'Wksh 1 - Market Experience'!C4,"")</f>
        <v>89942</v>
      </c>
      <c r="F4" s="3"/>
      <c r="G4" s="68"/>
      <c r="J4" s="1"/>
      <c r="K4" s="1"/>
      <c r="N4" s="6" t="s">
        <v>9</v>
      </c>
      <c r="O4" s="74" t="str">
        <f>IF('Wksh 1 - Market Experience'!E5="","",'Wksh 1 - Market Experience'!E5)</f>
        <v>Small Group</v>
      </c>
      <c r="P4" s="1"/>
    </row>
    <row r="5" spans="2:23" ht="18.75">
      <c r="C5" s="6" t="s">
        <v>14</v>
      </c>
      <c r="D5" s="83" t="e">
        <f>IF('Wksh 1 - Market Experience'!#REF!&lt;&gt;"", 'Wksh 1 - Market Experience'!#REF!,"")</f>
        <v>#REF!</v>
      </c>
      <c r="F5" s="3"/>
      <c r="G5" s="266"/>
      <c r="H5" s="266"/>
      <c r="I5" s="267"/>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6" t="s">
        <v>155</v>
      </c>
      <c r="C10" s="147" t="s">
        <v>104</v>
      </c>
      <c r="D10" s="268"/>
      <c r="E10" s="177"/>
      <c r="I10" s="70"/>
      <c r="J10" s="70"/>
      <c r="K10" s="70" t="s">
        <v>339</v>
      </c>
      <c r="L10" s="67" t="s">
        <v>27</v>
      </c>
      <c r="M10" s="70" t="s">
        <v>81</v>
      </c>
      <c r="N10" s="70" t="s">
        <v>139</v>
      </c>
      <c r="O10" s="70" t="s">
        <v>145</v>
      </c>
    </row>
    <row r="11" spans="2:23">
      <c r="B11" s="146" t="s">
        <v>156</v>
      </c>
      <c r="C11" s="147" t="s">
        <v>105</v>
      </c>
      <c r="D11" s="269"/>
      <c r="E11" s="177"/>
      <c r="I11" s="70"/>
      <c r="J11" s="70"/>
      <c r="K11" s="70" t="s">
        <v>340</v>
      </c>
      <c r="L11" s="67" t="s">
        <v>28</v>
      </c>
      <c r="M11" s="70" t="s">
        <v>82</v>
      </c>
      <c r="N11" s="70" t="s">
        <v>140</v>
      </c>
      <c r="O11" s="70" t="s">
        <v>146</v>
      </c>
    </row>
    <row r="12" spans="2:23">
      <c r="B12" s="146" t="s">
        <v>157</v>
      </c>
      <c r="C12" s="147" t="s">
        <v>10</v>
      </c>
      <c r="D12" s="269"/>
      <c r="E12" s="179"/>
      <c r="I12" s="70"/>
      <c r="J12" s="70"/>
      <c r="K12" s="70" t="s">
        <v>341</v>
      </c>
      <c r="L12" s="67" t="s">
        <v>29</v>
      </c>
      <c r="M12" s="70" t="s">
        <v>83</v>
      </c>
      <c r="N12" s="70" t="s">
        <v>141</v>
      </c>
    </row>
    <row r="13" spans="2:23">
      <c r="B13" s="146" t="s">
        <v>158</v>
      </c>
      <c r="C13" s="147" t="s">
        <v>106</v>
      </c>
      <c r="D13" s="269"/>
      <c r="E13" s="180"/>
      <c r="I13" s="70"/>
      <c r="K13" s="70" t="s">
        <v>342</v>
      </c>
      <c r="L13" s="67" t="s">
        <v>30</v>
      </c>
      <c r="N13" s="70" t="s">
        <v>142</v>
      </c>
    </row>
    <row r="14" spans="2:23">
      <c r="B14" s="146" t="s">
        <v>159</v>
      </c>
      <c r="C14" s="147" t="s">
        <v>107</v>
      </c>
      <c r="D14" s="269"/>
      <c r="E14" s="181"/>
      <c r="K14" s="70" t="s">
        <v>343</v>
      </c>
      <c r="L14" s="67" t="s">
        <v>31</v>
      </c>
      <c r="N14" s="70" t="s">
        <v>143</v>
      </c>
    </row>
    <row r="15" spans="2:23">
      <c r="B15" s="146" t="s">
        <v>160</v>
      </c>
      <c r="C15" s="147" t="s">
        <v>26</v>
      </c>
      <c r="D15" s="269"/>
      <c r="E15" s="182"/>
      <c r="K15" s="70" t="s">
        <v>344</v>
      </c>
      <c r="L15" s="67" t="s">
        <v>32</v>
      </c>
      <c r="N15" s="70" t="s">
        <v>144</v>
      </c>
    </row>
    <row r="16" spans="2:23">
      <c r="B16" s="146" t="s">
        <v>161</v>
      </c>
      <c r="C16" s="147" t="s">
        <v>80</v>
      </c>
      <c r="D16" s="269"/>
      <c r="E16" s="179"/>
      <c r="K16" t="s">
        <v>345</v>
      </c>
      <c r="L16" s="67" t="s">
        <v>33</v>
      </c>
    </row>
    <row r="17" spans="1:12">
      <c r="B17" s="146" t="s">
        <v>154</v>
      </c>
      <c r="C17" s="147" t="s">
        <v>108</v>
      </c>
      <c r="D17" s="269"/>
      <c r="E17" s="179"/>
      <c r="K17" t="s">
        <v>346</v>
      </c>
      <c r="L17" s="67" t="s">
        <v>35</v>
      </c>
    </row>
    <row r="18" spans="1:12">
      <c r="B18" s="146" t="s">
        <v>153</v>
      </c>
      <c r="C18" s="147" t="s">
        <v>16</v>
      </c>
      <c r="D18" s="269"/>
      <c r="E18" s="183"/>
      <c r="K18" t="s">
        <v>347</v>
      </c>
      <c r="L18" s="67" t="s">
        <v>34</v>
      </c>
    </row>
    <row r="19" spans="1:12">
      <c r="B19" s="146" t="s">
        <v>149</v>
      </c>
      <c r="C19" s="147" t="s">
        <v>25</v>
      </c>
      <c r="D19" s="269"/>
      <c r="E19" s="184"/>
      <c r="K19" t="s">
        <v>348</v>
      </c>
      <c r="L19" s="67" t="s">
        <v>36</v>
      </c>
    </row>
    <row r="20" spans="1:12">
      <c r="B20" s="146" t="s">
        <v>150</v>
      </c>
      <c r="C20" s="147" t="s">
        <v>109</v>
      </c>
      <c r="D20" s="269"/>
      <c r="E20" s="185"/>
      <c r="K20" t="s">
        <v>349</v>
      </c>
      <c r="L20" s="67" t="s">
        <v>37</v>
      </c>
    </row>
    <row r="21" spans="1:12">
      <c r="B21" s="146" t="s">
        <v>151</v>
      </c>
      <c r="C21" s="147" t="s">
        <v>84</v>
      </c>
      <c r="D21" s="269"/>
      <c r="E21" s="178"/>
      <c r="K21" t="s">
        <v>350</v>
      </c>
      <c r="L21" s="67" t="s">
        <v>38</v>
      </c>
    </row>
    <row r="22" spans="1:12">
      <c r="B22" s="148" t="s">
        <v>152</v>
      </c>
      <c r="C22" s="138" t="s">
        <v>212</v>
      </c>
      <c r="D22" s="270"/>
      <c r="E22" s="178"/>
      <c r="K22" t="s">
        <v>351</v>
      </c>
      <c r="L22" s="67" t="s">
        <v>39</v>
      </c>
    </row>
    <row r="23" spans="1:12">
      <c r="E23" s="73"/>
      <c r="K23" t="s">
        <v>352</v>
      </c>
      <c r="L23" s="67" t="s">
        <v>40</v>
      </c>
    </row>
    <row r="24" spans="1:12" ht="18.75">
      <c r="A24" s="6"/>
      <c r="B24" s="75"/>
      <c r="C24" s="78" t="s">
        <v>110</v>
      </c>
      <c r="D24" s="1"/>
      <c r="E24" s="17"/>
      <c r="K24" t="s">
        <v>353</v>
      </c>
      <c r="L24" s="67" t="s">
        <v>41</v>
      </c>
    </row>
    <row r="25" spans="1:12" ht="18.75">
      <c r="A25" s="6"/>
      <c r="B25" s="146" t="s">
        <v>162</v>
      </c>
      <c r="C25" s="147" t="s">
        <v>106</v>
      </c>
      <c r="D25" s="186" t="s">
        <v>2</v>
      </c>
      <c r="E25" s="90" t="str">
        <f>IF(E13&lt;&gt;"",E13,"")</f>
        <v/>
      </c>
      <c r="K25" t="s">
        <v>354</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1"/>
      <c r="E47" s="191" t="str">
        <f>IF(E13&lt;&gt;"",E13,"")</f>
        <v/>
      </c>
      <c r="L47" s="67" t="s">
        <v>64</v>
      </c>
    </row>
    <row r="48" spans="1:12" ht="18.75">
      <c r="A48" s="6"/>
      <c r="B48" s="146" t="s">
        <v>182</v>
      </c>
      <c r="C48" s="189" t="s">
        <v>122</v>
      </c>
      <c r="D48" s="272"/>
      <c r="E48" s="192">
        <f>'Wksh 1 - Market Experience'!F46</f>
        <v>748.72</v>
      </c>
      <c r="L48" s="67" t="s">
        <v>65</v>
      </c>
    </row>
    <row r="49" spans="1:12" ht="18.75">
      <c r="A49" s="6"/>
      <c r="B49" s="146" t="s">
        <v>183</v>
      </c>
      <c r="C49" s="189" t="s">
        <v>123</v>
      </c>
      <c r="D49" s="272"/>
      <c r="E49" s="193"/>
      <c r="L49" s="67" t="s">
        <v>66</v>
      </c>
    </row>
    <row r="50" spans="1:12" ht="18.75">
      <c r="A50" s="6"/>
      <c r="B50" s="146" t="s">
        <v>184</v>
      </c>
      <c r="C50" s="189" t="s">
        <v>124</v>
      </c>
      <c r="D50" s="272"/>
      <c r="E50" s="193"/>
      <c r="L50" s="67" t="s">
        <v>67</v>
      </c>
    </row>
    <row r="51" spans="1:12" ht="18.75">
      <c r="A51" s="6"/>
      <c r="B51" s="148" t="s">
        <v>185</v>
      </c>
      <c r="C51" s="190" t="s">
        <v>125</v>
      </c>
      <c r="D51" s="273"/>
      <c r="E51" s="193"/>
      <c r="L51" s="67" t="s">
        <v>68</v>
      </c>
    </row>
    <row r="52" spans="1:12" ht="18.75">
      <c r="A52" s="6"/>
      <c r="C52" s="82" t="s">
        <v>133</v>
      </c>
      <c r="D52" s="6"/>
      <c r="L52" s="67" t="s">
        <v>69</v>
      </c>
    </row>
    <row r="53" spans="1:12" ht="18.75">
      <c r="A53" s="6"/>
      <c r="B53" s="146" t="s">
        <v>186</v>
      </c>
      <c r="C53" s="172" t="s">
        <v>134</v>
      </c>
      <c r="D53" s="271"/>
      <c r="E53" s="196"/>
      <c r="F53" s="5"/>
      <c r="L53" s="67" t="s">
        <v>70</v>
      </c>
    </row>
    <row r="54" spans="1:12" ht="18.75">
      <c r="A54" s="6"/>
      <c r="B54" s="146" t="s">
        <v>187</v>
      </c>
      <c r="C54" s="172" t="s">
        <v>135</v>
      </c>
      <c r="D54" s="272"/>
      <c r="E54" s="196"/>
      <c r="F54" s="5"/>
      <c r="L54" s="67" t="s">
        <v>71</v>
      </c>
    </row>
    <row r="55" spans="1:12" ht="18.75">
      <c r="A55" s="6"/>
      <c r="B55" s="146" t="s">
        <v>188</v>
      </c>
      <c r="C55" s="172" t="s">
        <v>12</v>
      </c>
      <c r="D55" s="272"/>
      <c r="E55" s="196"/>
      <c r="F55" s="5"/>
      <c r="L55" s="67" t="s">
        <v>72</v>
      </c>
    </row>
    <row r="56" spans="1:12" ht="18.75">
      <c r="A56" s="6"/>
      <c r="B56" s="146" t="s">
        <v>189</v>
      </c>
      <c r="C56" s="189" t="s">
        <v>126</v>
      </c>
      <c r="D56" s="272"/>
      <c r="E56" s="193"/>
      <c r="F56" s="5"/>
      <c r="L56" s="67" t="s">
        <v>73</v>
      </c>
    </row>
    <row r="57" spans="1:12" ht="18.75">
      <c r="A57" s="6"/>
      <c r="B57" s="148" t="s">
        <v>190</v>
      </c>
      <c r="C57" s="194" t="s">
        <v>79</v>
      </c>
      <c r="D57" s="273"/>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RlTdnd+YeTKvYaRyEfRABKg3yIk6ZctE78VwGohlb14Fa90dBWGiSQbziJxGkn5oA6reyXLfVEAoHUO8ax6yAg==" saltValue="1TpntIGcgzFCChEKgSkL+g=="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http://schemas.microsoft.com/office/infopath/2007/PartnerControls"/>
    <ds:schemaRef ds:uri="http://purl.org/dc/elements/1.1/"/>
    <ds:schemaRef ds:uri="http://schemas.microsoft.com/office/2006/documentManagement/types"/>
    <ds:schemaRef ds:uri="a1027b0e-b76a-4f87-8a3e-5c0955473ea1"/>
    <ds:schemaRef ds:uri="http://purl.org/dc/terms/"/>
    <ds:schemaRef ds:uri="http://schemas.openxmlformats.org/package/2006/metadata/core-properties"/>
    <ds:schemaRef ds:uri="a7eddb22-ec30-47fe-81c9-a147b8ade4a5"/>
    <ds:schemaRef ds:uri="http://purl.org/dc/dcmitype/"/>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CE50C2B9-C760-402B-B23C-5217DAE7ECE0}"/>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2023-06-22T17:27:57Z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ies>
</file>