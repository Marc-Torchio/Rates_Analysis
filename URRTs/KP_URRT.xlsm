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3.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ThisWorkbook" defaultThemeVersion="124226"/>
  <mc:AlternateContent xmlns:mc="http://schemas.openxmlformats.org/markup-compatibility/2006">
    <mc:Choice Requires="x15">
      <x15ac:absPath xmlns:x15ac="http://schemas.microsoft.com/office/spreadsheetml/2010/11/ac" url="G:\Actuarial Services\Rate Filings\KPIF\2024\ACA\URRT\"/>
    </mc:Choice>
  </mc:AlternateContent>
  <xr:revisionPtr revIDLastSave="0" documentId="8_{FA90691D-D6E4-4947-91F1-94B8093140F8}" xr6:coauthVersionLast="47" xr6:coauthVersionMax="47" xr10:uidLastSave="{00000000-0000-0000-0000-000000000000}"/>
  <workbookProtection workbookAlgorithmName="SHA-512" workbookHashValue="7VbHqZtVfWkJ7YLlvZG4QvMmF+0PcddqEPcBtXK9NHLxRGV+ihPZQ/Ura21uLHDMh8CnbDu5eEs75c0XZel51g==" workbookSaltValue="zzQWUWAIXnIKC8t+A3WCDQ==" workbookSpinCount="100000" lockStructure="1"/>
  <bookViews>
    <workbookView xWindow="-28920" yWindow="-120" windowWidth="29040" windowHeight="17640" tabRatio="515" xr2:uid="{00000000-000D-0000-FFFF-FFFF00000000}"/>
  </bookViews>
  <sheets>
    <sheet name="Wksh 1 - Market Experience" sheetId="1" r:id="rId1"/>
    <sheet name="Wksh 2 - Plan Product Info" sheetId="13" r:id="rId2"/>
    <sheet name="Wksh 3 - Rating Areas" sheetId="18" r:id="rId3"/>
    <sheet name="PlanTemplate" sheetId="15" state="veryHidden" r:id="rId4"/>
  </sheets>
  <functionGroups builtInGroupCount="19"/>
  <definedNames>
    <definedName name="CategoryList">PlanTemplate!$M$10:$M$12</definedName>
    <definedName name="ColumnTitleRegion1.A5.B1000.3" localSheetId="2">'Wksh 3 - Rating Areas'!$A$5:$B$5</definedName>
    <definedName name="ColumnTitleRegion3.A24.A44.2" localSheetId="1">'Wksh 2 - Plan Product Info'!$A$24</definedName>
    <definedName name="ColumnTitleRegion4.B9.B82.2" localSheetId="1">'Wksh 2 - Plan Product Info'!$B$9</definedName>
    <definedName name="DataEntryBlock">PlanTemplate!$E$10:$E$82</definedName>
    <definedName name="FormulaBlock">PlanTemplate!$D$26:$D$82</definedName>
    <definedName name="MetalLevels">PlanTemplate!$N$10:$N$15</definedName>
    <definedName name="ProductYears">#REF!</definedName>
    <definedName name="ProductYearsSG">#REF!</definedName>
    <definedName name="RatingAreas">PlanTemplate!$K$10:$K$25</definedName>
    <definedName name="RowTitleRegion1.B3.C5.1" localSheetId="0">'Wksh 1 - Market Experience'!$B$3:$B$5</definedName>
    <definedName name="RowTitleRegion1.C3.D5.2" localSheetId="1">'Wksh 2 - Plan Product Info'!$C$3:$C$5</definedName>
    <definedName name="RowTitleRegion2.D4.E5.1" localSheetId="0">'Wksh 1 - Market Experience'!$D$4:$D$5</definedName>
    <definedName name="RowTitleRegion2.E4.F5.2" localSheetId="1">'Wksh 2 - Plan Product Info'!$E$4:$E$5</definedName>
    <definedName name="RowTitleRegion3.B12.F12.1" localSheetId="0">'Wksh 1 - Market Experience'!$B$12</definedName>
    <definedName name="RowTitleRegion5.C10.XFD82.2" localSheetId="1">'Wksh 2 - Plan Product Info'!$C$10:$C$82</definedName>
    <definedName name="RowTitleRegion6.B32.F36.1" localSheetId="0">'Wksh 1 - Market Experience'!$B$32:$D$36</definedName>
    <definedName name="RowTitleRegion7.B38.F39.1" localSheetId="0">'Wksh 1 - Market Experience'!$B$38:$B$39</definedName>
    <definedName name="RowTitleRegion9.B48.F48.1" localSheetId="0">'Wksh 1 - Market Experience'!$B$48</definedName>
    <definedName name="StateList">PlanTemplate!$L$10:$L$60</definedName>
    <definedName name="TitleRegion4.B13.F19.1" localSheetId="0">'Wksh 1 - Market Experience'!$B$13</definedName>
    <definedName name="TitleRegion5.B22.H30.1" localSheetId="0">'Wksh 1 - Market Experience'!$B$22:$B$23</definedName>
    <definedName name="TitleRegion8.B41.G46.1" localSheetId="0">'Wksh 1 - Market Experience'!$B$41:$D$41</definedName>
    <definedName name="YesNo">PlanTemplate!$O$10:$O$11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73" i="13" l="1"/>
  <c r="D72" i="13"/>
  <c r="D71" i="13"/>
  <c r="D69" i="13"/>
  <c r="D68" i="13"/>
  <c r="D67" i="13"/>
  <c r="D66" i="13"/>
  <c r="D70" i="13" s="1"/>
  <c r="D35" i="13"/>
  <c r="D34" i="13"/>
  <c r="D33" i="13"/>
  <c r="D41" i="13" s="1"/>
  <c r="D32" i="13"/>
  <c r="D44" i="13" s="1"/>
  <c r="D31" i="13"/>
  <c r="D43" i="13" s="1"/>
  <c r="D29" i="13"/>
  <c r="D28" i="13"/>
  <c r="D27" i="13"/>
  <c r="D26" i="13"/>
  <c r="D30" i="13" s="1"/>
  <c r="E22" i="13" a="1"/>
  <c r="E22" i="13" s="1"/>
  <c r="BA21" i="13" a="1"/>
  <c r="BA21" i="13" s="1"/>
  <c r="C5" i="1"/>
  <c r="BF82" i="13"/>
  <c r="BF81" i="13"/>
  <c r="BF79" i="13"/>
  <c r="BF78" i="13"/>
  <c r="BF77" i="13"/>
  <c r="BF76" i="13"/>
  <c r="BF70" i="13"/>
  <c r="BF80" i="13" s="1"/>
  <c r="BF65" i="13"/>
  <c r="BF47" i="13"/>
  <c r="BF44" i="13"/>
  <c r="BF43" i="13"/>
  <c r="BF41" i="13"/>
  <c r="BF40" i="13"/>
  <c r="BF39" i="13"/>
  <c r="BF38" i="13"/>
  <c r="BF30" i="13"/>
  <c r="BF36" i="13" s="1"/>
  <c r="BF25" i="13"/>
  <c r="BE82" i="13"/>
  <c r="BE81" i="13"/>
  <c r="BE79" i="13"/>
  <c r="BE78" i="13"/>
  <c r="BE77" i="13"/>
  <c r="BE76" i="13"/>
  <c r="BE70" i="13"/>
  <c r="BE80" i="13" s="1"/>
  <c r="BE65" i="13"/>
  <c r="BE47" i="13"/>
  <c r="BE44" i="13"/>
  <c r="BE43" i="13"/>
  <c r="BE41" i="13"/>
  <c r="BE40" i="13"/>
  <c r="BE39" i="13"/>
  <c r="BE38" i="13"/>
  <c r="BE30" i="13"/>
  <c r="BE36" i="13" s="1"/>
  <c r="BE25" i="13"/>
  <c r="BD82" i="13"/>
  <c r="BD81" i="13"/>
  <c r="BD79" i="13"/>
  <c r="BD78" i="13"/>
  <c r="BD77" i="13"/>
  <c r="BD76" i="13"/>
  <c r="BD70" i="13"/>
  <c r="BD80" i="13" s="1"/>
  <c r="BD65" i="13"/>
  <c r="BD47" i="13"/>
  <c r="BD44" i="13"/>
  <c r="BD43" i="13"/>
  <c r="BD41" i="13"/>
  <c r="BD40" i="13"/>
  <c r="BD39" i="13"/>
  <c r="BD38" i="13"/>
  <c r="BD30" i="13"/>
  <c r="BD36" i="13" s="1"/>
  <c r="BD25" i="13"/>
  <c r="BC82" i="13"/>
  <c r="BC81" i="13"/>
  <c r="BC79" i="13"/>
  <c r="BC78" i="13"/>
  <c r="BC77" i="13"/>
  <c r="BC76" i="13"/>
  <c r="BC70" i="13"/>
  <c r="BC80" i="13" s="1"/>
  <c r="BC65" i="13"/>
  <c r="BC47" i="13"/>
  <c r="BC44" i="13"/>
  <c r="BC43" i="13"/>
  <c r="BC41" i="13"/>
  <c r="BC40" i="13"/>
  <c r="BC39" i="13"/>
  <c r="BC38" i="13"/>
  <c r="BC30" i="13"/>
  <c r="BC42" i="13" s="1"/>
  <c r="BC25" i="13"/>
  <c r="BB82" i="13"/>
  <c r="BB81" i="13"/>
  <c r="BB79" i="13"/>
  <c r="BB78" i="13"/>
  <c r="BB77" i="13"/>
  <c r="BB76" i="13"/>
  <c r="BB70" i="13"/>
  <c r="BB80" i="13" s="1"/>
  <c r="BB65" i="13"/>
  <c r="BB47" i="13"/>
  <c r="BB44" i="13"/>
  <c r="BB43" i="13"/>
  <c r="BB41" i="13"/>
  <c r="BB40" i="13"/>
  <c r="BB39" i="13"/>
  <c r="BB38" i="13"/>
  <c r="BB30" i="13"/>
  <c r="BB42" i="13" s="1"/>
  <c r="BB25" i="13"/>
  <c r="BA82" i="13"/>
  <c r="BA81" i="13"/>
  <c r="BA79" i="13"/>
  <c r="BA78" i="13"/>
  <c r="BA77" i="13"/>
  <c r="BA76" i="13"/>
  <c r="BA70" i="13"/>
  <c r="BA80" i="13" s="1"/>
  <c r="BA65" i="13"/>
  <c r="BA47" i="13"/>
  <c r="BA44" i="13"/>
  <c r="BA43" i="13"/>
  <c r="BA41" i="13"/>
  <c r="BA40" i="13"/>
  <c r="BA39" i="13"/>
  <c r="BA38" i="13"/>
  <c r="BA30" i="13"/>
  <c r="BA36" i="13" s="1"/>
  <c r="BA25" i="13"/>
  <c r="AU21" i="13" a="1"/>
  <c r="AU21" i="13" s="1"/>
  <c r="AZ82" i="13"/>
  <c r="AZ81" i="13"/>
  <c r="AZ79" i="13"/>
  <c r="AZ78" i="13"/>
  <c r="AZ77" i="13"/>
  <c r="AZ76" i="13"/>
  <c r="AZ70" i="13"/>
  <c r="AZ74" i="13" s="1"/>
  <c r="AZ65" i="13"/>
  <c r="AZ47" i="13"/>
  <c r="AZ44" i="13"/>
  <c r="AZ43" i="13"/>
  <c r="AZ41" i="13"/>
  <c r="AZ40" i="13"/>
  <c r="AZ39" i="13"/>
  <c r="AZ38" i="13"/>
  <c r="AZ30" i="13"/>
  <c r="AZ36" i="13" s="1"/>
  <c r="AZ25" i="13"/>
  <c r="AY82" i="13"/>
  <c r="AY81" i="13"/>
  <c r="AY79" i="13"/>
  <c r="AY78" i="13"/>
  <c r="AY77" i="13"/>
  <c r="AY76" i="13"/>
  <c r="AY70" i="13"/>
  <c r="AY80" i="13" s="1"/>
  <c r="AY65" i="13"/>
  <c r="AY47" i="13"/>
  <c r="AY44" i="13"/>
  <c r="AY43" i="13"/>
  <c r="AY41" i="13"/>
  <c r="AY40" i="13"/>
  <c r="AY39" i="13"/>
  <c r="AY38" i="13"/>
  <c r="AY30" i="13"/>
  <c r="AY42" i="13" s="1"/>
  <c r="AY25" i="13"/>
  <c r="AX82" i="13"/>
  <c r="AX81" i="13"/>
  <c r="AX79" i="13"/>
  <c r="AX78" i="13"/>
  <c r="AX77" i="13"/>
  <c r="AX76" i="13"/>
  <c r="AX70" i="13"/>
  <c r="AX80" i="13" s="1"/>
  <c r="AX65" i="13"/>
  <c r="AX47" i="13"/>
  <c r="AX44" i="13"/>
  <c r="AX43" i="13"/>
  <c r="AX41" i="13"/>
  <c r="AX40" i="13"/>
  <c r="AX39" i="13"/>
  <c r="AX38" i="13"/>
  <c r="AX30" i="13"/>
  <c r="AX36" i="13" s="1"/>
  <c r="AX25" i="13"/>
  <c r="AW82" i="13"/>
  <c r="AW81" i="13"/>
  <c r="AW79" i="13"/>
  <c r="AW78" i="13"/>
  <c r="AW77" i="13"/>
  <c r="AW76" i="13"/>
  <c r="AW70" i="13"/>
  <c r="AW74" i="13" s="1"/>
  <c r="AW65" i="13"/>
  <c r="AW47" i="13"/>
  <c r="AW44" i="13"/>
  <c r="AW43" i="13"/>
  <c r="AW41" i="13"/>
  <c r="AW40" i="13"/>
  <c r="AW39" i="13"/>
  <c r="AW38" i="13"/>
  <c r="AW30" i="13"/>
  <c r="AW36" i="13" s="1"/>
  <c r="AW25" i="13"/>
  <c r="AV82" i="13"/>
  <c r="AV81" i="13"/>
  <c r="AV79" i="13"/>
  <c r="AV78" i="13"/>
  <c r="AV77" i="13"/>
  <c r="AV76" i="13"/>
  <c r="AV70" i="13"/>
  <c r="AV74" i="13" s="1"/>
  <c r="AV65" i="13"/>
  <c r="AV47" i="13"/>
  <c r="AV44" i="13"/>
  <c r="AV43" i="13"/>
  <c r="AV41" i="13"/>
  <c r="AV40" i="13"/>
  <c r="AV39" i="13"/>
  <c r="AV38" i="13"/>
  <c r="AV30" i="13"/>
  <c r="AV36" i="13" s="1"/>
  <c r="AV25" i="13"/>
  <c r="AU82" i="13"/>
  <c r="AU81" i="13"/>
  <c r="AU79" i="13"/>
  <c r="AU78" i="13"/>
  <c r="AU77" i="13"/>
  <c r="AU76" i="13"/>
  <c r="AU70" i="13"/>
  <c r="AU80" i="13" s="1"/>
  <c r="AU65" i="13"/>
  <c r="AU47" i="13"/>
  <c r="AU44" i="13"/>
  <c r="AU43" i="13"/>
  <c r="AU41" i="13"/>
  <c r="AU40" i="13"/>
  <c r="AU39" i="13"/>
  <c r="AU38" i="13"/>
  <c r="AU30" i="13"/>
  <c r="AU36" i="13" s="1"/>
  <c r="AU25" i="13"/>
  <c r="Y21" i="13" a="1"/>
  <c r="Y21" i="13" s="1"/>
  <c r="AT82" i="13"/>
  <c r="AT81" i="13"/>
  <c r="AT79" i="13"/>
  <c r="AT78" i="13"/>
  <c r="AT77" i="13"/>
  <c r="AT76" i="13"/>
  <c r="AT70" i="13"/>
  <c r="AT80" i="13" s="1"/>
  <c r="AT65" i="13"/>
  <c r="AT47" i="13"/>
  <c r="AT44" i="13"/>
  <c r="AT43" i="13"/>
  <c r="AT41" i="13"/>
  <c r="AT40" i="13"/>
  <c r="AT39" i="13"/>
  <c r="AT38" i="13"/>
  <c r="AT30" i="13"/>
  <c r="AT36" i="13" s="1"/>
  <c r="AT25" i="13"/>
  <c r="AS82" i="13"/>
  <c r="AS81" i="13"/>
  <c r="AS79" i="13"/>
  <c r="AS78" i="13"/>
  <c r="AS77" i="13"/>
  <c r="AS76" i="13"/>
  <c r="AS70" i="13"/>
  <c r="AS80" i="13" s="1"/>
  <c r="AS65" i="13"/>
  <c r="AS47" i="13"/>
  <c r="AS44" i="13"/>
  <c r="AS43" i="13"/>
  <c r="AS41" i="13"/>
  <c r="AS40" i="13"/>
  <c r="AS39" i="13"/>
  <c r="AS38" i="13"/>
  <c r="AS30" i="13"/>
  <c r="AS36" i="13" s="1"/>
  <c r="AS25" i="13"/>
  <c r="AR82" i="13"/>
  <c r="AR81" i="13"/>
  <c r="AR79" i="13"/>
  <c r="AR78" i="13"/>
  <c r="AR77" i="13"/>
  <c r="AR76" i="13"/>
  <c r="AR70" i="13"/>
  <c r="AR74" i="13" s="1"/>
  <c r="AR65" i="13"/>
  <c r="AR47" i="13"/>
  <c r="AR44" i="13"/>
  <c r="AR43" i="13"/>
  <c r="AR41" i="13"/>
  <c r="AR40" i="13"/>
  <c r="AR39" i="13"/>
  <c r="AR38" i="13"/>
  <c r="AR30" i="13"/>
  <c r="AR36" i="13" s="1"/>
  <c r="AR25" i="13"/>
  <c r="AQ82" i="13"/>
  <c r="AQ81" i="13"/>
  <c r="AQ79" i="13"/>
  <c r="AQ78" i="13"/>
  <c r="AQ77" i="13"/>
  <c r="AQ76" i="13"/>
  <c r="AQ70" i="13"/>
  <c r="AQ80" i="13" s="1"/>
  <c r="AQ65" i="13"/>
  <c r="AQ47" i="13"/>
  <c r="AQ44" i="13"/>
  <c r="AQ43" i="13"/>
  <c r="AQ41" i="13"/>
  <c r="AQ40" i="13"/>
  <c r="AQ39" i="13"/>
  <c r="AQ38" i="13"/>
  <c r="AQ30" i="13"/>
  <c r="AQ36" i="13" s="1"/>
  <c r="AQ25" i="13"/>
  <c r="AP82" i="13"/>
  <c r="AP81" i="13"/>
  <c r="AP79" i="13"/>
  <c r="AP78" i="13"/>
  <c r="AP77" i="13"/>
  <c r="AP76" i="13"/>
  <c r="AP70" i="13"/>
  <c r="AP80" i="13" s="1"/>
  <c r="AP65" i="13"/>
  <c r="AP47" i="13"/>
  <c r="AP44" i="13"/>
  <c r="AP43" i="13"/>
  <c r="AP41" i="13"/>
  <c r="AP40" i="13"/>
  <c r="AP39" i="13"/>
  <c r="AP38" i="13"/>
  <c r="AP30" i="13"/>
  <c r="AP36" i="13" s="1"/>
  <c r="AP25" i="13"/>
  <c r="AO82" i="13"/>
  <c r="AO81" i="13"/>
  <c r="AO79" i="13"/>
  <c r="AO78" i="13"/>
  <c r="AO77" i="13"/>
  <c r="AO76" i="13"/>
  <c r="AO70" i="13"/>
  <c r="AO74" i="13" s="1"/>
  <c r="AO65" i="13"/>
  <c r="AO47" i="13"/>
  <c r="AO44" i="13"/>
  <c r="AO43" i="13"/>
  <c r="AO41" i="13"/>
  <c r="AO40" i="13"/>
  <c r="AO39" i="13"/>
  <c r="AO38" i="13"/>
  <c r="AO30" i="13"/>
  <c r="AO36" i="13" s="1"/>
  <c r="AO25" i="13"/>
  <c r="AN82" i="13"/>
  <c r="AN81" i="13"/>
  <c r="AN79" i="13"/>
  <c r="AN78" i="13"/>
  <c r="AN77" i="13"/>
  <c r="AN76" i="13"/>
  <c r="AN70" i="13"/>
  <c r="AN74" i="13" s="1"/>
  <c r="AN65" i="13"/>
  <c r="AN47" i="13"/>
  <c r="AN44" i="13"/>
  <c r="AN43" i="13"/>
  <c r="AN41" i="13"/>
  <c r="AN40" i="13"/>
  <c r="AN39" i="13"/>
  <c r="AN38" i="13"/>
  <c r="AN30" i="13"/>
  <c r="AN36" i="13" s="1"/>
  <c r="AN25" i="13"/>
  <c r="AM82" i="13"/>
  <c r="AM81" i="13"/>
  <c r="AM79" i="13"/>
  <c r="AM78" i="13"/>
  <c r="AM77" i="13"/>
  <c r="AM76" i="13"/>
  <c r="AM70" i="13"/>
  <c r="AM80" i="13" s="1"/>
  <c r="AM65" i="13"/>
  <c r="AM47" i="13"/>
  <c r="AM44" i="13"/>
  <c r="AM43" i="13"/>
  <c r="AM41" i="13"/>
  <c r="AM40" i="13"/>
  <c r="AM39" i="13"/>
  <c r="AM38" i="13"/>
  <c r="AM30" i="13"/>
  <c r="AM36" i="13" s="1"/>
  <c r="AM25" i="13"/>
  <c r="AL82" i="13"/>
  <c r="AL81" i="13"/>
  <c r="AL79" i="13"/>
  <c r="AL78" i="13"/>
  <c r="AL77" i="13"/>
  <c r="AL76" i="13"/>
  <c r="AL70" i="13"/>
  <c r="AL74" i="13" s="1"/>
  <c r="AL65" i="13"/>
  <c r="AL47" i="13"/>
  <c r="AL44" i="13"/>
  <c r="AL43" i="13"/>
  <c r="AL41" i="13"/>
  <c r="AL40" i="13"/>
  <c r="AL39" i="13"/>
  <c r="AL38" i="13"/>
  <c r="AL30" i="13"/>
  <c r="AL36" i="13" s="1"/>
  <c r="AL25" i="13"/>
  <c r="AK82" i="13"/>
  <c r="AK81" i="13"/>
  <c r="AK79" i="13"/>
  <c r="AK78" i="13"/>
  <c r="AK77" i="13"/>
  <c r="AK76" i="13"/>
  <c r="AK70" i="13"/>
  <c r="AK74" i="13" s="1"/>
  <c r="AK65" i="13"/>
  <c r="AK47" i="13"/>
  <c r="AK44" i="13"/>
  <c r="AK43" i="13"/>
  <c r="AK41" i="13"/>
  <c r="AK40" i="13"/>
  <c r="AK39" i="13"/>
  <c r="AK38" i="13"/>
  <c r="AK30" i="13"/>
  <c r="AK42" i="13" s="1"/>
  <c r="AK25" i="13"/>
  <c r="AJ82" i="13"/>
  <c r="AJ81" i="13"/>
  <c r="AJ79" i="13"/>
  <c r="AJ78" i="13"/>
  <c r="AJ77" i="13"/>
  <c r="AJ76" i="13"/>
  <c r="AJ70" i="13"/>
  <c r="AJ74" i="13" s="1"/>
  <c r="AJ65" i="13"/>
  <c r="AJ47" i="13"/>
  <c r="AJ44" i="13"/>
  <c r="AJ43" i="13"/>
  <c r="AJ41" i="13"/>
  <c r="AJ40" i="13"/>
  <c r="AJ39" i="13"/>
  <c r="AJ38" i="13"/>
  <c r="AJ30" i="13"/>
  <c r="AJ36" i="13" s="1"/>
  <c r="AJ25" i="13"/>
  <c r="AI82" i="13"/>
  <c r="AI81" i="13"/>
  <c r="AI79" i="13"/>
  <c r="AI78" i="13"/>
  <c r="AI77" i="13"/>
  <c r="AI76" i="13"/>
  <c r="AI70" i="13"/>
  <c r="AI80" i="13" s="1"/>
  <c r="AI65" i="13"/>
  <c r="AI47" i="13"/>
  <c r="AI44" i="13"/>
  <c r="AI43" i="13"/>
  <c r="AI41" i="13"/>
  <c r="AI40" i="13"/>
  <c r="AI39" i="13"/>
  <c r="AI38" i="13"/>
  <c r="AI30" i="13"/>
  <c r="AI36" i="13" s="1"/>
  <c r="AI25" i="13"/>
  <c r="AH82" i="13"/>
  <c r="AH81" i="13"/>
  <c r="AH79" i="13"/>
  <c r="AH78" i="13"/>
  <c r="AH77" i="13"/>
  <c r="AH76" i="13"/>
  <c r="AH70" i="13"/>
  <c r="AH74" i="13" s="1"/>
  <c r="AH65" i="13"/>
  <c r="AH47" i="13"/>
  <c r="AH44" i="13"/>
  <c r="AH43" i="13"/>
  <c r="AH41" i="13"/>
  <c r="AH40" i="13"/>
  <c r="AH39" i="13"/>
  <c r="AH38" i="13"/>
  <c r="AH30" i="13"/>
  <c r="AH42" i="13" s="1"/>
  <c r="AH25" i="13"/>
  <c r="AG82" i="13"/>
  <c r="AG81" i="13"/>
  <c r="AG79" i="13"/>
  <c r="AG78" i="13"/>
  <c r="AG77" i="13"/>
  <c r="AG76" i="13"/>
  <c r="AG70" i="13"/>
  <c r="AG80" i="13" s="1"/>
  <c r="AG65" i="13"/>
  <c r="AG47" i="13"/>
  <c r="AG44" i="13"/>
  <c r="AG43" i="13"/>
  <c r="AG41" i="13"/>
  <c r="AG40" i="13"/>
  <c r="AG39" i="13"/>
  <c r="AG38" i="13"/>
  <c r="AG30" i="13"/>
  <c r="AG36" i="13" s="1"/>
  <c r="AG25" i="13"/>
  <c r="AF82" i="13"/>
  <c r="AF81" i="13"/>
  <c r="AF79" i="13"/>
  <c r="AF78" i="13"/>
  <c r="AF77" i="13"/>
  <c r="AF76" i="13"/>
  <c r="AF70" i="13"/>
  <c r="AF80" i="13" s="1"/>
  <c r="AF65" i="13"/>
  <c r="AF47" i="13"/>
  <c r="AF44" i="13"/>
  <c r="AF43" i="13"/>
  <c r="AF41" i="13"/>
  <c r="AF40" i="13"/>
  <c r="AF39" i="13"/>
  <c r="AF38" i="13"/>
  <c r="AF30" i="13"/>
  <c r="AF36" i="13" s="1"/>
  <c r="AF25" i="13"/>
  <c r="AE82" i="13"/>
  <c r="AE81" i="13"/>
  <c r="AE79" i="13"/>
  <c r="AE78" i="13"/>
  <c r="AE77" i="13"/>
  <c r="AE76" i="13"/>
  <c r="AE70" i="13"/>
  <c r="AE74" i="13" s="1"/>
  <c r="AE65" i="13"/>
  <c r="AE47" i="13"/>
  <c r="AE44" i="13"/>
  <c r="AE43" i="13"/>
  <c r="AE41" i="13"/>
  <c r="AE40" i="13"/>
  <c r="AE39" i="13"/>
  <c r="AE38" i="13"/>
  <c r="AE30" i="13"/>
  <c r="AE42" i="13" s="1"/>
  <c r="AE25" i="13"/>
  <c r="AD82" i="13"/>
  <c r="AD81" i="13"/>
  <c r="AD79" i="13"/>
  <c r="AD78" i="13"/>
  <c r="AD77" i="13"/>
  <c r="AD76" i="13"/>
  <c r="AD70" i="13"/>
  <c r="AD80" i="13" s="1"/>
  <c r="AD65" i="13"/>
  <c r="AD47" i="13"/>
  <c r="AD44" i="13"/>
  <c r="AD43" i="13"/>
  <c r="AD41" i="13"/>
  <c r="AD40" i="13"/>
  <c r="AD39" i="13"/>
  <c r="AD38" i="13"/>
  <c r="AD30" i="13"/>
  <c r="AD36" i="13" s="1"/>
  <c r="AD25" i="13"/>
  <c r="AC82" i="13"/>
  <c r="AC81" i="13"/>
  <c r="AC79" i="13"/>
  <c r="AC78" i="13"/>
  <c r="AC77" i="13"/>
  <c r="AC76" i="13"/>
  <c r="AC70" i="13"/>
  <c r="AC74" i="13" s="1"/>
  <c r="AC65" i="13"/>
  <c r="AC47" i="13"/>
  <c r="AC44" i="13"/>
  <c r="AC43" i="13"/>
  <c r="AC41" i="13"/>
  <c r="AC40" i="13"/>
  <c r="AC39" i="13"/>
  <c r="AC38" i="13"/>
  <c r="AC30" i="13"/>
  <c r="AC36" i="13" s="1"/>
  <c r="AC25" i="13"/>
  <c r="AB82" i="13"/>
  <c r="AB81" i="13"/>
  <c r="AB79" i="13"/>
  <c r="AB78" i="13"/>
  <c r="AB77" i="13"/>
  <c r="AB76" i="13"/>
  <c r="AB70" i="13"/>
  <c r="AB74" i="13" s="1"/>
  <c r="AB65" i="13"/>
  <c r="AB47" i="13"/>
  <c r="AB44" i="13"/>
  <c r="AB43" i="13"/>
  <c r="AB41" i="13"/>
  <c r="AB40" i="13"/>
  <c r="AB39" i="13"/>
  <c r="AB38" i="13"/>
  <c r="AB30" i="13"/>
  <c r="AB36" i="13" s="1"/>
  <c r="AB25" i="13"/>
  <c r="AA82" i="13"/>
  <c r="AA81" i="13"/>
  <c r="AA79" i="13"/>
  <c r="AA78" i="13"/>
  <c r="AA77" i="13"/>
  <c r="AA76" i="13"/>
  <c r="AA70" i="13"/>
  <c r="AA74" i="13" s="1"/>
  <c r="AA65" i="13"/>
  <c r="AA47" i="13"/>
  <c r="AA44" i="13"/>
  <c r="AA43" i="13"/>
  <c r="AA41" i="13"/>
  <c r="AA40" i="13"/>
  <c r="AA39" i="13"/>
  <c r="AA38" i="13"/>
  <c r="AA30" i="13"/>
  <c r="AA36" i="13" s="1"/>
  <c r="AA25" i="13"/>
  <c r="Z82" i="13"/>
  <c r="Z81" i="13"/>
  <c r="Z79" i="13"/>
  <c r="Z78" i="13"/>
  <c r="Z77" i="13"/>
  <c r="Z76" i="13"/>
  <c r="Z70" i="13"/>
  <c r="Z80" i="13" s="1"/>
  <c r="Z65" i="13"/>
  <c r="Z47" i="13"/>
  <c r="Z44" i="13"/>
  <c r="Z43" i="13"/>
  <c r="Z41" i="13"/>
  <c r="Z40" i="13"/>
  <c r="Z39" i="13"/>
  <c r="Z38" i="13"/>
  <c r="Z30" i="13"/>
  <c r="Z36" i="13" s="1"/>
  <c r="Z25" i="13"/>
  <c r="Y82" i="13"/>
  <c r="Y81" i="13"/>
  <c r="Y79" i="13"/>
  <c r="Y78" i="13"/>
  <c r="Y77" i="13"/>
  <c r="Y76" i="13"/>
  <c r="Y70" i="13"/>
  <c r="Y80" i="13" s="1"/>
  <c r="Y65" i="13"/>
  <c r="Y47" i="13"/>
  <c r="Y44" i="13"/>
  <c r="Y43" i="13"/>
  <c r="Y41" i="13"/>
  <c r="Y40" i="13"/>
  <c r="Y39" i="13"/>
  <c r="Y38" i="13"/>
  <c r="Y30" i="13"/>
  <c r="Y36" i="13" s="1"/>
  <c r="Y25" i="13"/>
  <c r="E21" i="13" a="1"/>
  <c r="E21" i="13" s="1"/>
  <c r="X82" i="13"/>
  <c r="X81" i="13"/>
  <c r="X79" i="13"/>
  <c r="X78" i="13"/>
  <c r="X77" i="13"/>
  <c r="X76" i="13"/>
  <c r="X70" i="13"/>
  <c r="X74" i="13" s="1"/>
  <c r="X65" i="13"/>
  <c r="X47" i="13"/>
  <c r="X44" i="13"/>
  <c r="X43" i="13"/>
  <c r="X41" i="13"/>
  <c r="X40" i="13"/>
  <c r="X39" i="13"/>
  <c r="X38" i="13"/>
  <c r="X30" i="13"/>
  <c r="X36" i="13" s="1"/>
  <c r="X25" i="13"/>
  <c r="W82" i="13"/>
  <c r="W81" i="13"/>
  <c r="W79" i="13"/>
  <c r="W78" i="13"/>
  <c r="W77" i="13"/>
  <c r="W76" i="13"/>
  <c r="W70" i="13"/>
  <c r="W74" i="13" s="1"/>
  <c r="W65" i="13"/>
  <c r="W47" i="13"/>
  <c r="W44" i="13"/>
  <c r="W43" i="13"/>
  <c r="W41" i="13"/>
  <c r="W40" i="13"/>
  <c r="W39" i="13"/>
  <c r="W38" i="13"/>
  <c r="W30" i="13"/>
  <c r="W36" i="13" s="1"/>
  <c r="W25" i="13"/>
  <c r="V82" i="13"/>
  <c r="V81" i="13"/>
  <c r="V79" i="13"/>
  <c r="V78" i="13"/>
  <c r="V77" i="13"/>
  <c r="V76" i="13"/>
  <c r="V70" i="13"/>
  <c r="V74" i="13" s="1"/>
  <c r="V65" i="13"/>
  <c r="V47" i="13"/>
  <c r="V44" i="13"/>
  <c r="V43" i="13"/>
  <c r="V41" i="13"/>
  <c r="V40" i="13"/>
  <c r="V39" i="13"/>
  <c r="V38" i="13"/>
  <c r="V30" i="13"/>
  <c r="V42" i="13" s="1"/>
  <c r="V25" i="13"/>
  <c r="U82" i="13"/>
  <c r="U81" i="13"/>
  <c r="U79" i="13"/>
  <c r="U78" i="13"/>
  <c r="U77" i="13"/>
  <c r="U76" i="13"/>
  <c r="U70" i="13"/>
  <c r="U74" i="13" s="1"/>
  <c r="U65" i="13"/>
  <c r="U47" i="13"/>
  <c r="U44" i="13"/>
  <c r="U43" i="13"/>
  <c r="U41" i="13"/>
  <c r="U40" i="13"/>
  <c r="U39" i="13"/>
  <c r="U38" i="13"/>
  <c r="U30" i="13"/>
  <c r="U36" i="13" s="1"/>
  <c r="U25" i="13"/>
  <c r="T82" i="13"/>
  <c r="T81" i="13"/>
  <c r="T79" i="13"/>
  <c r="T78" i="13"/>
  <c r="T77" i="13"/>
  <c r="T76" i="13"/>
  <c r="T70" i="13"/>
  <c r="T80" i="13" s="1"/>
  <c r="T65" i="13"/>
  <c r="T47" i="13"/>
  <c r="T44" i="13"/>
  <c r="T43" i="13"/>
  <c r="T41" i="13"/>
  <c r="T40" i="13"/>
  <c r="T39" i="13"/>
  <c r="T38" i="13"/>
  <c r="T30" i="13"/>
  <c r="T36" i="13" s="1"/>
  <c r="T25" i="13"/>
  <c r="S82" i="13"/>
  <c r="S81" i="13"/>
  <c r="S79" i="13"/>
  <c r="S78" i="13"/>
  <c r="S77" i="13"/>
  <c r="S76" i="13"/>
  <c r="S70" i="13"/>
  <c r="S80" i="13" s="1"/>
  <c r="S65" i="13"/>
  <c r="S47" i="13"/>
  <c r="S44" i="13"/>
  <c r="S43" i="13"/>
  <c r="S41" i="13"/>
  <c r="S40" i="13"/>
  <c r="S39" i="13"/>
  <c r="S38" i="13"/>
  <c r="S30" i="13"/>
  <c r="S42" i="13" s="1"/>
  <c r="S25" i="13"/>
  <c r="R82" i="13"/>
  <c r="R81" i="13"/>
  <c r="R79" i="13"/>
  <c r="R78" i="13"/>
  <c r="R77" i="13"/>
  <c r="R76" i="13"/>
  <c r="R70" i="13"/>
  <c r="R80" i="13" s="1"/>
  <c r="R65" i="13"/>
  <c r="R47" i="13"/>
  <c r="R44" i="13"/>
  <c r="R43" i="13"/>
  <c r="R41" i="13"/>
  <c r="R40" i="13"/>
  <c r="R39" i="13"/>
  <c r="R38" i="13"/>
  <c r="R30" i="13"/>
  <c r="R36" i="13" s="1"/>
  <c r="R25" i="13"/>
  <c r="Q82" i="13"/>
  <c r="Q81" i="13"/>
  <c r="Q79" i="13"/>
  <c r="Q78" i="13"/>
  <c r="Q77" i="13"/>
  <c r="Q76" i="13"/>
  <c r="Q70" i="13"/>
  <c r="Q80" i="13" s="1"/>
  <c r="Q65" i="13"/>
  <c r="Q47" i="13"/>
  <c r="Q44" i="13"/>
  <c r="Q43" i="13"/>
  <c r="Q41" i="13"/>
  <c r="Q40" i="13"/>
  <c r="Q39" i="13"/>
  <c r="Q38" i="13"/>
  <c r="Q30" i="13"/>
  <c r="Q36" i="13" s="1"/>
  <c r="Q25" i="13"/>
  <c r="P82" i="13"/>
  <c r="P81" i="13"/>
  <c r="P79" i="13"/>
  <c r="P78" i="13"/>
  <c r="P77" i="13"/>
  <c r="P76" i="13"/>
  <c r="P70" i="13"/>
  <c r="P80" i="13" s="1"/>
  <c r="P65" i="13"/>
  <c r="P47" i="13"/>
  <c r="P44" i="13"/>
  <c r="P43" i="13"/>
  <c r="P41" i="13"/>
  <c r="P40" i="13"/>
  <c r="P39" i="13"/>
  <c r="P38" i="13"/>
  <c r="P30" i="13"/>
  <c r="P36" i="13" s="1"/>
  <c r="P25" i="13"/>
  <c r="O82" i="13"/>
  <c r="O81" i="13"/>
  <c r="O79" i="13"/>
  <c r="O78" i="13"/>
  <c r="O77" i="13"/>
  <c r="O76" i="13"/>
  <c r="O70" i="13"/>
  <c r="O80" i="13" s="1"/>
  <c r="O65" i="13"/>
  <c r="O47" i="13"/>
  <c r="O44" i="13"/>
  <c r="O43" i="13"/>
  <c r="O41" i="13"/>
  <c r="O40" i="13"/>
  <c r="O39" i="13"/>
  <c r="O38" i="13"/>
  <c r="O30" i="13"/>
  <c r="O36" i="13" s="1"/>
  <c r="O25" i="13"/>
  <c r="N82" i="13"/>
  <c r="N81" i="13"/>
  <c r="N79" i="13"/>
  <c r="N78" i="13"/>
  <c r="N77" i="13"/>
  <c r="N76" i="13"/>
  <c r="N70" i="13"/>
  <c r="N74" i="13" s="1"/>
  <c r="N65" i="13"/>
  <c r="N47" i="13"/>
  <c r="N44" i="13"/>
  <c r="N43" i="13"/>
  <c r="N41" i="13"/>
  <c r="N40" i="13"/>
  <c r="N39" i="13"/>
  <c r="N38" i="13"/>
  <c r="N30" i="13"/>
  <c r="N36" i="13" s="1"/>
  <c r="N25" i="13"/>
  <c r="M82" i="13"/>
  <c r="M81" i="13"/>
  <c r="M79" i="13"/>
  <c r="M78" i="13"/>
  <c r="M77" i="13"/>
  <c r="M76" i="13"/>
  <c r="M70" i="13"/>
  <c r="M74" i="13" s="1"/>
  <c r="M65" i="13"/>
  <c r="M47" i="13"/>
  <c r="M44" i="13"/>
  <c r="M43" i="13"/>
  <c r="M41" i="13"/>
  <c r="M40" i="13"/>
  <c r="M39" i="13"/>
  <c r="M38" i="13"/>
  <c r="M30" i="13"/>
  <c r="M36" i="13" s="1"/>
  <c r="M25" i="13"/>
  <c r="L82" i="13"/>
  <c r="L81" i="13"/>
  <c r="L79" i="13"/>
  <c r="L78" i="13"/>
  <c r="L77" i="13"/>
  <c r="L76" i="13"/>
  <c r="L70" i="13"/>
  <c r="L80" i="13" s="1"/>
  <c r="L65" i="13"/>
  <c r="L47" i="13"/>
  <c r="L44" i="13"/>
  <c r="L43" i="13"/>
  <c r="L41" i="13"/>
  <c r="L40" i="13"/>
  <c r="L39" i="13"/>
  <c r="L38" i="13"/>
  <c r="L30" i="13"/>
  <c r="L36" i="13" s="1"/>
  <c r="L25" i="13"/>
  <c r="K82" i="13"/>
  <c r="K81" i="13"/>
  <c r="K79" i="13"/>
  <c r="K78" i="13"/>
  <c r="K77" i="13"/>
  <c r="K76" i="13"/>
  <c r="K70" i="13"/>
  <c r="K74" i="13" s="1"/>
  <c r="K65" i="13"/>
  <c r="K47" i="13"/>
  <c r="K44" i="13"/>
  <c r="K43" i="13"/>
  <c r="K41" i="13"/>
  <c r="K40" i="13"/>
  <c r="K39" i="13"/>
  <c r="K38" i="13"/>
  <c r="K30" i="13"/>
  <c r="K36" i="13" s="1"/>
  <c r="K25" i="13"/>
  <c r="J82" i="13"/>
  <c r="J81" i="13"/>
  <c r="J79" i="13"/>
  <c r="J78" i="13"/>
  <c r="J77" i="13"/>
  <c r="J76" i="13"/>
  <c r="J70" i="13"/>
  <c r="J80" i="13" s="1"/>
  <c r="J65" i="13"/>
  <c r="J47" i="13"/>
  <c r="J44" i="13"/>
  <c r="J43" i="13"/>
  <c r="J41" i="13"/>
  <c r="J40" i="13"/>
  <c r="J39" i="13"/>
  <c r="J38" i="13"/>
  <c r="J30" i="13"/>
  <c r="J42" i="13" s="1"/>
  <c r="J25" i="13"/>
  <c r="I82" i="13"/>
  <c r="I81" i="13"/>
  <c r="I79" i="13"/>
  <c r="I78" i="13"/>
  <c r="I77" i="13"/>
  <c r="I76" i="13"/>
  <c r="I70" i="13"/>
  <c r="I80" i="13" s="1"/>
  <c r="I65" i="13"/>
  <c r="I47" i="13"/>
  <c r="I44" i="13"/>
  <c r="I43" i="13"/>
  <c r="I41" i="13"/>
  <c r="I40" i="13"/>
  <c r="I39" i="13"/>
  <c r="I38" i="13"/>
  <c r="I30" i="13"/>
  <c r="I36" i="13" s="1"/>
  <c r="I25" i="13"/>
  <c r="H82" i="13"/>
  <c r="H81" i="13"/>
  <c r="H79" i="13"/>
  <c r="H78" i="13"/>
  <c r="H77" i="13"/>
  <c r="H76" i="13"/>
  <c r="H70" i="13"/>
  <c r="H80" i="13" s="1"/>
  <c r="H65" i="13"/>
  <c r="H47" i="13"/>
  <c r="H44" i="13"/>
  <c r="H43" i="13"/>
  <c r="H41" i="13"/>
  <c r="H40" i="13"/>
  <c r="H39" i="13"/>
  <c r="H38" i="13"/>
  <c r="H30" i="13"/>
  <c r="H36" i="13" s="1"/>
  <c r="H25" i="13"/>
  <c r="G82" i="13"/>
  <c r="G81" i="13"/>
  <c r="G79" i="13"/>
  <c r="G78" i="13"/>
  <c r="G77" i="13"/>
  <c r="G76" i="13"/>
  <c r="G70" i="13"/>
  <c r="G80" i="13" s="1"/>
  <c r="G65" i="13"/>
  <c r="G47" i="13"/>
  <c r="G44" i="13"/>
  <c r="G43" i="13"/>
  <c r="G41" i="13"/>
  <c r="G40" i="13"/>
  <c r="G39" i="13"/>
  <c r="G38" i="13"/>
  <c r="G30" i="13"/>
  <c r="G36" i="13" s="1"/>
  <c r="G25" i="13"/>
  <c r="F82" i="13"/>
  <c r="F81" i="13"/>
  <c r="F79" i="13"/>
  <c r="F78" i="13"/>
  <c r="F77" i="13"/>
  <c r="F76" i="13"/>
  <c r="F70" i="13"/>
  <c r="F74" i="13" s="1"/>
  <c r="F65" i="13"/>
  <c r="F47" i="13"/>
  <c r="F44" i="13"/>
  <c r="F43" i="13"/>
  <c r="F41" i="13"/>
  <c r="F40" i="13"/>
  <c r="F39" i="13"/>
  <c r="F38" i="13"/>
  <c r="F30" i="13"/>
  <c r="F36" i="13" s="1"/>
  <c r="F25" i="13"/>
  <c r="E82" i="13"/>
  <c r="E81" i="13"/>
  <c r="E79" i="13"/>
  <c r="E78" i="13"/>
  <c r="E77" i="13"/>
  <c r="E76" i="13"/>
  <c r="E70" i="13"/>
  <c r="E80" i="13" s="1"/>
  <c r="E65" i="13"/>
  <c r="E61" i="13"/>
  <c r="E60" i="13"/>
  <c r="E59" i="13"/>
  <c r="E48" i="13"/>
  <c r="E57" i="13" s="1"/>
  <c r="E47" i="13"/>
  <c r="E44" i="13"/>
  <c r="E43" i="13"/>
  <c r="E41" i="13"/>
  <c r="E40" i="13"/>
  <c r="E39" i="13"/>
  <c r="E38" i="13"/>
  <c r="E30" i="13"/>
  <c r="E36" i="13" s="1"/>
  <c r="E25" i="13"/>
  <c r="BD74" i="13" l="1"/>
  <c r="BE74" i="13"/>
  <c r="BF74" i="13"/>
  <c r="D39" i="13"/>
  <c r="D40" i="13"/>
  <c r="D42" i="13"/>
  <c r="D36" i="13"/>
  <c r="D38" i="13"/>
  <c r="BF57" i="13"/>
  <c r="BF62" i="13" s="1"/>
  <c r="BE57" i="13"/>
  <c r="BE62" i="13" s="1"/>
  <c r="BF42" i="13"/>
  <c r="BC36" i="13"/>
  <c r="BC74" i="13"/>
  <c r="BE42" i="13"/>
  <c r="BD57" i="13"/>
  <c r="BD62" i="13" s="1"/>
  <c r="BD42" i="13"/>
  <c r="BB36" i="13"/>
  <c r="BA74" i="13"/>
  <c r="BC57" i="13"/>
  <c r="BC62" i="13" s="1"/>
  <c r="BB74" i="13"/>
  <c r="BB57" i="13"/>
  <c r="BB62" i="13" s="1"/>
  <c r="BA57" i="13"/>
  <c r="BA62" i="13" s="1"/>
  <c r="AZ42" i="13"/>
  <c r="BA42" i="13"/>
  <c r="AZ80" i="13"/>
  <c r="AW42" i="13"/>
  <c r="AZ57" i="13"/>
  <c r="AZ62" i="13" s="1"/>
  <c r="AY36" i="13"/>
  <c r="AY74" i="13"/>
  <c r="AY57" i="13"/>
  <c r="AY62" i="13" s="1"/>
  <c r="AX74" i="13"/>
  <c r="AX57" i="13"/>
  <c r="AX62" i="13" s="1"/>
  <c r="AW80" i="13"/>
  <c r="AX42" i="13"/>
  <c r="AW57" i="13"/>
  <c r="AW62" i="13" s="1"/>
  <c r="AV80" i="13"/>
  <c r="AV57" i="13"/>
  <c r="AV62" i="13" s="1"/>
  <c r="AV42" i="13"/>
  <c r="AU74" i="13"/>
  <c r="AU57" i="13"/>
  <c r="AU62" i="13" s="1"/>
  <c r="AU42" i="13"/>
  <c r="AT42" i="13"/>
  <c r="AS74" i="13"/>
  <c r="AT74" i="13"/>
  <c r="AT57" i="13"/>
  <c r="AT62" i="13" s="1"/>
  <c r="AS57" i="13"/>
  <c r="AS62" i="13" s="1"/>
  <c r="AR80" i="13"/>
  <c r="AS42" i="13"/>
  <c r="AR57" i="13"/>
  <c r="AR62" i="13" s="1"/>
  <c r="AR42" i="13"/>
  <c r="AQ74" i="13"/>
  <c r="AQ57" i="13"/>
  <c r="AQ62" i="13" s="1"/>
  <c r="AQ42" i="13"/>
  <c r="AP74" i="13"/>
  <c r="AP57" i="13"/>
  <c r="AP62" i="13" s="1"/>
  <c r="AO80" i="13"/>
  <c r="AL80" i="13"/>
  <c r="AP42" i="13"/>
  <c r="AO57" i="13"/>
  <c r="AO62" i="13" s="1"/>
  <c r="AN80" i="13"/>
  <c r="AO42" i="13"/>
  <c r="AN57" i="13"/>
  <c r="AN62" i="13" s="1"/>
  <c r="AN42" i="13"/>
  <c r="AM74" i="13"/>
  <c r="AK36" i="13"/>
  <c r="AM57" i="13"/>
  <c r="AM62" i="13" s="1"/>
  <c r="AM42" i="13"/>
  <c r="AL57" i="13"/>
  <c r="AL62" i="13" s="1"/>
  <c r="AI42" i="13"/>
  <c r="AK80" i="13"/>
  <c r="AL42" i="13"/>
  <c r="AK57" i="13"/>
  <c r="AK62" i="13" s="1"/>
  <c r="AJ80" i="13"/>
  <c r="AH36" i="13"/>
  <c r="AJ57" i="13"/>
  <c r="AJ62" i="13" s="1"/>
  <c r="AJ42" i="13"/>
  <c r="AI74" i="13"/>
  <c r="AI57" i="13"/>
  <c r="AI62" i="13" s="1"/>
  <c r="AH80" i="13"/>
  <c r="AD74" i="13"/>
  <c r="AH57" i="13"/>
  <c r="AH62" i="13" s="1"/>
  <c r="AG74" i="13"/>
  <c r="AG57" i="13"/>
  <c r="AG62" i="13" s="1"/>
  <c r="AG42" i="13"/>
  <c r="AF74" i="13"/>
  <c r="AF57" i="13"/>
  <c r="AF62" i="13" s="1"/>
  <c r="AE80" i="13"/>
  <c r="AE36" i="13"/>
  <c r="AF42" i="13"/>
  <c r="AE57" i="13"/>
  <c r="AE62" i="13" s="1"/>
  <c r="AD57" i="13"/>
  <c r="AD62" i="13" s="1"/>
  <c r="AC80" i="13"/>
  <c r="AD42" i="13"/>
  <c r="AC57" i="13"/>
  <c r="AC62" i="13" s="1"/>
  <c r="AB80" i="13"/>
  <c r="AC42" i="13"/>
  <c r="AB57" i="13"/>
  <c r="AB62" i="13" s="1"/>
  <c r="AA80" i="13"/>
  <c r="AB42" i="13"/>
  <c r="Y74" i="13"/>
  <c r="AA57" i="13"/>
  <c r="AA62" i="13" s="1"/>
  <c r="AA42" i="13"/>
  <c r="Z74" i="13"/>
  <c r="Z57" i="13"/>
  <c r="Z62" i="13" s="1"/>
  <c r="Z42" i="13"/>
  <c r="Y57" i="13"/>
  <c r="Y62" i="13" s="1"/>
  <c r="Y42" i="13"/>
  <c r="S74" i="13"/>
  <c r="X80" i="13"/>
  <c r="X57" i="13"/>
  <c r="X62" i="13" s="1"/>
  <c r="W80" i="13"/>
  <c r="W57" i="13"/>
  <c r="W62" i="13" s="1"/>
  <c r="X42" i="13"/>
  <c r="V36" i="13"/>
  <c r="V80" i="13"/>
  <c r="U42" i="13"/>
  <c r="W42" i="13"/>
  <c r="V57" i="13"/>
  <c r="V62" i="13" s="1"/>
  <c r="U80" i="13"/>
  <c r="R74" i="13"/>
  <c r="U57" i="13"/>
  <c r="U62" i="13" s="1"/>
  <c r="T74" i="13"/>
  <c r="T57" i="13"/>
  <c r="T62" i="13" s="1"/>
  <c r="S36" i="13"/>
  <c r="T42" i="13"/>
  <c r="S57" i="13"/>
  <c r="S62" i="13" s="1"/>
  <c r="Q74" i="13"/>
  <c r="R57" i="13"/>
  <c r="R62" i="13" s="1"/>
  <c r="P74" i="13"/>
  <c r="R42" i="13"/>
  <c r="Q57" i="13"/>
  <c r="Q62" i="13" s="1"/>
  <c r="O74" i="13"/>
  <c r="Q42" i="13"/>
  <c r="P57" i="13"/>
  <c r="P62" i="13" s="1"/>
  <c r="P42" i="13"/>
  <c r="O57" i="13"/>
  <c r="O62" i="13" s="1"/>
  <c r="N80" i="13"/>
  <c r="O42" i="13"/>
  <c r="N57" i="13"/>
  <c r="N62" i="13" s="1"/>
  <c r="M80" i="13"/>
  <c r="N42" i="13"/>
  <c r="L74" i="13"/>
  <c r="J36" i="13"/>
  <c r="M57" i="13"/>
  <c r="M62" i="13" s="1"/>
  <c r="M42" i="13"/>
  <c r="L57" i="13"/>
  <c r="L62" i="13" s="1"/>
  <c r="K80" i="13"/>
  <c r="L42" i="13"/>
  <c r="K57" i="13"/>
  <c r="K62" i="13" s="1"/>
  <c r="I74" i="13"/>
  <c r="K42" i="13"/>
  <c r="J74" i="13"/>
  <c r="J57" i="13"/>
  <c r="J62" i="13" s="1"/>
  <c r="H42" i="13"/>
  <c r="I57" i="13"/>
  <c r="I62" i="13" s="1"/>
  <c r="I42" i="13"/>
  <c r="G42" i="13"/>
  <c r="H74" i="13"/>
  <c r="H57" i="13"/>
  <c r="H62" i="13" s="1"/>
  <c r="F42" i="13"/>
  <c r="G74" i="13"/>
  <c r="G57" i="13"/>
  <c r="G62" i="13" s="1"/>
  <c r="F80" i="13"/>
  <c r="E62" i="13"/>
  <c r="F57" i="13"/>
  <c r="F62" i="13" s="1"/>
  <c r="E74" i="13"/>
  <c r="E42" i="13"/>
  <c r="D79" i="13" l="1"/>
  <c r="D82" i="13"/>
  <c r="D81" i="13"/>
  <c r="D78" i="13"/>
  <c r="D76" i="13"/>
  <c r="D77" i="13"/>
  <c r="D74" i="13" l="1"/>
  <c r="D80" i="13"/>
  <c r="E30" i="15"/>
  <c r="D42" i="1" l="1"/>
  <c r="D36" i="1"/>
  <c r="D5" i="13" l="1"/>
  <c r="E61" i="15" l="1"/>
  <c r="E60" i="15"/>
  <c r="E59" i="15"/>
  <c r="F5" i="13" l="1"/>
  <c r="F4" i="13"/>
  <c r="D3" i="13"/>
  <c r="E65" i="15" l="1"/>
  <c r="E47" i="15"/>
  <c r="E25" i="15"/>
  <c r="D73" i="15" l="1"/>
  <c r="D72" i="15"/>
  <c r="D71" i="15"/>
  <c r="D69" i="15"/>
  <c r="D68" i="15"/>
  <c r="D67" i="15"/>
  <c r="D66" i="15"/>
  <c r="D32" i="15"/>
  <c r="D34" i="15"/>
  <c r="D35" i="15" s="1"/>
  <c r="D33" i="15"/>
  <c r="D31" i="15"/>
  <c r="D29" i="15"/>
  <c r="D28" i="15"/>
  <c r="D27" i="15"/>
  <c r="D70" i="15" l="1"/>
  <c r="E70" i="15"/>
  <c r="E74" i="15" s="1"/>
  <c r="E36" i="15"/>
  <c r="E82" i="15" l="1"/>
  <c r="E81" i="15"/>
  <c r="E79" i="15"/>
  <c r="E78" i="15"/>
  <c r="E77" i="15"/>
  <c r="E76" i="15"/>
  <c r="D82" i="15"/>
  <c r="D81" i="15"/>
  <c r="D74" i="15"/>
  <c r="E44" i="15"/>
  <c r="E43" i="15"/>
  <c r="E42" i="15"/>
  <c r="E41" i="15"/>
  <c r="E40" i="15"/>
  <c r="E39" i="15"/>
  <c r="D44" i="15"/>
  <c r="D43" i="15"/>
  <c r="D41" i="15"/>
  <c r="D40" i="15"/>
  <c r="D77" i="15" l="1"/>
  <c r="D78" i="15"/>
  <c r="D79" i="15"/>
  <c r="D76" i="15"/>
  <c r="D39" i="15"/>
  <c r="D80" i="15"/>
  <c r="O4" i="15" l="1"/>
  <c r="O3" i="15"/>
  <c r="D5" i="15"/>
  <c r="D4" i="15"/>
  <c r="D3" i="15"/>
  <c r="E80" i="15"/>
  <c r="A32" i="13"/>
  <c r="A31" i="13"/>
  <c r="A30" i="13"/>
  <c r="A27" i="13"/>
  <c r="A26" i="13"/>
  <c r="D4" i="13"/>
  <c r="F48" i="1"/>
  <c r="E19" i="1"/>
  <c r="A33" i="13" s="1"/>
  <c r="G44" i="1" l="1"/>
  <c r="G43" i="1"/>
  <c r="C30" i="1"/>
  <c r="H29" i="1"/>
  <c r="H28" i="1"/>
  <c r="H27" i="1"/>
  <c r="H26" i="1"/>
  <c r="H25" i="1"/>
  <c r="H24" i="1"/>
  <c r="H30" i="1" l="1"/>
  <c r="F36" i="1" s="1"/>
  <c r="F42" i="1" s="1"/>
  <c r="F46" i="1" s="1"/>
  <c r="F18" i="1"/>
  <c r="F17" i="1"/>
  <c r="F16" i="1"/>
  <c r="F15" i="1"/>
  <c r="F14" i="1"/>
  <c r="F12" i="1"/>
  <c r="G42" i="1" l="1"/>
  <c r="E38" i="15" l="1"/>
  <c r="D26" i="15"/>
  <c r="D38" i="15" s="1"/>
  <c r="D30" i="15" l="1"/>
  <c r="D36" i="15" l="1"/>
  <c r="D42" i="15"/>
  <c r="G45" i="1" l="1"/>
  <c r="G46" i="1"/>
  <c r="E48" i="15"/>
  <c r="E57" i="15" s="1"/>
  <c r="E62" i="15" s="1"/>
</calcChain>
</file>

<file path=xl/sharedStrings.xml><?xml version="1.0" encoding="utf-8"?>
<sst xmlns="http://schemas.openxmlformats.org/spreadsheetml/2006/main" count="771" uniqueCount="337">
  <si>
    <t>Professional</t>
  </si>
  <si>
    <t>Capitation</t>
  </si>
  <si>
    <t>Total</t>
  </si>
  <si>
    <t>Market Level Calculations (Same for all Plans)</t>
  </si>
  <si>
    <t>Projected Member Months</t>
  </si>
  <si>
    <t>Company Legal Name:</t>
  </si>
  <si>
    <t>HIOS Issuer ID:</t>
  </si>
  <si>
    <t>State:</t>
  </si>
  <si>
    <t>WI</t>
  </si>
  <si>
    <t xml:space="preserve">Market: </t>
  </si>
  <si>
    <t>Plan Name</t>
  </si>
  <si>
    <t>to</t>
  </si>
  <si>
    <t>Profit &amp; Risk Load</t>
  </si>
  <si>
    <t>Product-Plan Data Collection</t>
  </si>
  <si>
    <t>Effective Date of Rate Change(s):</t>
  </si>
  <si>
    <t>Product/Plan Level Calculations</t>
  </si>
  <si>
    <t>Exchange Plan?</t>
  </si>
  <si>
    <t>Other</t>
  </si>
  <si>
    <t>Other Medical</t>
  </si>
  <si>
    <t>Outpatient Hospital</t>
  </si>
  <si>
    <t>Prescription Drug</t>
  </si>
  <si>
    <t>Experience Period:</t>
  </si>
  <si>
    <t>Experience Period Member Months</t>
  </si>
  <si>
    <t>PMPM</t>
  </si>
  <si>
    <t>Projected Period Totals</t>
  </si>
  <si>
    <t>Effective Date of Proposed Rates</t>
  </si>
  <si>
    <t>AV Metal Value</t>
  </si>
  <si>
    <t>AL</t>
  </si>
  <si>
    <t>AK</t>
  </si>
  <si>
    <t>AZ</t>
  </si>
  <si>
    <t>AR</t>
  </si>
  <si>
    <t>CA</t>
  </si>
  <si>
    <t>CO</t>
  </si>
  <si>
    <t>CT</t>
  </si>
  <si>
    <t>DE</t>
  </si>
  <si>
    <t>DC</t>
  </si>
  <si>
    <t>FL</t>
  </si>
  <si>
    <t>GA</t>
  </si>
  <si>
    <t>HI</t>
  </si>
  <si>
    <t>ID</t>
  </si>
  <si>
    <t>IL</t>
  </si>
  <si>
    <t>IN</t>
  </si>
  <si>
    <t>IA</t>
  </si>
  <si>
    <t>KS</t>
  </si>
  <si>
    <t>KY</t>
  </si>
  <si>
    <t>LA</t>
  </si>
  <si>
    <t>ME</t>
  </si>
  <si>
    <t>MD</t>
  </si>
  <si>
    <t>MA</t>
  </si>
  <si>
    <t>MI</t>
  </si>
  <si>
    <t>MN</t>
  </si>
  <si>
    <t>MS</t>
  </si>
  <si>
    <t>MO</t>
  </si>
  <si>
    <t>MT</t>
  </si>
  <si>
    <t>NE</t>
  </si>
  <si>
    <t>NV</t>
  </si>
  <si>
    <t>NH</t>
  </si>
  <si>
    <t>NJ</t>
  </si>
  <si>
    <t>NM</t>
  </si>
  <si>
    <t>NY</t>
  </si>
  <si>
    <t>NC</t>
  </si>
  <si>
    <t>ND</t>
  </si>
  <si>
    <t>OH</t>
  </si>
  <si>
    <t>OK</t>
  </si>
  <si>
    <t>OR</t>
  </si>
  <si>
    <t>PA</t>
  </si>
  <si>
    <t>RI</t>
  </si>
  <si>
    <t>SC</t>
  </si>
  <si>
    <t>SD</t>
  </si>
  <si>
    <t>TN</t>
  </si>
  <si>
    <t>TX</t>
  </si>
  <si>
    <t>UT</t>
  </si>
  <si>
    <t>VT</t>
  </si>
  <si>
    <t>VA</t>
  </si>
  <si>
    <t>WA</t>
  </si>
  <si>
    <t>WV</t>
  </si>
  <si>
    <t>WY</t>
  </si>
  <si>
    <t>Section I: General Product and Plan Information</t>
  </si>
  <si>
    <t>Inpatient Hospital</t>
  </si>
  <si>
    <t>Plan Adjusted Index Rate</t>
  </si>
  <si>
    <t>Plan Category</t>
  </si>
  <si>
    <t>New</t>
  </si>
  <si>
    <t>Renewing</t>
  </si>
  <si>
    <t>Terminated</t>
  </si>
  <si>
    <t>Product Rate Increase %</t>
  </si>
  <si>
    <t>Section I: Experience Period Data</t>
  </si>
  <si>
    <t>Allowed Claims</t>
  </si>
  <si>
    <t>Reinsurance</t>
  </si>
  <si>
    <t>Incurred Claims in Experience Period</t>
  </si>
  <si>
    <t>Risk Adjustment</t>
  </si>
  <si>
    <t>Experience Period Premium</t>
  </si>
  <si>
    <t>Section II: Projections</t>
  </si>
  <si>
    <t>Year 1 Trend</t>
  </si>
  <si>
    <t>Year 2 Trend</t>
  </si>
  <si>
    <t>Cost</t>
  </si>
  <si>
    <t>Utilization</t>
  </si>
  <si>
    <t>Trended EHB Allowed Claims PMPM</t>
  </si>
  <si>
    <t>Manual EHB Allowed Claims PMPM</t>
  </si>
  <si>
    <t>Morbidity Adjustment</t>
  </si>
  <si>
    <t>Demographic Shift</t>
  </si>
  <si>
    <t>Plan Design Changes</t>
  </si>
  <si>
    <t>Projected Index Rate for</t>
  </si>
  <si>
    <t>Exchange User Fees</t>
  </si>
  <si>
    <t>Field #</t>
  </si>
  <si>
    <t>Product Name</t>
  </si>
  <si>
    <t>Product ID</t>
  </si>
  <si>
    <t>Plan ID (Standard Component ID)</t>
  </si>
  <si>
    <t>Metal</t>
  </si>
  <si>
    <t>Plan Type</t>
  </si>
  <si>
    <t>Cumulative Rate Change %  (over 12 mos prior)</t>
  </si>
  <si>
    <t>Section II: Experience Period and Current Plan Level Information</t>
  </si>
  <si>
    <t>Member Cost Sharing</t>
  </si>
  <si>
    <t>Cost Sharing Reduction</t>
  </si>
  <si>
    <t>Incurred Claims</t>
  </si>
  <si>
    <t>Risk Adjustment Transfer Amount</t>
  </si>
  <si>
    <t>Premium</t>
  </si>
  <si>
    <t>Current Enrollment</t>
  </si>
  <si>
    <t>Current Premium PMPM</t>
  </si>
  <si>
    <t>Loss Ratio</t>
  </si>
  <si>
    <t>Worksheet 1 Totals</t>
  </si>
  <si>
    <t>Per Member Per Month</t>
  </si>
  <si>
    <t>Section III: Plan Adjustment Factors</t>
  </si>
  <si>
    <t>Market Adjusted Index Rate</t>
  </si>
  <si>
    <t>AV and Cost Sharing Design of Plan</t>
  </si>
  <si>
    <t>Provider Network Adjustment</t>
  </si>
  <si>
    <t>Benefits in Addition to EHB</t>
  </si>
  <si>
    <t>Catastrophic Adjustment</t>
  </si>
  <si>
    <t>Age Calibration Factor</t>
  </si>
  <si>
    <t>Geographic Calibration Factor</t>
  </si>
  <si>
    <t>Tobacco Calibration Factor</t>
  </si>
  <si>
    <t>Section IV: Projected Plan Level Information</t>
  </si>
  <si>
    <t>Rating Area</t>
  </si>
  <si>
    <t>Rating Factor</t>
  </si>
  <si>
    <t>Administrative Costs</t>
  </si>
  <si>
    <t>Administrative Expense</t>
  </si>
  <si>
    <t>Taxes and Fees</t>
  </si>
  <si>
    <t>Calibrated Plan Adjusted Index Rate</t>
  </si>
  <si>
    <t>Experience Period Index Rate PMPM</t>
  </si>
  <si>
    <t>Risk Adjustment Payment/Charge</t>
  </si>
  <si>
    <t>Platinum</t>
  </si>
  <si>
    <t>Gold</t>
  </si>
  <si>
    <t>Silver</t>
  </si>
  <si>
    <t>Bronze</t>
  </si>
  <si>
    <t>Catastrophic</t>
  </si>
  <si>
    <t>Not Applicable</t>
  </si>
  <si>
    <t>Yes</t>
  </si>
  <si>
    <t>No</t>
  </si>
  <si>
    <t>Benefit Category</t>
  </si>
  <si>
    <r>
      <rPr>
        <b/>
        <sz val="11"/>
        <color indexed="8"/>
        <rFont val="Calibri"/>
        <family val="2"/>
      </rPr>
      <t xml:space="preserve">Information Not Releasable to the Public Unless Authorized by Law: </t>
    </r>
    <r>
      <rPr>
        <sz val="11"/>
        <color theme="1"/>
        <rFont val="Calibri"/>
        <family val="2"/>
        <scheme val="minor"/>
      </rPr>
      <t xml:space="preserve"> This information has not been publically disclosed and may be privileged and confidential. It is for internal government use only and must not be disseminated, distributed, or copied to persons not authorized to receive the information.  Unauthorized disclosure may result in prosecution to the full extent of the law.  </t>
    </r>
  </si>
  <si>
    <t>1.10</t>
  </si>
  <si>
    <t>1.11</t>
  </si>
  <si>
    <t>1.12</t>
  </si>
  <si>
    <t>1.13</t>
  </si>
  <si>
    <t>1.9</t>
  </si>
  <si>
    <t>1.8</t>
  </si>
  <si>
    <t>1.1</t>
  </si>
  <si>
    <t>1.2</t>
  </si>
  <si>
    <t>1.3</t>
  </si>
  <si>
    <t>1.4</t>
  </si>
  <si>
    <t>1.5</t>
  </si>
  <si>
    <t>1.6</t>
  </si>
  <si>
    <t>1.7</t>
  </si>
  <si>
    <t>2.1</t>
  </si>
  <si>
    <t>2.2</t>
  </si>
  <si>
    <t>2.3</t>
  </si>
  <si>
    <t>2.4</t>
  </si>
  <si>
    <t>2.5</t>
  </si>
  <si>
    <t>2.6</t>
  </si>
  <si>
    <t>2.7</t>
  </si>
  <si>
    <t>2.8</t>
  </si>
  <si>
    <t>2.9</t>
  </si>
  <si>
    <t>2.10</t>
  </si>
  <si>
    <t>2.11</t>
  </si>
  <si>
    <t>2.12</t>
  </si>
  <si>
    <t>2.13</t>
  </si>
  <si>
    <t>2.14</t>
  </si>
  <si>
    <t>2.15</t>
  </si>
  <si>
    <t>2.16</t>
  </si>
  <si>
    <t>2.17</t>
  </si>
  <si>
    <t>2.18</t>
  </si>
  <si>
    <t>2.19</t>
  </si>
  <si>
    <t>3.1</t>
  </si>
  <si>
    <t>3.2</t>
  </si>
  <si>
    <t>3.3</t>
  </si>
  <si>
    <t>3.4</t>
  </si>
  <si>
    <t>3.5</t>
  </si>
  <si>
    <t>3.6</t>
  </si>
  <si>
    <t>3.7</t>
  </si>
  <si>
    <t>3.8</t>
  </si>
  <si>
    <t>3.9</t>
  </si>
  <si>
    <t>3.10</t>
  </si>
  <si>
    <t>3.11</t>
  </si>
  <si>
    <t>3.12</t>
  </si>
  <si>
    <t>3.13</t>
  </si>
  <si>
    <t>3.14</t>
  </si>
  <si>
    <t>4.1</t>
  </si>
  <si>
    <t>4.2</t>
  </si>
  <si>
    <t>4.3</t>
  </si>
  <si>
    <t>4.4</t>
  </si>
  <si>
    <t>4.5</t>
  </si>
  <si>
    <t>4.6</t>
  </si>
  <si>
    <t>4.7</t>
  </si>
  <si>
    <t>4.8</t>
  </si>
  <si>
    <t>4.9</t>
  </si>
  <si>
    <t>4.10</t>
  </si>
  <si>
    <t>4.11</t>
  </si>
  <si>
    <t>4.12</t>
  </si>
  <si>
    <t>4.13</t>
  </si>
  <si>
    <t>4.14</t>
  </si>
  <si>
    <t>4.15</t>
  </si>
  <si>
    <t>4.16</t>
  </si>
  <si>
    <t>4.17</t>
  </si>
  <si>
    <t>Submission Level Rate Increase %</t>
  </si>
  <si>
    <t>To add a product to Worksheet 2 - Plan Product Info, select the Add Product button or Ctrl + Shift + P.</t>
  </si>
  <si>
    <t>To add a plan to Worksheet 2 - Plan Product Info, select the Add Plan button or Ctrl + Shift + L.</t>
  </si>
  <si>
    <t>To validate, select the Validate button or Ctrl + Shift + I.</t>
  </si>
  <si>
    <t>To finalize, select the Finalize button or Ctrl + Shift + F.</t>
  </si>
  <si>
    <t>Specify the total number of Rating Areas in your State by selecting the Create Rating Areas button or Ctrl + Shift + R.</t>
  </si>
  <si>
    <t>Select only the Rating Areas you are offering plans within and add a factor for each area.</t>
  </si>
  <si>
    <t>Applied Credibility %</t>
  </si>
  <si>
    <t>Adjusted Trended EHB Allowed Claims PMPM for</t>
  </si>
  <si>
    <r>
      <t xml:space="preserve">Product-Plan Data Collection </t>
    </r>
    <r>
      <rPr>
        <b/>
        <sz val="14"/>
        <color theme="0"/>
        <rFont val="Calibri"/>
        <family val="2"/>
      </rPr>
      <t>[assistive technology users, please reference cell A1 for instructions]</t>
    </r>
  </si>
  <si>
    <r>
      <t>Rating Area Data Collection</t>
    </r>
    <r>
      <rPr>
        <b/>
        <sz val="12"/>
        <color theme="0"/>
        <rFont val="Arial"/>
        <family val="2"/>
      </rPr>
      <t xml:space="preserve"> [assistive technology users, please reference cell A2 for instructions]</t>
    </r>
  </si>
  <si>
    <t>To remove a product, navigate to the corresponding Product Name/Product ID field and select the Remove Product button or Ctrl + Shift + Q.</t>
  </si>
  <si>
    <t>To remove a plan, navigate to the corresponding Plan Name/Plan ID field and select the Remove Plan button or Ctrl + Shift + A.</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</si>
  <si>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K1 through K4.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</si>
  <si>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P1 through P6. If screen reader fails to announce a cell after performing a dropdown selection, please press F2 and then ESC to force the screen reader to resume.</t>
  </si>
  <si>
    <t>Press TAB and directional arrow keys to read through the document. If macros are disabled, press and hold the ALT key and press the F, then I, and then N key. After that, select the Enable All Content option by pressing enter. (note that you can also press the C key to select "Enable All Content")  Instructions can be found in cells C1 through C4. If screen reader fails to announce a cell after performing a dropdown selection, please press F2 and then ESC to force the screen reader to resume.</t>
  </si>
  <si>
    <r>
      <t xml:space="preserve">Unified Rate Review v6.0 </t>
    </r>
    <r>
      <rPr>
        <b/>
        <sz val="14"/>
        <color theme="0"/>
        <rFont val="Calibri"/>
        <family val="2"/>
      </rPr>
      <t>[assistive technology users, please reference cell A1 for instructions]</t>
    </r>
  </si>
  <si>
    <t>Kaiser Foundation Health Plan of GA</t>
  </si>
  <si>
    <t>Individual</t>
  </si>
  <si>
    <t>HMO On Exchange</t>
  </si>
  <si>
    <t>89942GA005</t>
  </si>
  <si>
    <t xml:space="preserve">KP GA Gold 500 Ded/500 Rx Ded </t>
  </si>
  <si>
    <t>KP GA Gold 1500 Ded/500 Rx Ded</t>
  </si>
  <si>
    <t>KP GA Gold 2000 Ded/500 Rx Ded</t>
  </si>
  <si>
    <t>KP GA Silver 3400 Ded/500 Rx Ded</t>
  </si>
  <si>
    <t>KP GA Silver 3500/20%/HSA</t>
  </si>
  <si>
    <t>KP GA Silver 4500/35</t>
  </si>
  <si>
    <t>KP GA Silver Virtual Complete 5000</t>
  </si>
  <si>
    <t>KP GA Bronze Virtual Complete 5500 Ded/1500 Rx Ded</t>
  </si>
  <si>
    <t xml:space="preserve">KP GA Bronze 6500/40%/HSA </t>
  </si>
  <si>
    <t>KP GA Catastrophic 9450</t>
  </si>
  <si>
    <t>KP GA Signature Gold 500 Ded/500 Rx Ded</t>
  </si>
  <si>
    <t>KP GA Signature Gold 1500 Ded/500 Rx Ded</t>
  </si>
  <si>
    <t>KP GA Signature Gold 2000 Ded/500 Rx Ded</t>
  </si>
  <si>
    <t>KP GA Signature Silver 3400 Ded/500 Rx Ded</t>
  </si>
  <si>
    <t>KP GA Signature Silver 3500/20%/HSA</t>
  </si>
  <si>
    <t>KP GA Signature Silver 4500/35</t>
  </si>
  <si>
    <t>KP GA Signature Silver Virtual Complete 5000</t>
  </si>
  <si>
    <t>KP GA Signature Bronze Virtual Complete 5500/1500 Rx Ded</t>
  </si>
  <si>
    <t xml:space="preserve">KP GA Signature Bronze 6500/40%/HSA </t>
  </si>
  <si>
    <t>KP GA Signature Catastrophic 9450</t>
  </si>
  <si>
    <t>89942GA0050002</t>
  </si>
  <si>
    <t>89942GA0050012</t>
  </si>
  <si>
    <t>89942GA0050026</t>
  </si>
  <si>
    <t>89942GA0050005</t>
  </si>
  <si>
    <t>89942GA0050006</t>
  </si>
  <si>
    <t>89942GA0050024</t>
  </si>
  <si>
    <t>89942GA0050030</t>
  </si>
  <si>
    <t>89942GA0050007</t>
  </si>
  <si>
    <t>89942GA0050009</t>
  </si>
  <si>
    <t>89942GA0050010</t>
  </si>
  <si>
    <t>89942GA0050016</t>
  </si>
  <si>
    <t>89942GA0050022</t>
  </si>
  <si>
    <t>89942GA0050027</t>
  </si>
  <si>
    <t>89942GA0050017</t>
  </si>
  <si>
    <t>89942GA0050018</t>
  </si>
  <si>
    <t>89942GA0050025</t>
  </si>
  <si>
    <t>89942GA0050031</t>
  </si>
  <si>
    <t>89942GA0050019</t>
  </si>
  <si>
    <t>89942GA0050020</t>
  </si>
  <si>
    <t>89942GA0050021</t>
  </si>
  <si>
    <t>HMO</t>
  </si>
  <si>
    <t>89942GA007</t>
  </si>
  <si>
    <t>HMO Off Exchange</t>
  </si>
  <si>
    <t>KP GA Silver Virtual Complete 5500</t>
  </si>
  <si>
    <t>KP GA Signature Silver Virtual Complete 5500</t>
  </si>
  <si>
    <t>89942GA0070002</t>
  </si>
  <si>
    <t>89942GA0070012</t>
  </si>
  <si>
    <t>89942GA0070026</t>
  </si>
  <si>
    <t>89942GA0070005</t>
  </si>
  <si>
    <t>89942GA0070006</t>
  </si>
  <si>
    <t>89942GA0070024</t>
  </si>
  <si>
    <t>89942GA0070030</t>
  </si>
  <si>
    <t>89942GA0070032</t>
  </si>
  <si>
    <t>89942GA0070007</t>
  </si>
  <si>
    <t>89942GA0070009</t>
  </si>
  <si>
    <t>89942GA0070010</t>
  </si>
  <si>
    <t>89942GA0070016</t>
  </si>
  <si>
    <t>89942GA0070022</t>
  </si>
  <si>
    <t>89942GA0070027</t>
  </si>
  <si>
    <t>89942GA0070017</t>
  </si>
  <si>
    <t>89942GA0070018</t>
  </si>
  <si>
    <t>89942GA0070025</t>
  </si>
  <si>
    <t>89942GA0070031</t>
  </si>
  <si>
    <t>89942GA0070033</t>
  </si>
  <si>
    <t>89942GA0070019</t>
  </si>
  <si>
    <t>89942GA0070020</t>
  </si>
  <si>
    <t>89942GA0070021</t>
  </si>
  <si>
    <t>HMO On Exchange Standard Plans</t>
  </si>
  <si>
    <t>89942GA013</t>
  </si>
  <si>
    <t>89942GA015</t>
  </si>
  <si>
    <t>KP GA Standard Gold 1500/30</t>
  </si>
  <si>
    <t>KP GA Standard Silver 5900/40</t>
  </si>
  <si>
    <t>KP GA Standard Bronze 7500/50</t>
  </si>
  <si>
    <t>KP GA Signature Standard Gold 1500/30</t>
  </si>
  <si>
    <t>KP GA Signature Standard Silver 5900/40</t>
  </si>
  <si>
    <t>KP GA Signature Standard Bronze 7500/50</t>
  </si>
  <si>
    <t>89942GA0130001</t>
  </si>
  <si>
    <t>89942GA0130003</t>
  </si>
  <si>
    <t>89942GA0130005</t>
  </si>
  <si>
    <t>89942GA0130002</t>
  </si>
  <si>
    <t>89942GA0130004</t>
  </si>
  <si>
    <t>89942GA0130006</t>
  </si>
  <si>
    <t>89942GA0150001</t>
  </si>
  <si>
    <t>89942GA0150003</t>
  </si>
  <si>
    <t>89942GA0150005</t>
  </si>
  <si>
    <t>89942GA0150002</t>
  </si>
  <si>
    <t>89942GA0150004</t>
  </si>
  <si>
    <t>89942GA0150006</t>
  </si>
  <si>
    <t>Rating Area 1</t>
  </si>
  <si>
    <t>Rating Area 2</t>
  </si>
  <si>
    <t>Rating Area 3</t>
  </si>
  <si>
    <t>Rating Area 4</t>
  </si>
  <si>
    <t>Rating Area 5</t>
  </si>
  <si>
    <t>Rating Area 6</t>
  </si>
  <si>
    <t>Rating Area 7</t>
  </si>
  <si>
    <t>Rating Area 8</t>
  </si>
  <si>
    <t>Rating Area 9</t>
  </si>
  <si>
    <t>Rating Area 10</t>
  </si>
  <si>
    <t>Rating Area 11</t>
  </si>
  <si>
    <t>Rating Area 12</t>
  </si>
  <si>
    <t>Rating Area 13</t>
  </si>
  <si>
    <t>Rating Area 14</t>
  </si>
  <si>
    <t>Rating Area 15</t>
  </si>
  <si>
    <t>Rating Area 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</si>
</sst>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6" formatCode="&quot;$&quot;#,##0_);[Red]\(&quot;$&quot;#,##0\)"/>
    <numFmt numFmtId="44" formatCode="_(&quot;$&quot;* #,##0.00_);_(&quot;$&quot;* \(#,##0.00\);_(&quot;$&quot;* &quot;-&quot;??_);_(@_)"/>
    <numFmt numFmtId="43" formatCode="_(* #,##0.00_);_(* \(#,##0.00\);_(* &quot;-&quot;??_);_(@_)"/>
    <numFmt numFmtId="164" formatCode="_(* #,##0_);_(* \(#,##0\);_(* &quot;-&quot;??_);_(@_)"/>
    <numFmt numFmtId="165" formatCode="_(* #,##0.000_);_(* \(#,##0.000\);_(* &quot;-&quot;??_);_(@_)"/>
    <numFmt numFmtId="166" formatCode="0.0%"/>
    <numFmt numFmtId="167" formatCode="0.000"/>
    <numFmt numFmtId="168" formatCode="&quot;$&quot;#,##0.00"/>
    <numFmt numFmtId="169" formatCode="&quot;$&quot;#,##0"/>
    <numFmt numFmtId="170" formatCode="0.0000"/>
  </numFmts>
  <fonts count="26"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b/>
      <u/>
      <sz val="11"/>
      <color indexed="8"/>
      <name val="Calibri"/>
      <family val="2"/>
    </font>
    <font>
      <b/>
      <sz val="14"/>
      <color indexed="8"/>
      <name val="Calibri"/>
      <family val="2"/>
    </font>
    <font>
      <sz val="8"/>
      <name val="Calibri"/>
      <family val="2"/>
    </font>
    <font>
      <sz val="14"/>
      <color indexed="8"/>
      <name val="Calibri"/>
      <family val="2"/>
    </font>
    <font>
      <sz val="11"/>
      <color theme="1"/>
      <name val="Calibri"/>
      <family val="2"/>
      <scheme val="minor"/>
    </font>
    <font>
      <b/>
      <sz val="11"/>
      <color theme="1"/>
      <name val="Calibri"/>
      <family val="2"/>
      <scheme val="minor"/>
    </font>
    <font>
      <b/>
      <u/>
      <sz val="11"/>
      <color theme="1"/>
      <name val="Calibri"/>
      <family val="2"/>
      <scheme val="minor"/>
    </font>
    <font>
      <u/>
      <sz val="11"/>
      <color theme="1"/>
      <name val="Calibri"/>
      <family val="2"/>
      <scheme val="minor"/>
    </font>
    <font>
      <b/>
      <u val="singleAccounting"/>
      <sz val="11"/>
      <color theme="1"/>
      <name val="Calibri"/>
      <family val="2"/>
      <scheme val="minor"/>
    </font>
    <font>
      <sz val="10"/>
      <color theme="1"/>
      <name val="Arial Unicode MS"/>
      <family val="2"/>
    </font>
    <font>
      <sz val="14"/>
      <color theme="1"/>
      <name val="Calibri"/>
      <family val="2"/>
      <scheme val="minor"/>
    </font>
    <font>
      <sz val="11"/>
      <color rgb="FF000000"/>
      <name val="Calibri"/>
      <family val="2"/>
    </font>
    <font>
      <b/>
      <sz val="14"/>
      <color theme="1"/>
      <name val="Calibri"/>
      <family val="2"/>
      <scheme val="minor"/>
    </font>
    <font>
      <u/>
      <sz val="11"/>
      <color theme="0"/>
      <name val="Calibri"/>
      <family val="2"/>
      <scheme val="minor"/>
    </font>
    <font>
      <b/>
      <sz val="12"/>
      <color theme="1"/>
      <name val="Arial"/>
      <family val="2"/>
    </font>
    <font>
      <sz val="11"/>
      <color theme="0"/>
      <name val="Calibri"/>
      <family val="2"/>
      <scheme val="minor"/>
    </font>
    <font>
      <b/>
      <sz val="10"/>
      <color indexed="8"/>
      <name val="Calibri"/>
      <family val="2"/>
    </font>
    <font>
      <b/>
      <sz val="10"/>
      <color theme="1"/>
      <name val="Calibri"/>
      <family val="2"/>
      <scheme val="minor"/>
    </font>
    <font>
      <sz val="12"/>
      <color indexed="8"/>
      <name val="Calibri"/>
      <family val="2"/>
    </font>
    <font>
      <i/>
      <sz val="11"/>
      <color theme="1"/>
      <name val="Calibri"/>
      <family val="2"/>
      <scheme val="minor"/>
    </font>
    <font>
      <b/>
      <sz val="14"/>
      <color theme="0"/>
      <name val="Calibri"/>
      <family val="2"/>
    </font>
    <font>
      <b/>
      <sz val="12"/>
      <color theme="0"/>
      <name val="Arial"/>
      <family val="2"/>
    </font>
  </fonts>
  <fills count="7">
    <fill>
      <patternFill patternType="none"/>
    </fill>
    <fill>
      <patternFill patternType="gray125"/>
    </fill>
    <fill>
      <patternFill patternType="solid">
        <fgColor indexed="9"/>
        <bgColor indexed="64"/>
      </patternFill>
    </fill>
    <fill>
      <patternFill patternType="solid">
        <fgColor rgb="FF92D050"/>
        <bgColor indexed="64"/>
      </patternFill>
    </fill>
    <fill>
      <patternFill patternType="solid">
        <fgColor theme="0"/>
        <bgColor indexed="64"/>
      </patternFill>
    </fill>
    <fill>
      <patternFill patternType="solid">
        <fgColor theme="4" tint="0.59999389629810485"/>
        <bgColor indexed="64"/>
      </patternFill>
    </fill>
    <fill>
      <patternFill patternType="solid">
        <fgColor theme="1" tint="0.34998626667073579"/>
        <bgColor indexed="64"/>
      </patternFill>
    </fill>
  </fills>
  <borders count="39">
    <border>
      <left/>
      <right/>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style="thin">
        <color indexed="64"/>
      </bottom>
      <diagonal/>
    </border>
    <border>
      <left/>
      <right/>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style="thin">
        <color indexed="64"/>
      </bottom>
      <diagonal/>
    </border>
    <border>
      <left/>
      <right style="medium">
        <color indexed="64"/>
      </right>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bottom/>
      <diagonal/>
    </border>
  </borders>
  <cellStyleXfs count="8">
    <xf numFmtId="0" fontId="0" fillId="0" borderId="0"/>
    <xf numFmtId="43" fontId="2" fillId="0" borderId="0" applyFont="0" applyFill="0" applyBorder="0" applyAlignment="0" applyProtection="0"/>
    <xf numFmtId="43" fontId="1" fillId="0" borderId="0" applyFont="0" applyFill="0" applyBorder="0" applyAlignment="0" applyProtection="0"/>
    <xf numFmtId="44" fontId="2" fillId="0" borderId="0" applyFont="0" applyFill="0" applyBorder="0" applyAlignment="0" applyProtection="0"/>
    <xf numFmtId="44" fontId="1" fillId="0" borderId="0" applyFont="0" applyFill="0" applyBorder="0" applyAlignment="0" applyProtection="0"/>
    <xf numFmtId="9" fontId="2" fillId="0" borderId="0" applyFont="0" applyFill="0" applyBorder="0" applyAlignment="0" applyProtection="0"/>
    <xf numFmtId="9" fontId="1" fillId="0" borderId="0" applyFont="0" applyFill="0" applyBorder="0" applyAlignment="0" applyProtection="0"/>
    <xf numFmtId="9" fontId="8" fillId="0" borderId="0" applyFont="0" applyFill="0" applyBorder="0" applyAlignment="0" applyProtection="0"/>
  </cellStyleXfs>
  <cellXfs count="274">
    <xf numFmtId="0" fontId="0" fillId="0" borderId="0" xfId="0"/>
    <xf numFmtId="0" fontId="0" fillId="2" borderId="0" xfId="0" applyFill="1"/>
    <xf numFmtId="0" fontId="0" fillId="2" borderId="0" xfId="0" quotePrefix="1" applyFill="1" applyAlignment="1">
      <alignment horizontal="left"/>
    </xf>
    <xf numFmtId="0" fontId="5" fillId="2" borderId="0" xfId="0" applyFont="1" applyFill="1"/>
    <xf numFmtId="0" fontId="5" fillId="2" borderId="0" xfId="0" quotePrefix="1" applyFont="1" applyFill="1" applyAlignment="1">
      <alignment horizontal="left"/>
    </xf>
    <xf numFmtId="44" fontId="0" fillId="0" borderId="0" xfId="0" applyNumberFormat="1"/>
    <xf numFmtId="0" fontId="7" fillId="2" borderId="0" xfId="0" applyFont="1" applyFill="1"/>
    <xf numFmtId="0" fontId="7" fillId="2" borderId="0" xfId="0" quotePrefix="1" applyFont="1" applyFill="1" applyAlignment="1">
      <alignment horizontal="left"/>
    </xf>
    <xf numFmtId="0" fontId="0" fillId="3" borderId="1" xfId="0" applyFill="1" applyBorder="1"/>
    <xf numFmtId="0" fontId="0" fillId="3" borderId="1" xfId="0" quotePrefix="1" applyFill="1" applyBorder="1" applyAlignment="1">
      <alignment horizontal="left"/>
    </xf>
    <xf numFmtId="0" fontId="0" fillId="3" borderId="2" xfId="0" applyFill="1" applyBorder="1"/>
    <xf numFmtId="0" fontId="0" fillId="3" borderId="3" xfId="0" applyFill="1" applyBorder="1"/>
    <xf numFmtId="0" fontId="0" fillId="3" borderId="4" xfId="0" applyFill="1" applyBorder="1"/>
    <xf numFmtId="0" fontId="0" fillId="3" borderId="4" xfId="0" quotePrefix="1" applyFill="1" applyBorder="1" applyAlignment="1">
      <alignment horizontal="left"/>
    </xf>
    <xf numFmtId="0" fontId="0" fillId="3" borderId="5" xfId="0" applyFill="1" applyBorder="1"/>
    <xf numFmtId="0" fontId="3" fillId="3" borderId="6" xfId="0" applyFont="1" applyFill="1" applyBorder="1"/>
    <xf numFmtId="0" fontId="5" fillId="2" borderId="0" xfId="0" applyFont="1" applyFill="1" applyAlignment="1">
      <alignment horizontal="left"/>
    </xf>
    <xf numFmtId="0" fontId="0" fillId="4" borderId="0" xfId="0" applyFill="1"/>
    <xf numFmtId="0" fontId="0" fillId="4" borderId="0" xfId="0" quotePrefix="1" applyFill="1" applyAlignment="1">
      <alignment horizontal="left"/>
    </xf>
    <xf numFmtId="0" fontId="9" fillId="4" borderId="0" xfId="0" applyFont="1" applyFill="1"/>
    <xf numFmtId="43" fontId="0" fillId="0" borderId="0" xfId="0" applyNumberFormat="1"/>
    <xf numFmtId="0" fontId="5" fillId="0" borderId="0" xfId="0" applyFont="1"/>
    <xf numFmtId="164" fontId="8" fillId="0" borderId="0" xfId="1" applyNumberFormat="1" applyFont="1"/>
    <xf numFmtId="0" fontId="3" fillId="3" borderId="1" xfId="0" applyFont="1" applyFill="1" applyBorder="1"/>
    <xf numFmtId="164" fontId="0" fillId="0" borderId="0" xfId="0" applyNumberFormat="1"/>
    <xf numFmtId="43" fontId="8" fillId="4" borderId="0" xfId="1" applyFont="1" applyFill="1" applyBorder="1" applyProtection="1"/>
    <xf numFmtId="166" fontId="8" fillId="0" borderId="0" xfId="5" applyNumberFormat="1" applyFont="1" applyFill="1" applyBorder="1" applyProtection="1"/>
    <xf numFmtId="43" fontId="8" fillId="0" borderId="0" xfId="1" applyFont="1" applyFill="1" applyBorder="1" applyProtection="1"/>
    <xf numFmtId="0" fontId="10" fillId="4" borderId="0" xfId="0" applyFont="1" applyFill="1"/>
    <xf numFmtId="2" fontId="0" fillId="2" borderId="0" xfId="0" applyNumberFormat="1" applyFill="1"/>
    <xf numFmtId="0" fontId="3" fillId="2" borderId="0" xfId="0" applyFont="1" applyFill="1"/>
    <xf numFmtId="0" fontId="0" fillId="0" borderId="0" xfId="0" applyAlignment="1">
      <alignment horizontal="center"/>
    </xf>
    <xf numFmtId="14" fontId="0" fillId="0" borderId="0" xfId="0" applyNumberFormat="1"/>
    <xf numFmtId="0" fontId="0" fillId="0" borderId="0" xfId="0" applyAlignment="1">
      <alignment horizontal="right"/>
    </xf>
    <xf numFmtId="0" fontId="11" fillId="0" borderId="0" xfId="0" applyFont="1" applyAlignment="1">
      <alignment horizontal="center"/>
    </xf>
    <xf numFmtId="164" fontId="8" fillId="2" borderId="0" xfId="1" applyNumberFormat="1" applyFont="1" applyFill="1" applyProtection="1"/>
    <xf numFmtId="6" fontId="8" fillId="0" borderId="0" xfId="3" applyNumberFormat="1" applyFont="1" applyFill="1" applyProtection="1"/>
    <xf numFmtId="43" fontId="8" fillId="0" borderId="0" xfId="1" applyFont="1" applyFill="1" applyProtection="1"/>
    <xf numFmtId="0" fontId="0" fillId="0" borderId="0" xfId="0" quotePrefix="1" applyAlignment="1">
      <alignment horizontal="left"/>
    </xf>
    <xf numFmtId="43" fontId="0" fillId="2" borderId="0" xfId="0" applyNumberFormat="1" applyFill="1"/>
    <xf numFmtId="164" fontId="8" fillId="0" borderId="0" xfId="1" applyNumberFormat="1" applyFont="1" applyFill="1" applyProtection="1"/>
    <xf numFmtId="0" fontId="4" fillId="2" borderId="0" xfId="0" applyFont="1" applyFill="1"/>
    <xf numFmtId="44" fontId="8" fillId="0" borderId="0" xfId="3" applyFont="1" applyFill="1" applyProtection="1"/>
    <xf numFmtId="44" fontId="8" fillId="2" borderId="0" xfId="3" applyFont="1" applyFill="1" applyProtection="1"/>
    <xf numFmtId="43" fontId="8" fillId="2" borderId="0" xfId="1" applyFont="1" applyFill="1" applyProtection="1"/>
    <xf numFmtId="9" fontId="8" fillId="0" borderId="0" xfId="5" applyFont="1" applyFill="1" applyProtection="1"/>
    <xf numFmtId="0" fontId="3" fillId="2" borderId="0" xfId="0" applyFont="1" applyFill="1" applyAlignment="1">
      <alignment horizontal="left"/>
    </xf>
    <xf numFmtId="0" fontId="0" fillId="0" borderId="0" xfId="0" quotePrefix="1"/>
    <xf numFmtId="0" fontId="3" fillId="0" borderId="0" xfId="0" applyFont="1" applyAlignment="1">
      <alignment horizontal="left"/>
    </xf>
    <xf numFmtId="2" fontId="0" fillId="0" borderId="0" xfId="0" applyNumberFormat="1"/>
    <xf numFmtId="165" fontId="8" fillId="0" borderId="0" xfId="1" quotePrefix="1" applyNumberFormat="1" applyFont="1" applyFill="1" applyAlignment="1" applyProtection="1">
      <alignment horizontal="left"/>
    </xf>
    <xf numFmtId="0" fontId="0" fillId="0" borderId="0" xfId="0" applyAlignment="1">
      <alignment horizontal="left"/>
    </xf>
    <xf numFmtId="0" fontId="3" fillId="0" borderId="0" xfId="0" applyFont="1"/>
    <xf numFmtId="0" fontId="2" fillId="0" borderId="0" xfId="0" applyFont="1" applyAlignment="1">
      <alignment horizontal="right"/>
    </xf>
    <xf numFmtId="0" fontId="0" fillId="0" borderId="0" xfId="0" applyAlignment="1">
      <alignment horizontal="center" wrapText="1"/>
    </xf>
    <xf numFmtId="0" fontId="0" fillId="0" borderId="0" xfId="0" quotePrefix="1" applyAlignment="1">
      <alignment horizontal="right"/>
    </xf>
    <xf numFmtId="44" fontId="8" fillId="0" borderId="0" xfId="3" applyFont="1" applyFill="1" applyBorder="1" applyProtection="1"/>
    <xf numFmtId="9" fontId="8" fillId="0" borderId="0" xfId="1" applyNumberFormat="1" applyFont="1" applyFill="1" applyBorder="1" applyProtection="1"/>
    <xf numFmtId="9" fontId="8" fillId="0" borderId="0" xfId="5" applyFont="1" applyFill="1" applyBorder="1" applyProtection="1"/>
    <xf numFmtId="164" fontId="8" fillId="0" borderId="0" xfId="1" applyNumberFormat="1" applyFont="1" applyFill="1" applyBorder="1" applyProtection="1"/>
    <xf numFmtId="0" fontId="0" fillId="2" borderId="0" xfId="0" applyFill="1" applyAlignment="1">
      <alignment horizontal="left"/>
    </xf>
    <xf numFmtId="165" fontId="0" fillId="2" borderId="0" xfId="0" applyNumberFormat="1" applyFill="1"/>
    <xf numFmtId="0" fontId="0" fillId="2" borderId="0" xfId="0" applyFill="1" applyAlignment="1">
      <alignment horizontal="center" wrapText="1"/>
    </xf>
    <xf numFmtId="0" fontId="4" fillId="2" borderId="0" xfId="0" applyFont="1" applyFill="1" applyAlignment="1">
      <alignment horizontal="center"/>
    </xf>
    <xf numFmtId="0" fontId="0" fillId="2" borderId="0" xfId="0" applyFill="1" applyAlignment="1">
      <alignment horizontal="center"/>
    </xf>
    <xf numFmtId="1" fontId="0" fillId="2" borderId="0" xfId="0" applyNumberFormat="1" applyFill="1" applyAlignment="1">
      <alignment horizontal="center"/>
    </xf>
    <xf numFmtId="1" fontId="0" fillId="0" borderId="0" xfId="0" applyNumberFormat="1" applyAlignment="1">
      <alignment horizontal="center"/>
    </xf>
    <xf numFmtId="0" fontId="13" fillId="0" borderId="0" xfId="0" applyFont="1" applyAlignment="1">
      <alignment horizontal="center" vertical="center" wrapText="1"/>
    </xf>
    <xf numFmtId="49" fontId="5" fillId="0" borderId="0" xfId="0" applyNumberFormat="1" applyFont="1"/>
    <xf numFmtId="0" fontId="11" fillId="2" borderId="0" xfId="0" applyFont="1" applyFill="1" applyAlignment="1">
      <alignment horizontal="center" wrapText="1"/>
    </xf>
    <xf numFmtId="49" fontId="0" fillId="0" borderId="0" xfId="0" applyNumberFormat="1"/>
    <xf numFmtId="0" fontId="0" fillId="0" borderId="7" xfId="0" applyBorder="1"/>
    <xf numFmtId="0" fontId="0" fillId="6" borderId="7" xfId="0" applyFill="1" applyBorder="1"/>
    <xf numFmtId="166" fontId="0" fillId="0" borderId="0" xfId="0" applyNumberFormat="1"/>
    <xf numFmtId="0" fontId="16" fillId="2" borderId="0" xfId="0" applyFont="1" applyFill="1"/>
    <xf numFmtId="0" fontId="1" fillId="2" borderId="0" xfId="0" applyFont="1" applyFill="1"/>
    <xf numFmtId="0" fontId="9" fillId="2" borderId="0" xfId="0" applyFont="1" applyFill="1" applyAlignment="1">
      <alignment horizontal="left"/>
    </xf>
    <xf numFmtId="0" fontId="11" fillId="2" borderId="0" xfId="0" applyFont="1" applyFill="1" applyAlignment="1">
      <alignment horizontal="left"/>
    </xf>
    <xf numFmtId="0" fontId="9" fillId="0" borderId="0" xfId="0" applyFont="1"/>
    <xf numFmtId="0" fontId="9" fillId="3" borderId="12" xfId="0" applyFont="1" applyFill="1" applyBorder="1" applyAlignment="1">
      <alignment horizontal="center"/>
    </xf>
    <xf numFmtId="0" fontId="9" fillId="3" borderId="11" xfId="0" applyFont="1" applyFill="1" applyBorder="1" applyAlignment="1">
      <alignment horizontal="center"/>
    </xf>
    <xf numFmtId="0" fontId="18" fillId="0" borderId="0" xfId="0" applyFont="1"/>
    <xf numFmtId="0" fontId="11" fillId="0" borderId="0" xfId="0" applyFont="1"/>
    <xf numFmtId="14" fontId="9" fillId="2" borderId="0" xfId="0" applyNumberFormat="1" applyFont="1" applyFill="1"/>
    <xf numFmtId="14" fontId="0" fillId="0" borderId="0" xfId="0" applyNumberFormat="1" applyAlignment="1">
      <alignment horizontal="left"/>
    </xf>
    <xf numFmtId="167" fontId="8" fillId="5" borderId="0" xfId="1" applyNumberFormat="1" applyFont="1" applyFill="1" applyAlignment="1" applyProtection="1">
      <alignment horizontal="right"/>
      <protection locked="0"/>
    </xf>
    <xf numFmtId="168" fontId="0" fillId="0" borderId="7" xfId="0" applyNumberFormat="1" applyBorder="1" applyAlignment="1">
      <alignment horizontal="right"/>
    </xf>
    <xf numFmtId="0" fontId="0" fillId="0" borderId="0" xfId="0" applyProtection="1">
      <protection locked="0"/>
    </xf>
    <xf numFmtId="10" fontId="8" fillId="4" borderId="7" xfId="1" applyNumberFormat="1" applyFont="1" applyFill="1" applyBorder="1" applyAlignment="1" applyProtection="1">
      <alignment horizontal="right"/>
    </xf>
    <xf numFmtId="10" fontId="0" fillId="2" borderId="7" xfId="7" applyNumberFormat="1" applyFont="1" applyFill="1" applyBorder="1" applyAlignment="1" applyProtection="1">
      <alignment horizontal="right"/>
    </xf>
    <xf numFmtId="0" fontId="0" fillId="4" borderId="7" xfId="0" applyFill="1" applyBorder="1" applyAlignment="1">
      <alignment horizontal="center"/>
    </xf>
    <xf numFmtId="170" fontId="0" fillId="0" borderId="0" xfId="0" applyNumberFormat="1" applyProtection="1">
      <protection locked="0"/>
    </xf>
    <xf numFmtId="0" fontId="17" fillId="2" borderId="0" xfId="0" applyFont="1" applyFill="1" applyAlignment="1">
      <alignment vertical="top" wrapText="1"/>
    </xf>
    <xf numFmtId="0" fontId="20" fillId="2" borderId="0" xfId="0" applyFont="1" applyFill="1" applyAlignment="1">
      <alignment horizontal="left" vertical="center"/>
    </xf>
    <xf numFmtId="0" fontId="20" fillId="2" borderId="0" xfId="0" quotePrefix="1" applyFont="1" applyFill="1" applyAlignment="1">
      <alignment horizontal="left" vertical="center"/>
    </xf>
    <xf numFmtId="14" fontId="21" fillId="2" borderId="0" xfId="0" applyNumberFormat="1" applyFont="1" applyFill="1" applyAlignment="1">
      <alignment horizontal="left" vertical="center"/>
    </xf>
    <xf numFmtId="0" fontId="22" fillId="2" borderId="0" xfId="0" applyFont="1" applyFill="1"/>
    <xf numFmtId="0" fontId="22" fillId="2" borderId="0" xfId="0" quotePrefix="1" applyFont="1" applyFill="1" applyAlignment="1">
      <alignment horizontal="left"/>
    </xf>
    <xf numFmtId="0" fontId="23" fillId="2" borderId="0" xfId="0" applyFont="1" applyFill="1"/>
    <xf numFmtId="0" fontId="23" fillId="0" borderId="0" xfId="0" applyFont="1"/>
    <xf numFmtId="0" fontId="19" fillId="0" borderId="0" xfId="0" applyFont="1"/>
    <xf numFmtId="0" fontId="21" fillId="0" borderId="0" xfId="0" applyFont="1" applyAlignment="1">
      <alignment horizontal="left" vertical="center"/>
    </xf>
    <xf numFmtId="168" fontId="8" fillId="5" borderId="7" xfId="3" applyNumberFormat="1" applyFont="1" applyFill="1" applyBorder="1" applyAlignment="1" applyProtection="1">
      <alignment horizontal="right"/>
      <protection locked="0"/>
    </xf>
    <xf numFmtId="168" fontId="8" fillId="0" borderId="7" xfId="3" quotePrefix="1" applyNumberFormat="1" applyFont="1" applyFill="1" applyBorder="1" applyAlignment="1" applyProtection="1">
      <alignment horizontal="right"/>
    </xf>
    <xf numFmtId="168" fontId="8" fillId="0" borderId="7" xfId="1" quotePrefix="1" applyNumberFormat="1" applyFont="1" applyFill="1" applyBorder="1" applyAlignment="1" applyProtection="1">
      <alignment horizontal="right"/>
    </xf>
    <xf numFmtId="168" fontId="8" fillId="5" borderId="7" xfId="1" applyNumberFormat="1" applyFont="1" applyFill="1" applyBorder="1" applyAlignment="1" applyProtection="1">
      <alignment horizontal="right"/>
      <protection locked="0"/>
    </xf>
    <xf numFmtId="168" fontId="8" fillId="0" borderId="7" xfId="3" applyNumberFormat="1" applyFont="1" applyFill="1" applyBorder="1" applyAlignment="1" applyProtection="1">
      <alignment horizontal="right"/>
    </xf>
    <xf numFmtId="168" fontId="0" fillId="2" borderId="7" xfId="0" applyNumberFormat="1" applyFill="1" applyBorder="1" applyAlignment="1">
      <alignment horizontal="right"/>
    </xf>
    <xf numFmtId="164" fontId="8" fillId="0" borderId="7" xfId="1" applyNumberFormat="1" applyFont="1" applyFill="1" applyBorder="1" applyProtection="1"/>
    <xf numFmtId="0" fontId="9" fillId="2" borderId="17" xfId="0" applyFont="1" applyFill="1" applyBorder="1" applyAlignment="1">
      <alignment horizontal="center"/>
    </xf>
    <xf numFmtId="0" fontId="9" fillId="2" borderId="21" xfId="0" applyFont="1" applyFill="1" applyBorder="1" applyAlignment="1">
      <alignment horizontal="center"/>
    </xf>
    <xf numFmtId="0" fontId="1" fillId="2" borderId="22" xfId="0" applyFont="1" applyFill="1" applyBorder="1"/>
    <xf numFmtId="0" fontId="1" fillId="2" borderId="15" xfId="0" applyFont="1" applyFill="1" applyBorder="1"/>
    <xf numFmtId="168" fontId="0" fillId="2" borderId="13" xfId="0" applyNumberFormat="1" applyFill="1" applyBorder="1"/>
    <xf numFmtId="168" fontId="11" fillId="5" borderId="22" xfId="0" applyNumberFormat="1" applyFont="1" applyFill="1" applyBorder="1" applyAlignment="1" applyProtection="1">
      <alignment horizontal="right"/>
      <protection locked="0"/>
    </xf>
    <xf numFmtId="164" fontId="9" fillId="0" borderId="26" xfId="1" applyNumberFormat="1" applyFont="1" applyFill="1" applyBorder="1" applyAlignment="1" applyProtection="1">
      <alignment horizontal="center"/>
    </xf>
    <xf numFmtId="168" fontId="11" fillId="0" borderId="22" xfId="0" quotePrefix="1" applyNumberFormat="1" applyFont="1" applyBorder="1" applyAlignment="1">
      <alignment horizontal="right"/>
    </xf>
    <xf numFmtId="0" fontId="9" fillId="2" borderId="27" xfId="0" applyFont="1" applyFill="1" applyBorder="1" applyAlignment="1">
      <alignment horizontal="center"/>
    </xf>
    <xf numFmtId="167" fontId="0" fillId="5" borderId="17" xfId="0" applyNumberFormat="1" applyFill="1" applyBorder="1" applyAlignment="1" applyProtection="1">
      <alignment horizontal="right"/>
      <protection locked="0"/>
    </xf>
    <xf numFmtId="167" fontId="0" fillId="5" borderId="28" xfId="0" applyNumberFormat="1" applyFill="1" applyBorder="1" applyAlignment="1" applyProtection="1">
      <alignment horizontal="right"/>
      <protection locked="0"/>
    </xf>
    <xf numFmtId="167" fontId="0" fillId="5" borderId="29" xfId="0" applyNumberFormat="1" applyFill="1" applyBorder="1" applyAlignment="1" applyProtection="1">
      <alignment horizontal="right"/>
      <protection locked="0"/>
    </xf>
    <xf numFmtId="167" fontId="0" fillId="5" borderId="30" xfId="0" applyNumberFormat="1" applyFill="1" applyBorder="1" applyAlignment="1" applyProtection="1">
      <alignment horizontal="right"/>
      <protection locked="0"/>
    </xf>
    <xf numFmtId="167" fontId="0" fillId="5" borderId="31" xfId="0" applyNumberFormat="1" applyFill="1" applyBorder="1" applyAlignment="1" applyProtection="1">
      <alignment horizontal="right"/>
      <protection locked="0"/>
    </xf>
    <xf numFmtId="167" fontId="0" fillId="5" borderId="32" xfId="0" applyNumberFormat="1" applyFill="1" applyBorder="1" applyAlignment="1" applyProtection="1">
      <alignment horizontal="right"/>
      <protection locked="0"/>
    </xf>
    <xf numFmtId="167" fontId="0" fillId="5" borderId="33" xfId="0" applyNumberFormat="1" applyFill="1" applyBorder="1" applyAlignment="1" applyProtection="1">
      <alignment horizontal="right"/>
      <protection locked="0"/>
    </xf>
    <xf numFmtId="167" fontId="0" fillId="5" borderId="34" xfId="0" applyNumberFormat="1" applyFill="1" applyBorder="1" applyAlignment="1" applyProtection="1">
      <alignment horizontal="right"/>
      <protection locked="0"/>
    </xf>
    <xf numFmtId="167" fontId="8" fillId="5" borderId="30" xfId="1" applyNumberFormat="1" applyFont="1" applyFill="1" applyBorder="1" applyAlignment="1" applyProtection="1">
      <alignment horizontal="right"/>
      <protection locked="0"/>
    </xf>
    <xf numFmtId="167" fontId="8" fillId="5" borderId="20" xfId="1" applyNumberFormat="1" applyFont="1" applyFill="1" applyBorder="1" applyAlignment="1" applyProtection="1">
      <alignment horizontal="right"/>
      <protection locked="0"/>
    </xf>
    <xf numFmtId="167" fontId="8" fillId="5" borderId="35" xfId="1" applyNumberFormat="1" applyFont="1" applyFill="1" applyBorder="1" applyAlignment="1" applyProtection="1">
      <alignment horizontal="right"/>
      <protection locked="0"/>
    </xf>
    <xf numFmtId="168" fontId="0" fillId="5" borderId="18" xfId="0" applyNumberFormat="1" applyFill="1" applyBorder="1" applyAlignment="1" applyProtection="1">
      <alignment horizontal="right"/>
      <protection locked="0"/>
    </xf>
    <xf numFmtId="168" fontId="0" fillId="5" borderId="36" xfId="0" applyNumberFormat="1" applyFill="1" applyBorder="1" applyAlignment="1" applyProtection="1">
      <alignment horizontal="right"/>
      <protection locked="0"/>
    </xf>
    <xf numFmtId="168" fontId="0" fillId="0" borderId="18" xfId="0" quotePrefix="1" applyNumberFormat="1" applyBorder="1" applyAlignment="1">
      <alignment horizontal="right"/>
    </xf>
    <xf numFmtId="168" fontId="0" fillId="0" borderId="36" xfId="0" quotePrefix="1" applyNumberFormat="1" applyBorder="1" applyAlignment="1">
      <alignment horizontal="right"/>
    </xf>
    <xf numFmtId="168" fontId="0" fillId="5" borderId="7" xfId="0" applyNumberFormat="1" applyFill="1" applyBorder="1" applyProtection="1">
      <protection locked="0"/>
    </xf>
    <xf numFmtId="10" fontId="0" fillId="5" borderId="7" xfId="0" applyNumberFormat="1" applyFill="1" applyBorder="1" applyProtection="1">
      <protection locked="0"/>
    </xf>
    <xf numFmtId="168" fontId="9" fillId="0" borderId="7" xfId="0" applyNumberFormat="1" applyFont="1" applyBorder="1"/>
    <xf numFmtId="167" fontId="0" fillId="5" borderId="7" xfId="0" applyNumberFormat="1" applyFill="1" applyBorder="1" applyProtection="1">
      <protection locked="0"/>
    </xf>
    <xf numFmtId="14" fontId="9" fillId="2" borderId="37" xfId="0" applyNumberFormat="1" applyFont="1" applyFill="1" applyBorder="1"/>
    <xf numFmtId="0" fontId="0" fillId="2" borderId="11" xfId="0" applyFill="1" applyBorder="1"/>
    <xf numFmtId="0" fontId="0" fillId="2" borderId="37" xfId="0" applyFill="1" applyBorder="1"/>
    <xf numFmtId="168" fontId="8" fillId="0" borderId="7" xfId="1" applyNumberFormat="1" applyFont="1" applyFill="1" applyBorder="1" applyProtection="1"/>
    <xf numFmtId="168" fontId="11" fillId="0" borderId="7" xfId="1" applyNumberFormat="1" applyFont="1" applyFill="1" applyBorder="1" applyProtection="1"/>
    <xf numFmtId="10" fontId="11" fillId="5" borderId="7" xfId="0" applyNumberFormat="1" applyFont="1" applyFill="1" applyBorder="1" applyProtection="1">
      <protection locked="0"/>
    </xf>
    <xf numFmtId="168" fontId="9" fillId="0" borderId="7" xfId="1" applyNumberFormat="1" applyFont="1" applyFill="1" applyBorder="1" applyProtection="1"/>
    <xf numFmtId="168" fontId="9" fillId="0" borderId="13" xfId="0" quotePrefix="1" applyNumberFormat="1" applyFont="1" applyBorder="1" applyAlignment="1">
      <alignment horizontal="right"/>
    </xf>
    <xf numFmtId="164" fontId="12" fillId="0" borderId="0" xfId="1" applyNumberFormat="1" applyFont="1" applyFill="1" applyAlignment="1" applyProtection="1">
      <alignment horizontal="center"/>
    </xf>
    <xf numFmtId="49" fontId="0" fillId="0" borderId="6" xfId="0" applyNumberFormat="1" applyBorder="1" applyAlignment="1">
      <alignment horizontal="right"/>
    </xf>
    <xf numFmtId="0" fontId="0" fillId="2" borderId="2" xfId="0" applyFill="1" applyBorder="1"/>
    <xf numFmtId="49" fontId="0" fillId="0" borderId="12" xfId="0" applyNumberFormat="1" applyBorder="1" applyAlignment="1">
      <alignment horizontal="right"/>
    </xf>
    <xf numFmtId="0" fontId="0" fillId="6" borderId="12" xfId="0" applyFill="1" applyBorder="1"/>
    <xf numFmtId="0" fontId="0" fillId="0" borderId="2" xfId="0" applyBorder="1" applyAlignment="1">
      <alignment horizontal="center"/>
    </xf>
    <xf numFmtId="169" fontId="0" fillId="0" borderId="12" xfId="0" quotePrefix="1" applyNumberFormat="1" applyBorder="1"/>
    <xf numFmtId="0" fontId="0" fillId="0" borderId="2" xfId="0" applyBorder="1"/>
    <xf numFmtId="169" fontId="0" fillId="0" borderId="12" xfId="0" applyNumberFormat="1" applyBorder="1"/>
    <xf numFmtId="43" fontId="0" fillId="6" borderId="12" xfId="0" applyNumberFormat="1" applyFill="1" applyBorder="1"/>
    <xf numFmtId="0" fontId="0" fillId="2" borderId="11" xfId="0" applyFill="1" applyBorder="1" applyAlignment="1">
      <alignment horizontal="left"/>
    </xf>
    <xf numFmtId="0" fontId="0" fillId="2" borderId="2" xfId="0" applyFill="1" applyBorder="1" applyAlignment="1">
      <alignment horizontal="left"/>
    </xf>
    <xf numFmtId="3" fontId="0" fillId="0" borderId="12" xfId="0" applyNumberFormat="1" applyBorder="1"/>
    <xf numFmtId="10" fontId="8" fillId="4" borderId="11" xfId="1" applyNumberFormat="1" applyFont="1" applyFill="1" applyBorder="1" applyAlignment="1" applyProtection="1">
      <alignment horizontal="right"/>
    </xf>
    <xf numFmtId="169" fontId="0" fillId="2" borderId="7" xfId="0" applyNumberFormat="1" applyFill="1" applyBorder="1" applyAlignment="1">
      <alignment horizontal="right"/>
    </xf>
    <xf numFmtId="169" fontId="8" fillId="4" borderId="7" xfId="1" applyNumberFormat="1" applyFont="1" applyFill="1" applyBorder="1" applyAlignment="1" applyProtection="1">
      <alignment horizontal="right"/>
    </xf>
    <xf numFmtId="3" fontId="8" fillId="4" borderId="7" xfId="1" applyNumberFormat="1" applyFont="1" applyFill="1" applyBorder="1" applyAlignment="1" applyProtection="1">
      <alignment horizontal="right"/>
    </xf>
    <xf numFmtId="168" fontId="8" fillId="4" borderId="7" xfId="1" applyNumberFormat="1" applyFont="1" applyFill="1" applyBorder="1" applyAlignment="1" applyProtection="1">
      <alignment horizontal="right"/>
    </xf>
    <xf numFmtId="0" fontId="0" fillId="2" borderId="1" xfId="0" applyFill="1" applyBorder="1" applyAlignment="1">
      <alignment horizontal="left"/>
    </xf>
    <xf numFmtId="0" fontId="0" fillId="2" borderId="37" xfId="0" applyFill="1" applyBorder="1" applyAlignment="1">
      <alignment horizontal="left"/>
    </xf>
    <xf numFmtId="0" fontId="0" fillId="6" borderId="8" xfId="0" applyFill="1" applyBorder="1"/>
    <xf numFmtId="0" fontId="0" fillId="6" borderId="9" xfId="0" applyFill="1" applyBorder="1"/>
    <xf numFmtId="0" fontId="0" fillId="6" borderId="10" xfId="0" applyFill="1" applyBorder="1"/>
    <xf numFmtId="0" fontId="0" fillId="2" borderId="1" xfId="0" applyFill="1" applyBorder="1"/>
    <xf numFmtId="0" fontId="0" fillId="2" borderId="1" xfId="0" applyFill="1" applyBorder="1" applyAlignment="1">
      <alignment vertical="center"/>
    </xf>
    <xf numFmtId="0" fontId="0" fillId="0" borderId="11" xfId="0" applyBorder="1"/>
    <xf numFmtId="0" fontId="9" fillId="2" borderId="11" xfId="0" applyFont="1" applyFill="1" applyBorder="1" applyAlignment="1">
      <alignment horizontal="left"/>
    </xf>
    <xf numFmtId="0" fontId="0" fillId="0" borderId="1" xfId="0" applyBorder="1" applyAlignment="1">
      <alignment horizontal="left" indent="2"/>
    </xf>
    <xf numFmtId="0" fontId="9" fillId="2" borderId="37" xfId="0" applyFont="1" applyFill="1" applyBorder="1" applyAlignment="1">
      <alignment horizontal="left"/>
    </xf>
    <xf numFmtId="0" fontId="1" fillId="2" borderId="2" xfId="0" applyFont="1" applyFill="1" applyBorder="1" applyAlignment="1">
      <alignment horizontal="center"/>
    </xf>
    <xf numFmtId="10" fontId="0" fillId="2" borderId="11" xfId="7" applyNumberFormat="1" applyFont="1" applyFill="1" applyBorder="1" applyAlignment="1" applyProtection="1">
      <alignment horizontal="right"/>
    </xf>
    <xf numFmtId="3" fontId="0" fillId="2" borderId="7" xfId="0" applyNumberFormat="1" applyFill="1" applyBorder="1" applyAlignment="1">
      <alignment horizontal="right"/>
    </xf>
    <xf numFmtId="0" fontId="0" fillId="5" borderId="11" xfId="0" applyFill="1" applyBorder="1" applyAlignment="1" applyProtection="1">
      <alignment horizontal="center"/>
      <protection locked="0"/>
    </xf>
    <xf numFmtId="10" fontId="0" fillId="0" borderId="11" xfId="0" applyNumberFormat="1" applyBorder="1" applyAlignment="1">
      <alignment horizontal="center"/>
    </xf>
    <xf numFmtId="0" fontId="0" fillId="5" borderId="7" xfId="0" applyFill="1" applyBorder="1" applyAlignment="1" applyProtection="1">
      <alignment horizontal="right" wrapText="1"/>
      <protection locked="0"/>
    </xf>
    <xf numFmtId="0" fontId="0" fillId="5" borderId="7" xfId="0" quotePrefix="1" applyFill="1" applyBorder="1" applyAlignment="1" applyProtection="1">
      <alignment horizontal="right"/>
      <protection locked="0"/>
    </xf>
    <xf numFmtId="49" fontId="0" fillId="5" borderId="7" xfId="0" applyNumberFormat="1" applyFill="1" applyBorder="1" applyAlignment="1" applyProtection="1">
      <alignment horizontal="right" wrapText="1"/>
      <protection locked="0"/>
    </xf>
    <xf numFmtId="167" fontId="0" fillId="5" borderId="7" xfId="0" applyNumberFormat="1" applyFill="1" applyBorder="1" applyAlignment="1" applyProtection="1">
      <alignment horizontal="right"/>
      <protection locked="0"/>
    </xf>
    <xf numFmtId="0" fontId="0" fillId="5" borderId="7" xfId="0" applyFill="1" applyBorder="1" applyAlignment="1" applyProtection="1">
      <alignment horizontal="right"/>
      <protection locked="0"/>
    </xf>
    <xf numFmtId="14" fontId="0" fillId="5" borderId="7" xfId="0" quotePrefix="1" applyNumberFormat="1" applyFill="1" applyBorder="1" applyAlignment="1" applyProtection="1">
      <alignment horizontal="right"/>
      <protection locked="0"/>
    </xf>
    <xf numFmtId="10" fontId="0" fillId="5" borderId="7" xfId="0" quotePrefix="1" applyNumberFormat="1" applyFill="1" applyBorder="1" applyAlignment="1" applyProtection="1">
      <alignment horizontal="right"/>
      <protection locked="0"/>
    </xf>
    <xf numFmtId="0" fontId="0" fillId="2" borderId="11" xfId="0" applyFill="1" applyBorder="1" applyAlignment="1">
      <alignment horizontal="center"/>
    </xf>
    <xf numFmtId="169" fontId="0" fillId="5" borderId="7" xfId="0" applyNumberFormat="1" applyFill="1" applyBorder="1" applyAlignment="1" applyProtection="1">
      <alignment horizontal="right"/>
      <protection locked="0"/>
    </xf>
    <xf numFmtId="168" fontId="0" fillId="5" borderId="7" xfId="0" applyNumberFormat="1" applyFill="1" applyBorder="1" applyAlignment="1" applyProtection="1">
      <alignment horizontal="right"/>
      <protection locked="0"/>
    </xf>
    <xf numFmtId="0" fontId="0" fillId="0" borderId="1" xfId="0" applyBorder="1"/>
    <xf numFmtId="0" fontId="0" fillId="0" borderId="37" xfId="0" applyBorder="1"/>
    <xf numFmtId="0" fontId="0" fillId="4" borderId="11" xfId="0" applyFill="1" applyBorder="1" applyAlignment="1">
      <alignment horizontal="center"/>
    </xf>
    <xf numFmtId="168" fontId="0" fillId="0" borderId="11" xfId="0" applyNumberFormat="1" applyBorder="1" applyAlignment="1">
      <alignment horizontal="center"/>
    </xf>
    <xf numFmtId="170" fontId="0" fillId="5" borderId="7" xfId="0" applyNumberFormat="1" applyFill="1" applyBorder="1" applyAlignment="1" applyProtection="1">
      <alignment horizontal="right"/>
      <protection locked="0"/>
    </xf>
    <xf numFmtId="0" fontId="9" fillId="0" borderId="37" xfId="0" applyFont="1" applyBorder="1"/>
    <xf numFmtId="168" fontId="0" fillId="0" borderId="11" xfId="0" applyNumberFormat="1" applyBorder="1" applyAlignment="1">
      <alignment horizontal="right"/>
    </xf>
    <xf numFmtId="10" fontId="0" fillId="5" borderId="7" xfId="0" applyNumberFormat="1" applyFill="1" applyBorder="1" applyAlignment="1" applyProtection="1">
      <alignment horizontal="right"/>
      <protection locked="0"/>
    </xf>
    <xf numFmtId="0" fontId="9" fillId="0" borderId="7" xfId="0" applyFont="1" applyBorder="1" applyAlignment="1">
      <alignment horizontal="right"/>
    </xf>
    <xf numFmtId="169" fontId="0" fillId="2" borderId="11" xfId="0" applyNumberFormat="1" applyFill="1" applyBorder="1" applyAlignment="1">
      <alignment horizontal="right"/>
    </xf>
    <xf numFmtId="3" fontId="0" fillId="2" borderId="11" xfId="0" applyNumberFormat="1" applyFill="1" applyBorder="1" applyAlignment="1">
      <alignment horizontal="right"/>
    </xf>
    <xf numFmtId="0" fontId="0" fillId="2" borderId="2" xfId="0" quotePrefix="1" applyFill="1" applyBorder="1" applyAlignment="1">
      <alignment horizontal="left"/>
    </xf>
    <xf numFmtId="169" fontId="8" fillId="4" borderId="11" xfId="1" applyNumberFormat="1" applyFont="1" applyFill="1" applyBorder="1" applyAlignment="1" applyProtection="1">
      <alignment horizontal="right"/>
    </xf>
    <xf numFmtId="3" fontId="8" fillId="4" borderId="11" xfId="1" applyNumberFormat="1" applyFont="1" applyFill="1" applyBorder="1" applyAlignment="1" applyProtection="1">
      <alignment horizontal="right"/>
    </xf>
    <xf numFmtId="168" fontId="8" fillId="4" borderId="11" xfId="1" applyNumberFormat="1" applyFont="1" applyFill="1" applyBorder="1" applyAlignment="1" applyProtection="1">
      <alignment horizontal="right"/>
    </xf>
    <xf numFmtId="49" fontId="0" fillId="0" borderId="3" xfId="0" applyNumberFormat="1" applyBorder="1" applyAlignment="1">
      <alignment horizontal="right"/>
    </xf>
    <xf numFmtId="0" fontId="0" fillId="2" borderId="5" xfId="0" applyFill="1" applyBorder="1" applyAlignment="1">
      <alignment horizontal="left"/>
    </xf>
    <xf numFmtId="170" fontId="0" fillId="0" borderId="7" xfId="0" applyNumberFormat="1" applyBorder="1" applyAlignment="1">
      <alignment horizontal="center"/>
    </xf>
    <xf numFmtId="0" fontId="22" fillId="2" borderId="0" xfId="0" applyFont="1" applyFill="1" applyAlignment="1">
      <alignment horizontal="left"/>
    </xf>
    <xf numFmtId="170" fontId="0" fillId="5" borderId="7" xfId="0" applyNumberFormat="1" applyFill="1" applyBorder="1" applyProtection="1">
      <protection locked="0"/>
    </xf>
    <xf numFmtId="170" fontId="9" fillId="5" borderId="7" xfId="0" applyNumberFormat="1" applyFont="1" applyFill="1" applyBorder="1" applyAlignment="1" applyProtection="1">
      <alignment horizontal="right"/>
      <protection locked="0"/>
    </xf>
    <xf numFmtId="49" fontId="20" fillId="5" borderId="12" xfId="0" applyNumberFormat="1" applyFont="1" applyFill="1" applyBorder="1" applyAlignment="1" applyProtection="1">
      <alignment horizontal="left" vertical="center"/>
      <protection locked="0"/>
    </xf>
    <xf numFmtId="49" fontId="20" fillId="5" borderId="37" xfId="0" applyNumberFormat="1" applyFont="1" applyFill="1" applyBorder="1" applyAlignment="1" applyProtection="1">
      <alignment horizontal="left"/>
      <protection locked="0"/>
    </xf>
    <xf numFmtId="0" fontId="0" fillId="5" borderId="11" xfId="0" applyFill="1" applyBorder="1"/>
    <xf numFmtId="0" fontId="20" fillId="5" borderId="7" xfId="0" applyFont="1" applyFill="1" applyBorder="1" applyAlignment="1" applyProtection="1">
      <alignment horizontal="left" vertical="center"/>
      <protection locked="0"/>
    </xf>
    <xf numFmtId="14" fontId="0" fillId="5" borderId="7" xfId="0" applyNumberFormat="1" applyFill="1" applyBorder="1" applyAlignment="1" applyProtection="1">
      <alignment horizontal="right"/>
      <protection locked="0"/>
    </xf>
    <xf numFmtId="3" fontId="0" fillId="0" borderId="7" xfId="0" applyNumberFormat="1" applyBorder="1"/>
    <xf numFmtId="3" fontId="9" fillId="0" borderId="7" xfId="0" applyNumberFormat="1" applyFont="1" applyBorder="1"/>
    <xf numFmtId="169" fontId="0" fillId="0" borderId="7" xfId="0" applyNumberFormat="1" applyBorder="1" applyAlignment="1">
      <alignment horizontal="right"/>
    </xf>
    <xf numFmtId="3" fontId="0" fillId="5" borderId="7" xfId="0" applyNumberFormat="1" applyFill="1" applyBorder="1" applyAlignment="1" applyProtection="1">
      <alignment horizontal="right"/>
      <protection locked="0"/>
    </xf>
    <xf numFmtId="14" fontId="20" fillId="2" borderId="0" xfId="0" applyNumberFormat="1" applyFont="1" applyFill="1" applyAlignment="1">
      <alignment horizontal="left" vertical="center"/>
    </xf>
    <xf numFmtId="0" fontId="0" fillId="6" borderId="8" xfId="0" applyFill="1" applyBorder="1" applyAlignment="1">
      <alignment horizontal="center"/>
    </xf>
    <xf numFmtId="0" fontId="0" fillId="6" borderId="9" xfId="0" applyFill="1" applyBorder="1" applyAlignment="1">
      <alignment horizontal="center"/>
    </xf>
    <xf numFmtId="0" fontId="0" fillId="6" borderId="10" xfId="0" applyFill="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3" fillId="2" borderId="14" xfId="0" applyFont="1" applyFill="1" applyBorder="1"/>
    <xf numFmtId="0" fontId="9" fillId="2" borderId="16" xfId="0" applyFont="1" applyFill="1" applyBorder="1" applyAlignment="1">
      <alignment wrapText="1"/>
    </xf>
    <xf numFmtId="0" fontId="9" fillId="0" borderId="14" xfId="0" quotePrefix="1" applyFont="1" applyBorder="1" applyAlignment="1">
      <alignment wrapText="1"/>
    </xf>
    <xf numFmtId="0" fontId="3" fillId="2" borderId="15" xfId="0" applyFont="1" applyFill="1" applyBorder="1" applyAlignment="1">
      <alignment horizontal="center" vertical="center"/>
    </xf>
    <xf numFmtId="0" fontId="9" fillId="2" borderId="17" xfId="0" applyFont="1" applyFill="1" applyBorder="1" applyAlignment="1">
      <alignment horizontal="center" vertical="center" wrapText="1"/>
    </xf>
    <xf numFmtId="0" fontId="9" fillId="0" borderId="15" xfId="0" quotePrefix="1" applyFont="1" applyBorder="1" applyAlignment="1">
      <alignment horizontal="center" vertical="center" wrapText="1"/>
    </xf>
    <xf numFmtId="0" fontId="0" fillId="2" borderId="23" xfId="0" applyFill="1" applyBorder="1"/>
    <xf numFmtId="0" fontId="0" fillId="2" borderId="24" xfId="0" applyFill="1" applyBorder="1"/>
    <xf numFmtId="0" fontId="0" fillId="2" borderId="0" xfId="0" applyFill="1" applyAlignment="1">
      <alignment horizontal="center" wrapText="1"/>
    </xf>
    <xf numFmtId="0" fontId="3" fillId="3" borderId="6" xfId="0" quotePrefix="1" applyFont="1" applyFill="1" applyBorder="1" applyAlignment="1">
      <alignment horizontal="left" vertical="top"/>
    </xf>
    <xf numFmtId="0" fontId="3" fillId="3" borderId="1" xfId="0" quotePrefix="1" applyFont="1" applyFill="1" applyBorder="1" applyAlignment="1">
      <alignment horizontal="left" vertical="top"/>
    </xf>
    <xf numFmtId="0" fontId="3" fillId="3" borderId="2" xfId="0" quotePrefix="1" applyFont="1" applyFill="1" applyBorder="1" applyAlignment="1">
      <alignment horizontal="left" vertical="top"/>
    </xf>
    <xf numFmtId="0" fontId="3" fillId="3" borderId="3" xfId="0" quotePrefix="1" applyFont="1" applyFill="1" applyBorder="1" applyAlignment="1">
      <alignment horizontal="left" vertical="top"/>
    </xf>
    <xf numFmtId="0" fontId="3" fillId="3" borderId="4" xfId="0" quotePrefix="1" applyFont="1" applyFill="1" applyBorder="1" applyAlignment="1">
      <alignment horizontal="left" vertical="top"/>
    </xf>
    <xf numFmtId="0" fontId="3" fillId="3" borderId="5" xfId="0" quotePrefix="1" applyFont="1" applyFill="1" applyBorder="1" applyAlignment="1">
      <alignment horizontal="left" vertical="top"/>
    </xf>
    <xf numFmtId="0" fontId="9" fillId="2" borderId="19" xfId="0" applyFont="1" applyFill="1" applyBorder="1" applyAlignment="1">
      <alignment horizontal="center"/>
    </xf>
    <xf numFmtId="0" fontId="9" fillId="2" borderId="20" xfId="0" applyFont="1" applyFill="1" applyBorder="1" applyAlignment="1">
      <alignment horizontal="center"/>
    </xf>
    <xf numFmtId="0" fontId="9" fillId="0" borderId="25" xfId="0" applyFont="1" applyBorder="1" applyAlignment="1">
      <alignment horizontal="center"/>
    </xf>
    <xf numFmtId="0" fontId="1" fillId="2" borderId="12" xfId="0" applyFont="1" applyFill="1" applyBorder="1"/>
    <xf numFmtId="0" fontId="1" fillId="2" borderId="37" xfId="0" applyFont="1" applyFill="1" applyBorder="1"/>
    <xf numFmtId="0" fontId="1" fillId="2" borderId="11" xfId="0" applyFont="1" applyFill="1" applyBorder="1"/>
    <xf numFmtId="0" fontId="1" fillId="2" borderId="7" xfId="0" applyFont="1" applyFill="1" applyBorder="1"/>
    <xf numFmtId="0" fontId="3" fillId="3" borderId="6" xfId="0" applyFont="1" applyFill="1" applyBorder="1" applyAlignment="1">
      <alignment vertical="top"/>
    </xf>
    <xf numFmtId="0" fontId="3" fillId="3" borderId="1" xfId="0" applyFont="1" applyFill="1" applyBorder="1" applyAlignment="1">
      <alignment vertical="top"/>
    </xf>
    <xf numFmtId="0" fontId="3" fillId="3" borderId="2" xfId="0" applyFont="1" applyFill="1" applyBorder="1" applyAlignment="1">
      <alignment vertical="top"/>
    </xf>
    <xf numFmtId="0" fontId="3" fillId="3" borderId="3" xfId="0" applyFont="1" applyFill="1" applyBorder="1" applyAlignment="1">
      <alignment vertical="top"/>
    </xf>
    <xf numFmtId="0" fontId="3" fillId="3" borderId="4" xfId="0" applyFont="1" applyFill="1" applyBorder="1" applyAlignment="1">
      <alignment vertical="top"/>
    </xf>
    <xf numFmtId="0" fontId="3" fillId="3" borderId="5" xfId="0" applyFont="1" applyFill="1" applyBorder="1" applyAlignment="1">
      <alignment vertical="top"/>
    </xf>
    <xf numFmtId="14" fontId="5" fillId="0" borderId="0" xfId="0" applyNumberFormat="1" applyFont="1" applyAlignment="1">
      <alignment horizontal="left"/>
    </xf>
    <xf numFmtId="14" fontId="14" fillId="0" borderId="0" xfId="0" applyNumberFormat="1" applyFont="1" applyAlignment="1">
      <alignment horizontal="left"/>
    </xf>
    <xf numFmtId="0" fontId="0" fillId="6" borderId="2" xfId="0" applyFill="1" applyBorder="1" applyAlignment="1">
      <alignment horizontal="center"/>
    </xf>
    <xf numFmtId="0" fontId="0" fillId="6" borderId="38" xfId="0" applyFill="1" applyBorder="1" applyAlignment="1">
      <alignment horizontal="center"/>
    </xf>
    <xf numFmtId="0" fontId="0" fillId="6" borderId="5" xfId="0" applyFill="1" applyBorder="1" applyAlignment="1">
      <alignment horizontal="center"/>
    </xf>
    <xf numFmtId="0" fontId="7" fillId="6" borderId="8" xfId="0" applyFont="1" applyFill="1" applyBorder="1" applyAlignment="1">
      <alignment horizontal="right"/>
    </xf>
    <xf numFmtId="0" fontId="7" fillId="6" borderId="9" xfId="0" applyFont="1" applyFill="1" applyBorder="1" applyAlignment="1">
      <alignment horizontal="right"/>
    </xf>
    <xf numFmtId="0" fontId="7" fillId="6" borderId="10" xfId="0" applyFont="1" applyFill="1" applyBorder="1" applyAlignment="1">
      <alignment horizontal="right"/>
    </xf>
    <xf numFmtId="0" fontId="0" fillId="5" borderId="11" xfId="0" applyFill="1" applyBorder="1" applyAlignment="1" applyProtection="1">
      <alignment horizontal="center"/>
      <protection locked="0"/>
    </xf>
    <xf numFmtId="0" fontId="0" fillId="5" borderId="12" xfId="0" applyFill="1" applyBorder="1" applyAlignment="1" applyProtection="1">
      <alignment horizontal="center"/>
      <protection locked="0"/>
    </xf>
    <xf numFmtId="0" fontId="0" fillId="5" borderId="37" xfId="0" applyFill="1" applyBorder="1" applyAlignment="1" applyProtection="1">
      <alignment horizontal="center"/>
      <protection locked="0"/>
    </xf>
    <xf numFmtId="10" fontId="0" fillId="0" borderId="11" xfId="0" applyNumberFormat="1" applyBorder="1" applyAlignment="1">
      <alignment horizontal="center"/>
    </xf>
    <xf numFmtId="10" fontId="0" fillId="0" borderId="12" xfId="0" applyNumberFormat="1" applyBorder="1" applyAlignment="1">
      <alignment horizontal="center"/>
    </xf>
    <xf numFmtId="10" fontId="0" fillId="0" borderId="37" xfId="0" applyNumberFormat="1" applyBorder="1" applyAlignment="1">
      <alignment horizontal="center"/>
    </xf>
    <xf numFmtId="170" fontId="0" fillId="0" borderId="12" xfId="0" applyNumberFormat="1" applyBorder="1" applyAlignment="1">
      <alignment horizontal="center"/>
    </xf>
    <xf numFmtId="170" fontId="0" fillId="0" borderId="37" xfId="0" applyNumberFormat="1" applyBorder="1" applyAlignment="1">
      <alignment horizontal="center"/>
    </xf>
    <xf numFmtId="170" fontId="0" fillId="0" borderId="11" xfId="0" applyNumberFormat="1" applyBorder="1" applyAlignment="1">
      <alignment horizontal="center"/>
    </xf>
    <xf numFmtId="168" fontId="0" fillId="0" borderId="11" xfId="0" applyNumberFormat="1" applyBorder="1" applyAlignment="1">
      <alignment horizontal="center"/>
    </xf>
    <xf numFmtId="168" fontId="0" fillId="0" borderId="12" xfId="0" applyNumberFormat="1" applyBorder="1" applyAlignment="1">
      <alignment horizontal="center"/>
    </xf>
    <xf numFmtId="168" fontId="0" fillId="0" borderId="37" xfId="0" applyNumberFormat="1" applyBorder="1" applyAlignment="1">
      <alignment horizontal="center"/>
    </xf>
  </cellXfs>
  <cellStyles count="8">
    <cellStyle name="Comma" xfId="1" builtinId="3"/>
    <cellStyle name="Comma 2" xfId="2" xr:uid="{00000000-0005-0000-0000-000001000000}"/>
    <cellStyle name="Currency" xfId="3" builtinId="4"/>
    <cellStyle name="Currency 2" xfId="4" xr:uid="{00000000-0005-0000-0000-000003000000}"/>
    <cellStyle name="Normal" xfId="0" builtinId="0"/>
    <cellStyle name="Percent" xfId="5" builtinId="5"/>
    <cellStyle name="Percent 2" xfId="6" xr:uid="{00000000-0005-0000-0000-000006000000}"/>
    <cellStyle name="Percent 3" xfId="7" xr:uid="{2D280D9D-7734-4946-B6DC-76759CA8440A}"/>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4.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33</xdr:row>
          <xdr:rowOff>0</xdr:rowOff>
        </xdr:from>
        <xdr:to>
          <xdr:col>5</xdr:col>
          <xdr:colOff>1035050</xdr:colOff>
          <xdr:row>34</xdr:row>
          <xdr:rowOff>107950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184150</xdr:colOff>
          <xdr:row>33</xdr:row>
          <xdr:rowOff>0</xdr:rowOff>
        </xdr:from>
        <xdr:to>
          <xdr:col>6</xdr:col>
          <xdr:colOff>1238250</xdr:colOff>
          <xdr:row>34</xdr:row>
          <xdr:rowOff>107950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1289050</xdr:colOff>
          <xdr:row>33</xdr:row>
          <xdr:rowOff>0</xdr:rowOff>
        </xdr:from>
        <xdr:to>
          <xdr:col>7</xdr:col>
          <xdr:colOff>412750</xdr:colOff>
          <xdr:row>34</xdr:row>
          <xdr:rowOff>107950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1104900</xdr:colOff>
          <xdr:row>33</xdr:row>
          <xdr:rowOff>0</xdr:rowOff>
        </xdr:from>
        <xdr:to>
          <xdr:col>6</xdr:col>
          <xdr:colOff>209550</xdr:colOff>
          <xdr:row>34</xdr:row>
          <xdr:rowOff>107950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1092200</xdr:colOff>
          <xdr:row>0</xdr:row>
          <xdr:rowOff>0</xdr:rowOff>
        </xdr:from>
        <xdr:to>
          <xdr:col>5</xdr:col>
          <xdr:colOff>1031875</xdr:colOff>
          <xdr:row>1</xdr:row>
          <xdr:rowOff>47625</xdr:rowOff>
        </xdr:to>
        <xdr:sp macro="" textlink="">
          <xdr:nvSpPr>
            <xdr:cNvPr id="2078" name="Button 30" hidden="1">
              <a:extLst>
                <a:ext uri="{63B3BB69-23CF-44E3-9099-C40C66FF867C}">
                  <a14:compatExt spid="_x0000_s2078"/>
                </a:ext>
                <a:ext uri="{FF2B5EF4-FFF2-40B4-BE49-F238E27FC236}">
                  <a16:creationId xmlns:a16="http://schemas.microsoft.com/office/drawing/2014/main" id="{00000000-0008-0000-0100-00001E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15875</xdr:colOff>
          <xdr:row>0</xdr:row>
          <xdr:rowOff>0</xdr:rowOff>
        </xdr:from>
        <xdr:to>
          <xdr:col>8</xdr:col>
          <xdr:colOff>9525</xdr:colOff>
          <xdr:row>1</xdr:row>
          <xdr:rowOff>44450</xdr:rowOff>
        </xdr:to>
        <xdr:sp macro="" textlink="">
          <xdr:nvSpPr>
            <xdr:cNvPr id="2079" name="Button 31" hidden="1">
              <a:extLst>
                <a:ext uri="{63B3BB69-23CF-44E3-9099-C40C66FF867C}">
                  <a14:compatExt spid="_x0000_s2079"/>
                </a:ext>
                <a:ext uri="{FF2B5EF4-FFF2-40B4-BE49-F238E27FC236}">
                  <a16:creationId xmlns:a16="http://schemas.microsoft.com/office/drawing/2014/main" id="{00000000-0008-0000-0100-00001F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25400</xdr:colOff>
          <xdr:row>0</xdr:row>
          <xdr:rowOff>0</xdr:rowOff>
        </xdr:from>
        <xdr:to>
          <xdr:col>9</xdr:col>
          <xdr:colOff>12700</xdr:colOff>
          <xdr:row>1</xdr:row>
          <xdr:rowOff>44450</xdr:rowOff>
        </xdr:to>
        <xdr:sp macro="" textlink="">
          <xdr:nvSpPr>
            <xdr:cNvPr id="2080" name="Button 32" hidden="1">
              <a:extLst>
                <a:ext uri="{63B3BB69-23CF-44E3-9099-C40C66FF867C}">
                  <a14:compatExt spid="_x0000_s2080"/>
                </a:ext>
                <a:ext uri="{FF2B5EF4-FFF2-40B4-BE49-F238E27FC236}">
                  <a16:creationId xmlns:a16="http://schemas.microsoft.com/office/drawing/2014/main" id="{00000000-0008-0000-0100-000020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6350</xdr:colOff>
          <xdr:row>0</xdr:row>
          <xdr:rowOff>0</xdr:rowOff>
        </xdr:from>
        <xdr:to>
          <xdr:col>7</xdr:col>
          <xdr:colOff>6350</xdr:colOff>
          <xdr:row>1</xdr:row>
          <xdr:rowOff>44450</xdr:rowOff>
        </xdr:to>
        <xdr:sp macro="" textlink="">
          <xdr:nvSpPr>
            <xdr:cNvPr id="2083" name="Button 35" hidden="1">
              <a:extLst>
                <a:ext uri="{63B3BB69-23CF-44E3-9099-C40C66FF867C}">
                  <a14:compatExt spid="_x0000_s2083"/>
                </a:ext>
                <a:ext uri="{FF2B5EF4-FFF2-40B4-BE49-F238E27FC236}">
                  <a16:creationId xmlns:a16="http://schemas.microsoft.com/office/drawing/2014/main" id="{00000000-0008-0000-0100-00002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Plan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55</xdr:col>
          <xdr:colOff>50800</xdr:colOff>
          <xdr:row>0</xdr:row>
          <xdr:rowOff>0</xdr:rowOff>
        </xdr:from>
        <xdr:to>
          <xdr:col>56</xdr:col>
          <xdr:colOff>44450</xdr:colOff>
          <xdr:row>1</xdr:row>
          <xdr:rowOff>50800</xdr:rowOff>
        </xdr:to>
        <xdr:sp macro="" textlink="">
          <xdr:nvSpPr>
            <xdr:cNvPr id="2084" name="Button 36" hidden="1">
              <a:extLst>
                <a:ext uri="{63B3BB69-23CF-44E3-9099-C40C66FF867C}">
                  <a14:compatExt spid="_x0000_s2084"/>
                </a:ext>
                <a:ext uri="{FF2B5EF4-FFF2-40B4-BE49-F238E27FC236}">
                  <a16:creationId xmlns:a16="http://schemas.microsoft.com/office/drawing/2014/main" id="{00000000-0008-0000-0100-000024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Product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54</xdr:col>
          <xdr:colOff>50800</xdr:colOff>
          <xdr:row>9</xdr:row>
          <xdr:rowOff>0</xdr:rowOff>
        </xdr:from>
        <xdr:to>
          <xdr:col>55</xdr:col>
          <xdr:colOff>31750</xdr:colOff>
          <xdr:row>10</xdr:row>
          <xdr:rowOff>95250</xdr:rowOff>
        </xdr:to>
        <xdr:sp macro="" textlink="">
          <xdr:nvSpPr>
            <xdr:cNvPr id="2085" name="Button 37" hidden="1">
              <a:extLst>
                <a:ext uri="{63B3BB69-23CF-44E3-9099-C40C66FF867C}">
                  <a14:compatExt spid="_x0000_s2085"/>
                </a:ext>
                <a:ext uri="{FF2B5EF4-FFF2-40B4-BE49-F238E27FC236}">
                  <a16:creationId xmlns:a16="http://schemas.microsoft.com/office/drawing/2014/main" id="{00000000-0008-0000-0100-000025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Remove Plan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1441450</xdr:colOff>
          <xdr:row>1</xdr:row>
          <xdr:rowOff>57150</xdr:rowOff>
        </xdr:from>
        <xdr:to>
          <xdr:col>1</xdr:col>
          <xdr:colOff>565150</xdr:colOff>
          <xdr:row>2</xdr:row>
          <xdr:rowOff>133350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Validate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609600</xdr:colOff>
          <xdr:row>1</xdr:row>
          <xdr:rowOff>57150</xdr:rowOff>
        </xdr:from>
        <xdr:to>
          <xdr:col>1</xdr:col>
          <xdr:colOff>1651000</xdr:colOff>
          <xdr:row>2</xdr:row>
          <xdr:rowOff>133350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200-000002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Finalize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50800</xdr:colOff>
          <xdr:row>1</xdr:row>
          <xdr:rowOff>57150</xdr:rowOff>
        </xdr:from>
        <xdr:to>
          <xdr:col>0</xdr:col>
          <xdr:colOff>1390650</xdr:colOff>
          <xdr:row>2</xdr:row>
          <xdr:rowOff>133350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200-000003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Create Rating Areas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9.xml"/><Relationship Id="rId3" Type="http://schemas.openxmlformats.org/officeDocument/2006/relationships/vmlDrawing" Target="../drawings/vmlDrawing2.vml"/><Relationship Id="rId7" Type="http://schemas.openxmlformats.org/officeDocument/2006/relationships/ctrlProp" Target="../ctrlProps/ctrlProp8.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7.xml"/><Relationship Id="rId5" Type="http://schemas.openxmlformats.org/officeDocument/2006/relationships/ctrlProp" Target="../ctrlProps/ctrlProp6.xml"/><Relationship Id="rId4" Type="http://schemas.openxmlformats.org/officeDocument/2006/relationships/ctrlProp" Target="../ctrlProps/ctrlProp5.xml"/><Relationship Id="rId9" Type="http://schemas.openxmlformats.org/officeDocument/2006/relationships/ctrlProp" Target="../ctrlProps/ctrlProp10.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3.vml"/><Relationship Id="rId1" Type="http://schemas.openxmlformats.org/officeDocument/2006/relationships/drawing" Target="../drawings/drawing3.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E270"/>
  <sheetViews>
    <sheetView showGridLines="0" tabSelected="1" zoomScaleNormal="100" zoomScaleSheetLayoutView="40" workbookViewId="0">
      <selection activeCell="E46" sqref="E46"/>
    </sheetView>
  </sheetViews>
  <sheetFormatPr defaultColWidth="0" defaultRowHeight="14.5" zeroHeight="1" x14ac:dyDescent="0.35"/>
  <cols>
    <col min="1" max="1" width="3" style="1" customWidth="1"/>
    <col min="2" max="2" width="32" style="1" customWidth="1"/>
    <col min="3" max="3" width="23.453125" style="1" customWidth="1"/>
    <col min="4" max="7" width="29" style="1" customWidth="1"/>
    <col min="8" max="8" width="27.453125" style="1" customWidth="1"/>
    <col min="9" max="9" width="10.54296875" style="1" customWidth="1"/>
    <col min="10" max="10" width="15.7265625" style="1" customWidth="1"/>
    <col min="11" max="20" width="9.1796875" style="1" customWidth="1"/>
    <col min="21" max="16384" width="9.1796875" style="1" hidden="1"/>
  </cols>
  <sheetData>
    <row r="1" spans="1:29" ht="18.649999999999999" customHeight="1" x14ac:dyDescent="0.45">
      <c r="A1" s="92" t="s">
        <v>225</v>
      </c>
      <c r="B1" s="4" t="s">
        <v>228</v>
      </c>
      <c r="C1" s="3"/>
      <c r="D1" s="3"/>
      <c r="E1" s="3"/>
      <c r="F1" s="4"/>
      <c r="K1" s="98" t="s">
        <v>213</v>
      </c>
    </row>
    <row r="2" spans="1:29" ht="18.5" x14ac:dyDescent="0.45">
      <c r="B2" s="3"/>
      <c r="C2" s="3"/>
      <c r="D2" s="3"/>
      <c r="E2" s="3"/>
      <c r="F2" s="4"/>
      <c r="K2" s="98" t="s">
        <v>214</v>
      </c>
    </row>
    <row r="3" spans="1:29" ht="15.5" x14ac:dyDescent="0.35">
      <c r="B3" s="96" t="s">
        <v>5</v>
      </c>
      <c r="C3" s="210" t="s">
        <v>229</v>
      </c>
      <c r="D3" s="211"/>
      <c r="E3" s="211"/>
      <c r="F3" s="211"/>
      <c r="G3" s="211"/>
      <c r="H3" s="212"/>
      <c r="K3" s="98" t="s">
        <v>215</v>
      </c>
    </row>
    <row r="4" spans="1:29" ht="18.5" x14ac:dyDescent="0.45">
      <c r="B4" s="97" t="s">
        <v>6</v>
      </c>
      <c r="C4" s="213">
        <v>89942</v>
      </c>
      <c r="D4" s="207" t="s">
        <v>7</v>
      </c>
      <c r="E4" s="213" t="s">
        <v>37</v>
      </c>
      <c r="F4" s="4"/>
      <c r="G4" s="4"/>
      <c r="H4" s="4"/>
      <c r="K4" s="98" t="s">
        <v>216</v>
      </c>
    </row>
    <row r="5" spans="1:29" ht="15.5" x14ac:dyDescent="0.35">
      <c r="B5" s="96" t="s">
        <v>14</v>
      </c>
      <c r="C5" s="219">
        <f>MAX('Wksh 2 - Plan Product Info'!E19:BF19)</f>
        <v>45292</v>
      </c>
      <c r="D5" s="207" t="s">
        <v>9</v>
      </c>
      <c r="E5" s="213" t="s">
        <v>230</v>
      </c>
    </row>
    <row r="6" spans="1:29" ht="18.5" x14ac:dyDescent="0.45">
      <c r="B6" s="3"/>
      <c r="C6" s="3"/>
      <c r="D6" s="3"/>
      <c r="E6" s="3"/>
      <c r="F6" s="4"/>
    </row>
    <row r="7" spans="1:29" x14ac:dyDescent="0.35">
      <c r="F7" s="2"/>
    </row>
    <row r="8" spans="1:29" x14ac:dyDescent="0.35">
      <c r="B8" s="235" t="s">
        <v>3</v>
      </c>
      <c r="C8" s="236"/>
      <c r="D8" s="236"/>
      <c r="E8" s="236"/>
      <c r="F8" s="236"/>
      <c r="G8" s="236"/>
      <c r="H8" s="236"/>
      <c r="I8" s="236"/>
      <c r="J8" s="236"/>
      <c r="K8" s="236"/>
      <c r="L8" s="236"/>
      <c r="M8" s="236"/>
      <c r="N8" s="236"/>
      <c r="O8" s="236"/>
      <c r="P8" s="236"/>
      <c r="Q8" s="237"/>
      <c r="R8"/>
      <c r="S8"/>
      <c r="T8"/>
      <c r="U8"/>
      <c r="V8"/>
      <c r="W8"/>
      <c r="X8"/>
      <c r="Y8"/>
    </row>
    <row r="9" spans="1:29" x14ac:dyDescent="0.35">
      <c r="B9" s="238"/>
      <c r="C9" s="239"/>
      <c r="D9" s="239"/>
      <c r="E9" s="239"/>
      <c r="F9" s="239"/>
      <c r="G9" s="239"/>
      <c r="H9" s="239"/>
      <c r="I9" s="239"/>
      <c r="J9" s="239"/>
      <c r="K9" s="239"/>
      <c r="L9" s="239"/>
      <c r="M9" s="239"/>
      <c r="N9" s="239"/>
      <c r="O9" s="239"/>
      <c r="P9" s="239"/>
      <c r="Q9" s="240"/>
      <c r="R9"/>
      <c r="S9"/>
      <c r="T9"/>
      <c r="U9"/>
      <c r="V9"/>
      <c r="W9"/>
      <c r="X9"/>
      <c r="Y9"/>
    </row>
    <row r="10" spans="1:29" x14ac:dyDescent="0.35">
      <c r="B10" s="19"/>
      <c r="F10" s="2"/>
    </row>
    <row r="11" spans="1:29" x14ac:dyDescent="0.35">
      <c r="B11" s="28" t="s">
        <v>85</v>
      </c>
      <c r="E11" s="29"/>
      <c r="F11" s="2"/>
    </row>
    <row r="12" spans="1:29" x14ac:dyDescent="0.35">
      <c r="B12" s="75" t="s">
        <v>21</v>
      </c>
      <c r="D12" s="214">
        <v>44562</v>
      </c>
      <c r="E12" s="31" t="s">
        <v>11</v>
      </c>
      <c r="F12" s="84">
        <f>EDATE(D12,12)-1</f>
        <v>44926</v>
      </c>
      <c r="H12" s="33"/>
      <c r="I12" s="32"/>
    </row>
    <row r="13" spans="1:29" x14ac:dyDescent="0.35">
      <c r="B13" s="30"/>
      <c r="E13" s="69" t="s">
        <v>2</v>
      </c>
      <c r="F13" s="34" t="s">
        <v>23</v>
      </c>
      <c r="G13"/>
      <c r="J13"/>
      <c r="P13"/>
      <c r="Q13"/>
      <c r="U13"/>
      <c r="V13"/>
      <c r="W13"/>
      <c r="X13"/>
      <c r="Y13"/>
      <c r="AC13" s="35"/>
    </row>
    <row r="14" spans="1:29" x14ac:dyDescent="0.35">
      <c r="B14" s="244" t="s">
        <v>86</v>
      </c>
      <c r="C14" s="245"/>
      <c r="D14" s="246"/>
      <c r="E14" s="102">
        <v>380449776.14999998</v>
      </c>
      <c r="F14" s="103">
        <f>E14/E19</f>
        <v>601.83179728641642</v>
      </c>
      <c r="G14" s="36"/>
      <c r="J14"/>
      <c r="P14"/>
      <c r="Q14"/>
      <c r="U14"/>
      <c r="V14"/>
      <c r="W14"/>
      <c r="X14"/>
      <c r="Y14"/>
      <c r="AC14" s="35"/>
    </row>
    <row r="15" spans="1:29" x14ac:dyDescent="0.35">
      <c r="B15" s="247" t="s">
        <v>87</v>
      </c>
      <c r="C15" s="247"/>
      <c r="D15" s="247"/>
      <c r="E15" s="102">
        <v>-8416979</v>
      </c>
      <c r="F15" s="104">
        <f>E15/E19</f>
        <v>-13.314781389948319</v>
      </c>
      <c r="G15" s="36"/>
      <c r="J15"/>
      <c r="P15"/>
      <c r="Q15"/>
      <c r="U15"/>
      <c r="V15"/>
      <c r="W15"/>
      <c r="X15"/>
      <c r="Y15"/>
      <c r="AC15" s="35"/>
    </row>
    <row r="16" spans="1:29" x14ac:dyDescent="0.35">
      <c r="B16" s="247" t="s">
        <v>88</v>
      </c>
      <c r="C16" s="247"/>
      <c r="D16" s="247"/>
      <c r="E16" s="102">
        <v>303743701.77999997</v>
      </c>
      <c r="F16" s="104">
        <f>E16/E19</f>
        <v>480.49080172046951</v>
      </c>
      <c r="G16" s="36"/>
      <c r="J16"/>
      <c r="P16"/>
      <c r="Q16"/>
      <c r="U16"/>
      <c r="V16"/>
      <c r="W16"/>
      <c r="X16"/>
      <c r="Y16"/>
      <c r="AC16" s="35"/>
    </row>
    <row r="17" spans="2:31" x14ac:dyDescent="0.35">
      <c r="B17" s="247" t="s">
        <v>89</v>
      </c>
      <c r="C17" s="247"/>
      <c r="D17" s="247"/>
      <c r="E17" s="105">
        <v>-29270000</v>
      </c>
      <c r="F17" s="106">
        <f>E17/E19</f>
        <v>-46.302081932696673</v>
      </c>
      <c r="G17" s="37"/>
      <c r="H17" s="38"/>
      <c r="I17" s="32"/>
      <c r="J17"/>
      <c r="O17" s="39"/>
      <c r="P17"/>
      <c r="Q17"/>
      <c r="U17"/>
      <c r="V17"/>
      <c r="W17"/>
      <c r="X17"/>
      <c r="Y17"/>
      <c r="AC17" s="35"/>
    </row>
    <row r="18" spans="2:31" x14ac:dyDescent="0.35">
      <c r="B18" s="247" t="s">
        <v>90</v>
      </c>
      <c r="C18" s="247"/>
      <c r="D18" s="247"/>
      <c r="E18" s="105">
        <v>309226575.34999996</v>
      </c>
      <c r="F18" s="107">
        <f>E18/E19</f>
        <v>489.16413486924836</v>
      </c>
      <c r="G18" s="40"/>
      <c r="H18" s="38"/>
      <c r="I18" s="32"/>
      <c r="J18"/>
      <c r="P18"/>
      <c r="Q18"/>
      <c r="U18"/>
      <c r="V18"/>
      <c r="W18"/>
      <c r="X18"/>
      <c r="Y18"/>
      <c r="AC18" s="35"/>
    </row>
    <row r="19" spans="2:31" x14ac:dyDescent="0.35">
      <c r="B19" s="247" t="s">
        <v>22</v>
      </c>
      <c r="C19" s="247"/>
      <c r="D19" s="247"/>
      <c r="E19" s="215">
        <f>'Wksh 2 - Plan Product Info'!D33</f>
        <v>632153</v>
      </c>
      <c r="F19" s="108"/>
      <c r="G19" s="38"/>
      <c r="H19" s="38"/>
      <c r="I19" s="32"/>
      <c r="J19" s="38"/>
      <c r="K19"/>
      <c r="Q19"/>
      <c r="R19"/>
      <c r="V19"/>
      <c r="W19"/>
      <c r="X19"/>
      <c r="Y19"/>
      <c r="Z19"/>
      <c r="AD19" s="35"/>
    </row>
    <row r="20" spans="2:31" x14ac:dyDescent="0.35">
      <c r="B20" s="30"/>
      <c r="F20"/>
      <c r="G20" s="40"/>
      <c r="H20" s="38"/>
      <c r="I20" s="38"/>
      <c r="J20" s="32"/>
      <c r="K20" s="38"/>
      <c r="L20"/>
      <c r="R20"/>
      <c r="S20"/>
      <c r="W20"/>
      <c r="X20"/>
      <c r="Y20"/>
      <c r="Z20"/>
      <c r="AA20"/>
      <c r="AE20" s="35"/>
    </row>
    <row r="21" spans="2:31" ht="15" thickBot="1" x14ac:dyDescent="0.4">
      <c r="B21" s="41" t="s">
        <v>91</v>
      </c>
      <c r="F21"/>
      <c r="G21" s="40"/>
      <c r="H21" s="38"/>
      <c r="I21" s="38"/>
      <c r="J21" s="32"/>
      <c r="K21" s="38"/>
      <c r="L21"/>
      <c r="R21"/>
      <c r="S21"/>
      <c r="W21"/>
      <c r="X21"/>
      <c r="Y21"/>
      <c r="Z21"/>
      <c r="AA21"/>
      <c r="AE21" s="35"/>
    </row>
    <row r="22" spans="2:31" ht="15" customHeight="1" x14ac:dyDescent="0.35">
      <c r="B22" s="226"/>
      <c r="C22" s="227"/>
      <c r="D22" s="241" t="s">
        <v>92</v>
      </c>
      <c r="E22" s="242"/>
      <c r="F22" s="243" t="s">
        <v>93</v>
      </c>
      <c r="G22" s="243"/>
      <c r="H22" s="228"/>
      <c r="I22" s="38"/>
      <c r="J22" s="32"/>
      <c r="K22" s="38"/>
      <c r="L22"/>
      <c r="R22"/>
      <c r="S22"/>
      <c r="W22"/>
      <c r="X22"/>
      <c r="Y22"/>
      <c r="Z22"/>
      <c r="AA22"/>
      <c r="AE22" s="35"/>
    </row>
    <row r="23" spans="2:31" ht="29.5" thickBot="1" x14ac:dyDescent="0.4">
      <c r="B23" s="229" t="s">
        <v>147</v>
      </c>
      <c r="C23" s="230" t="s">
        <v>137</v>
      </c>
      <c r="D23" s="110" t="s">
        <v>94</v>
      </c>
      <c r="E23" s="109" t="s">
        <v>95</v>
      </c>
      <c r="F23" s="117" t="s">
        <v>94</v>
      </c>
      <c r="G23" s="115" t="s">
        <v>95</v>
      </c>
      <c r="H23" s="231" t="s">
        <v>96</v>
      </c>
      <c r="I23" s="38"/>
      <c r="J23" s="32"/>
      <c r="K23" s="38"/>
      <c r="L23"/>
      <c r="R23"/>
      <c r="S23"/>
      <c r="W23"/>
      <c r="X23"/>
      <c r="Y23"/>
      <c r="Z23"/>
      <c r="AA23"/>
      <c r="AE23" s="35"/>
    </row>
    <row r="24" spans="2:31" x14ac:dyDescent="0.35">
      <c r="B24" s="111" t="s">
        <v>78</v>
      </c>
      <c r="C24" s="129">
        <v>112.91</v>
      </c>
      <c r="D24" s="122">
        <v>1.0449999999999999</v>
      </c>
      <c r="E24" s="125">
        <v>0.96499999999999997</v>
      </c>
      <c r="F24" s="122">
        <v>1.069</v>
      </c>
      <c r="G24" s="127">
        <v>1.0049999999999999</v>
      </c>
      <c r="H24" s="131">
        <f t="shared" ref="H24:H29" si="0">PRODUCT(C24:G24)</f>
        <v>122.32628262652872</v>
      </c>
      <c r="I24" s="38"/>
      <c r="J24" s="32"/>
      <c r="K24" s="38"/>
      <c r="L24"/>
      <c r="R24"/>
      <c r="S24"/>
      <c r="W24"/>
      <c r="X24"/>
      <c r="Y24"/>
      <c r="Z24"/>
      <c r="AA24"/>
      <c r="AE24" s="35"/>
    </row>
    <row r="25" spans="2:31" x14ac:dyDescent="0.35">
      <c r="B25" s="111" t="s">
        <v>19</v>
      </c>
      <c r="C25" s="130">
        <v>98.33</v>
      </c>
      <c r="D25" s="123">
        <v>1.008</v>
      </c>
      <c r="E25" s="124">
        <v>1</v>
      </c>
      <c r="F25" s="123">
        <v>1.069</v>
      </c>
      <c r="G25" s="126">
        <v>1.0049999999999999</v>
      </c>
      <c r="H25" s="132">
        <f t="shared" si="0"/>
        <v>106.48546660079998</v>
      </c>
      <c r="I25" s="38"/>
      <c r="J25" s="32"/>
      <c r="K25" s="38"/>
      <c r="L25"/>
      <c r="R25"/>
      <c r="S25"/>
      <c r="W25"/>
      <c r="X25"/>
      <c r="Y25"/>
      <c r="Z25"/>
      <c r="AA25"/>
      <c r="AE25" s="35"/>
    </row>
    <row r="26" spans="2:31" x14ac:dyDescent="0.35">
      <c r="B26" s="111" t="s">
        <v>0</v>
      </c>
      <c r="C26" s="130">
        <v>270.23</v>
      </c>
      <c r="D26" s="123">
        <v>1.0289999999999999</v>
      </c>
      <c r="E26" s="124">
        <v>0.98</v>
      </c>
      <c r="F26" s="123">
        <v>1.069</v>
      </c>
      <c r="G26" s="128">
        <v>1.0049999999999999</v>
      </c>
      <c r="H26" s="132">
        <f t="shared" si="0"/>
        <v>292.76474584952695</v>
      </c>
      <c r="I26" s="38"/>
      <c r="J26" s="32"/>
      <c r="K26" s="38"/>
      <c r="L26"/>
      <c r="R26"/>
      <c r="S26"/>
      <c r="W26"/>
      <c r="X26"/>
      <c r="Y26"/>
      <c r="Z26"/>
      <c r="AA26"/>
      <c r="AE26" s="35"/>
    </row>
    <row r="27" spans="2:31" x14ac:dyDescent="0.35">
      <c r="B27" s="111" t="s">
        <v>18</v>
      </c>
      <c r="C27" s="130">
        <v>34.58</v>
      </c>
      <c r="D27" s="123">
        <v>1.069</v>
      </c>
      <c r="E27" s="124">
        <v>0.94299999999999995</v>
      </c>
      <c r="F27" s="123">
        <v>1.0640000000000001</v>
      </c>
      <c r="G27" s="126">
        <v>1.0089999999999999</v>
      </c>
      <c r="H27" s="132">
        <f t="shared" si="0"/>
        <v>37.423739469931355</v>
      </c>
      <c r="I27" s="38"/>
      <c r="J27" s="32"/>
      <c r="K27" s="38"/>
      <c r="L27"/>
      <c r="R27"/>
      <c r="S27"/>
      <c r="W27"/>
      <c r="X27"/>
      <c r="Y27"/>
      <c r="Z27"/>
      <c r="AA27"/>
      <c r="AE27" s="35"/>
    </row>
    <row r="28" spans="2:31" x14ac:dyDescent="0.35">
      <c r="B28" s="111" t="s">
        <v>1</v>
      </c>
      <c r="C28" s="130">
        <v>0</v>
      </c>
      <c r="D28" s="120">
        <v>0</v>
      </c>
      <c r="E28" s="121">
        <v>0</v>
      </c>
      <c r="F28" s="123">
        <v>0</v>
      </c>
      <c r="G28" s="126">
        <v>0</v>
      </c>
      <c r="H28" s="132">
        <f t="shared" si="0"/>
        <v>0</v>
      </c>
      <c r="I28" s="38"/>
      <c r="J28" s="32"/>
      <c r="K28" s="38"/>
      <c r="L28"/>
      <c r="R28"/>
      <c r="S28"/>
      <c r="W28"/>
      <c r="X28"/>
      <c r="Y28"/>
      <c r="Z28"/>
      <c r="AA28"/>
      <c r="AE28" s="35"/>
    </row>
    <row r="29" spans="2:31" ht="15" thickBot="1" x14ac:dyDescent="0.4">
      <c r="B29" s="111" t="s">
        <v>20</v>
      </c>
      <c r="C29" s="114">
        <v>83.97</v>
      </c>
      <c r="D29" s="119">
        <v>1.008</v>
      </c>
      <c r="E29" s="118">
        <v>1</v>
      </c>
      <c r="F29" s="119">
        <v>1.0640000000000001</v>
      </c>
      <c r="G29" s="85">
        <v>1.0089999999999999</v>
      </c>
      <c r="H29" s="116">
        <f t="shared" si="0"/>
        <v>90.869362133759992</v>
      </c>
      <c r="I29" s="38"/>
      <c r="J29" s="32"/>
      <c r="K29" s="38"/>
      <c r="L29"/>
      <c r="R29"/>
      <c r="S29"/>
      <c r="W29"/>
      <c r="X29"/>
      <c r="Y29"/>
      <c r="Z29"/>
      <c r="AA29"/>
      <c r="AE29" s="35"/>
    </row>
    <row r="30" spans="2:31" ht="15" thickBot="1" x14ac:dyDescent="0.4">
      <c r="B30" s="112" t="s">
        <v>2</v>
      </c>
      <c r="C30" s="113">
        <f>SUM(C24:C29)</f>
        <v>600.0200000000001</v>
      </c>
      <c r="D30" s="232"/>
      <c r="E30" s="233"/>
      <c r="F30" s="233"/>
      <c r="G30" s="233"/>
      <c r="H30" s="144">
        <f>SUM(H24:H29)</f>
        <v>649.86959668054692</v>
      </c>
      <c r="I30" s="38"/>
      <c r="J30" s="32"/>
      <c r="K30" s="38"/>
      <c r="L30"/>
      <c r="R30"/>
      <c r="S30"/>
      <c r="W30"/>
      <c r="X30"/>
      <c r="Y30"/>
      <c r="Z30"/>
      <c r="AA30"/>
      <c r="AE30" s="35"/>
    </row>
    <row r="31" spans="2:31" x14ac:dyDescent="0.35">
      <c r="B31" s="41"/>
      <c r="F31"/>
      <c r="G31" s="40"/>
      <c r="H31" s="38"/>
      <c r="I31" s="38"/>
      <c r="J31" s="32"/>
      <c r="K31" s="38"/>
      <c r="L31"/>
      <c r="R31"/>
      <c r="S31"/>
      <c r="W31"/>
      <c r="X31"/>
      <c r="Y31"/>
      <c r="Z31"/>
      <c r="AA31"/>
      <c r="AE31" s="35"/>
    </row>
    <row r="32" spans="2:31" x14ac:dyDescent="0.35">
      <c r="B32" s="223" t="s">
        <v>98</v>
      </c>
      <c r="C32" s="224"/>
      <c r="D32" s="224"/>
      <c r="E32" s="225"/>
      <c r="F32" s="136">
        <v>0.996</v>
      </c>
      <c r="G32" s="40"/>
      <c r="H32" s="38"/>
      <c r="I32" s="38"/>
      <c r="J32" s="32"/>
      <c r="K32" s="38"/>
      <c r="L32"/>
      <c r="R32"/>
      <c r="S32"/>
      <c r="W32"/>
      <c r="X32"/>
      <c r="Y32"/>
      <c r="Z32"/>
      <c r="AA32"/>
      <c r="AE32" s="35"/>
    </row>
    <row r="33" spans="2:31" x14ac:dyDescent="0.35">
      <c r="B33" s="223" t="s">
        <v>99</v>
      </c>
      <c r="C33" s="224"/>
      <c r="D33" s="224"/>
      <c r="E33" s="225"/>
      <c r="F33" s="136">
        <v>1</v>
      </c>
      <c r="G33" s="40"/>
      <c r="H33" s="38"/>
      <c r="I33" s="38"/>
      <c r="J33" s="32"/>
      <c r="K33" s="38"/>
      <c r="L33"/>
      <c r="R33"/>
      <c r="S33"/>
      <c r="W33"/>
      <c r="X33"/>
      <c r="Y33"/>
      <c r="Z33"/>
      <c r="AA33"/>
      <c r="AE33" s="35"/>
    </row>
    <row r="34" spans="2:31" x14ac:dyDescent="0.35">
      <c r="B34" s="223" t="s">
        <v>100</v>
      </c>
      <c r="C34" s="224"/>
      <c r="D34" s="224"/>
      <c r="E34" s="225"/>
      <c r="F34" s="136">
        <v>0.99199999999999999</v>
      </c>
      <c r="G34" s="40"/>
      <c r="H34" s="38"/>
      <c r="I34" s="38"/>
      <c r="J34" s="32"/>
      <c r="K34" s="38"/>
      <c r="L34"/>
      <c r="R34"/>
      <c r="S34"/>
      <c r="W34"/>
      <c r="X34"/>
      <c r="Y34"/>
      <c r="Z34"/>
      <c r="AA34"/>
      <c r="AE34" s="35"/>
    </row>
    <row r="35" spans="2:31" x14ac:dyDescent="0.35">
      <c r="B35" s="223" t="s">
        <v>17</v>
      </c>
      <c r="C35" s="224"/>
      <c r="D35" s="224"/>
      <c r="E35" s="225"/>
      <c r="F35" s="136">
        <v>1</v>
      </c>
      <c r="G35" s="40"/>
      <c r="H35" s="38"/>
      <c r="I35" s="38"/>
      <c r="J35" s="32"/>
      <c r="K35" s="38"/>
      <c r="L35"/>
      <c r="R35"/>
      <c r="S35"/>
      <c r="W35"/>
      <c r="X35"/>
      <c r="Y35"/>
      <c r="Z35"/>
      <c r="AA35"/>
      <c r="AE35" s="35"/>
    </row>
    <row r="36" spans="2:31" x14ac:dyDescent="0.35">
      <c r="B36" s="223" t="s">
        <v>220</v>
      </c>
      <c r="C36" s="224"/>
      <c r="D36" s="137">
        <f>IF(C5&lt;&gt;"",C5,"")</f>
        <v>45292</v>
      </c>
      <c r="E36" s="138"/>
      <c r="F36" s="135">
        <f>H30*PRODUCT(F32:F35)</f>
        <v>642.09195734747414</v>
      </c>
      <c r="G36" s="40"/>
      <c r="H36" s="38"/>
      <c r="I36" s="38"/>
      <c r="J36" s="32"/>
      <c r="K36" s="38"/>
      <c r="L36"/>
      <c r="R36"/>
      <c r="S36"/>
      <c r="W36"/>
      <c r="X36"/>
      <c r="Y36"/>
      <c r="Z36"/>
      <c r="AA36"/>
      <c r="AE36" s="35"/>
    </row>
    <row r="37" spans="2:31" x14ac:dyDescent="0.35">
      <c r="B37" s="41"/>
      <c r="F37"/>
      <c r="G37" s="40"/>
      <c r="H37" s="38"/>
      <c r="I37" s="38"/>
      <c r="J37" s="32"/>
      <c r="K37" s="38"/>
      <c r="L37"/>
      <c r="R37"/>
      <c r="S37"/>
      <c r="W37"/>
      <c r="X37"/>
      <c r="Y37"/>
      <c r="Z37"/>
      <c r="AA37"/>
      <c r="AE37" s="35"/>
    </row>
    <row r="38" spans="2:31" x14ac:dyDescent="0.35">
      <c r="B38" s="223" t="s">
        <v>97</v>
      </c>
      <c r="C38" s="224"/>
      <c r="D38" s="224"/>
      <c r="E38" s="225"/>
      <c r="F38" s="133">
        <v>0</v>
      </c>
      <c r="G38" s="40"/>
      <c r="H38" s="38"/>
      <c r="I38" s="38"/>
      <c r="J38" s="32"/>
      <c r="K38" s="38"/>
      <c r="L38"/>
      <c r="R38"/>
      <c r="S38"/>
      <c r="W38"/>
      <c r="X38"/>
      <c r="Y38"/>
      <c r="Z38"/>
      <c r="AA38"/>
      <c r="AE38" s="35"/>
    </row>
    <row r="39" spans="2:31" x14ac:dyDescent="0.35">
      <c r="B39" s="223" t="s">
        <v>219</v>
      </c>
      <c r="C39" s="224"/>
      <c r="D39" s="224"/>
      <c r="E39" s="225"/>
      <c r="F39" s="134">
        <v>1</v>
      </c>
      <c r="G39" s="40"/>
      <c r="H39" s="38"/>
      <c r="I39" s="38"/>
      <c r="J39" s="32"/>
      <c r="K39" s="38"/>
      <c r="L39"/>
      <c r="R39"/>
      <c r="S39"/>
      <c r="W39"/>
      <c r="X39"/>
      <c r="Y39"/>
      <c r="Z39"/>
      <c r="AA39"/>
      <c r="AE39" s="35"/>
    </row>
    <row r="40" spans="2:31" x14ac:dyDescent="0.35">
      <c r="B40" s="41"/>
      <c r="F40"/>
      <c r="G40"/>
      <c r="H40" s="38"/>
      <c r="I40" s="38"/>
      <c r="J40" s="32"/>
      <c r="K40" s="38"/>
      <c r="L40"/>
      <c r="R40"/>
      <c r="S40"/>
      <c r="W40"/>
      <c r="X40"/>
      <c r="Y40"/>
      <c r="Z40"/>
      <c r="AA40"/>
      <c r="AE40" s="35"/>
    </row>
    <row r="41" spans="2:31" ht="16" x14ac:dyDescent="0.5">
      <c r="B41" s="41"/>
      <c r="F41"/>
      <c r="G41" s="145" t="s">
        <v>24</v>
      </c>
      <c r="H41" s="38"/>
      <c r="I41" s="38"/>
      <c r="J41" s="32"/>
      <c r="K41" s="38"/>
      <c r="L41"/>
      <c r="R41"/>
      <c r="S41"/>
      <c r="W41"/>
      <c r="X41"/>
      <c r="Y41"/>
      <c r="Z41"/>
      <c r="AA41"/>
      <c r="AE41" s="35"/>
    </row>
    <row r="42" spans="2:31" x14ac:dyDescent="0.35">
      <c r="B42" s="223" t="s">
        <v>101</v>
      </c>
      <c r="C42" s="224"/>
      <c r="D42" s="137">
        <f>IF(C5&lt;&gt;"",C5,"")</f>
        <v>45292</v>
      </c>
      <c r="E42" s="139"/>
      <c r="F42" s="135">
        <f>ROUND(F39*F36+(1-F39)*F38,2)</f>
        <v>642.09</v>
      </c>
      <c r="G42" s="140">
        <f>F42*F48</f>
        <v>430139301.45000005</v>
      </c>
      <c r="H42" s="38"/>
      <c r="I42" s="38"/>
      <c r="J42" s="32"/>
      <c r="K42" s="38"/>
      <c r="L42"/>
      <c r="R42"/>
      <c r="S42"/>
      <c r="W42"/>
      <c r="X42"/>
      <c r="Y42"/>
      <c r="Z42"/>
      <c r="AA42"/>
      <c r="AE42" s="35"/>
    </row>
    <row r="43" spans="2:31" x14ac:dyDescent="0.35">
      <c r="B43" s="223" t="s">
        <v>87</v>
      </c>
      <c r="C43" s="224"/>
      <c r="D43" s="224"/>
      <c r="E43" s="225"/>
      <c r="F43" s="133">
        <v>26.78</v>
      </c>
      <c r="G43" s="140">
        <f>F43*F48</f>
        <v>17940055.900000002</v>
      </c>
      <c r="H43" s="38"/>
      <c r="I43" s="38"/>
      <c r="J43" s="32"/>
      <c r="K43" s="38"/>
      <c r="L43"/>
      <c r="R43"/>
      <c r="S43"/>
      <c r="W43"/>
      <c r="X43"/>
      <c r="Y43"/>
      <c r="Z43"/>
      <c r="AA43"/>
      <c r="AE43" s="35"/>
    </row>
    <row r="44" spans="2:31" x14ac:dyDescent="0.35">
      <c r="B44" s="223" t="s">
        <v>138</v>
      </c>
      <c r="C44" s="224"/>
      <c r="D44" s="224"/>
      <c r="E44" s="225"/>
      <c r="F44" s="133">
        <v>-68.38</v>
      </c>
      <c r="G44" s="140">
        <f>F44*F48</f>
        <v>-45808103.899999999</v>
      </c>
      <c r="H44" s="38"/>
      <c r="I44" s="38"/>
      <c r="J44" s="32"/>
      <c r="K44" s="38"/>
      <c r="L44"/>
      <c r="R44"/>
      <c r="S44"/>
      <c r="W44"/>
      <c r="X44"/>
      <c r="Y44"/>
      <c r="Z44"/>
      <c r="AA44"/>
      <c r="AE44" s="35"/>
    </row>
    <row r="45" spans="2:31" x14ac:dyDescent="0.35">
      <c r="B45" s="223" t="s">
        <v>102</v>
      </c>
      <c r="C45" s="224"/>
      <c r="D45" s="224"/>
      <c r="E45" s="225"/>
      <c r="F45" s="142">
        <v>2.6700000000000002E-2</v>
      </c>
      <c r="G45" s="141">
        <f>F45*F46*F48</f>
        <v>12564262.026420426</v>
      </c>
      <c r="H45" s="38"/>
      <c r="I45" s="38"/>
      <c r="J45" s="32"/>
      <c r="K45" s="38"/>
      <c r="L45"/>
      <c r="R45"/>
      <c r="S45"/>
      <c r="W45"/>
      <c r="X45"/>
      <c r="Y45"/>
      <c r="Z45"/>
      <c r="AA45"/>
      <c r="AE45" s="35"/>
    </row>
    <row r="46" spans="2:31" x14ac:dyDescent="0.35">
      <c r="B46" s="223" t="s">
        <v>122</v>
      </c>
      <c r="C46" s="224"/>
      <c r="D46" s="224"/>
      <c r="E46" s="225"/>
      <c r="F46" s="135">
        <f>(F42-F43-F44)/(1-F45)</f>
        <v>702.44528922223367</v>
      </c>
      <c r="G46" s="143">
        <f>F46*F48</f>
        <v>470571611.47642046</v>
      </c>
      <c r="H46" s="38"/>
      <c r="I46" s="38"/>
      <c r="J46" s="32"/>
      <c r="K46" s="38"/>
      <c r="L46"/>
      <c r="R46"/>
      <c r="S46"/>
      <c r="W46"/>
      <c r="X46"/>
      <c r="Y46"/>
      <c r="Z46"/>
      <c r="AA46"/>
      <c r="AE46" s="35"/>
    </row>
    <row r="47" spans="2:31" x14ac:dyDescent="0.35">
      <c r="B47" s="75"/>
      <c r="F47"/>
      <c r="G47" s="40"/>
      <c r="H47" s="38"/>
      <c r="I47" s="38"/>
      <c r="J47" s="32"/>
      <c r="K47" s="38"/>
      <c r="L47"/>
      <c r="R47"/>
      <c r="S47"/>
      <c r="W47"/>
      <c r="X47"/>
      <c r="Y47"/>
      <c r="Z47"/>
      <c r="AA47"/>
      <c r="AE47" s="35"/>
    </row>
    <row r="48" spans="2:31" x14ac:dyDescent="0.35">
      <c r="B48" s="223" t="s">
        <v>4</v>
      </c>
      <c r="C48" s="224"/>
      <c r="D48" s="224"/>
      <c r="E48" s="225"/>
      <c r="F48" s="216">
        <f>'Wksh 2 - Plan Product Info'!D73</f>
        <v>669905</v>
      </c>
      <c r="G48" s="40"/>
      <c r="H48" s="38"/>
      <c r="I48" s="38"/>
      <c r="J48" s="32"/>
      <c r="K48" s="38"/>
      <c r="L48"/>
      <c r="R48"/>
      <c r="S48"/>
      <c r="W48"/>
      <c r="X48"/>
      <c r="Y48"/>
      <c r="Z48"/>
      <c r="AA48"/>
      <c r="AE48" s="35"/>
    </row>
    <row r="49" spans="2:31" x14ac:dyDescent="0.35">
      <c r="B49" s="41"/>
      <c r="F49"/>
      <c r="G49" s="40"/>
      <c r="H49" s="38"/>
      <c r="I49" s="38"/>
      <c r="J49" s="32"/>
      <c r="K49" s="38"/>
      <c r="L49"/>
      <c r="R49"/>
      <c r="S49"/>
      <c r="W49"/>
      <c r="X49"/>
      <c r="Y49"/>
      <c r="Z49"/>
      <c r="AA49"/>
      <c r="AE49" s="35"/>
    </row>
    <row r="50" spans="2:31" ht="48.75" customHeight="1" x14ac:dyDescent="0.35">
      <c r="B50" s="234" t="s">
        <v>148</v>
      </c>
      <c r="C50" s="234"/>
      <c r="D50" s="234"/>
      <c r="E50" s="234"/>
      <c r="F50" s="234"/>
      <c r="G50" s="234"/>
      <c r="H50" s="234"/>
      <c r="I50" s="234"/>
      <c r="J50" s="234"/>
      <c r="K50" s="234"/>
      <c r="L50" s="234"/>
      <c r="M50" s="234"/>
      <c r="N50" s="234"/>
      <c r="O50" s="234"/>
      <c r="P50" s="234"/>
      <c r="Q50" s="234"/>
      <c r="R50" s="2"/>
      <c r="S50" s="2"/>
    </row>
    <row r="51" spans="2:31" x14ac:dyDescent="0.35">
      <c r="F51" s="47"/>
      <c r="G51" s="27"/>
      <c r="H51" s="27"/>
      <c r="I51" s="27"/>
      <c r="J51" s="2"/>
      <c r="M51" s="2"/>
      <c r="N51" s="2"/>
      <c r="R51" s="2"/>
      <c r="S51" s="2"/>
    </row>
    <row r="52" spans="2:31" hidden="1" x14ac:dyDescent="0.35">
      <c r="J52" s="2"/>
      <c r="M52" s="2"/>
      <c r="N52" s="2"/>
      <c r="R52" s="2"/>
      <c r="S52" s="2"/>
    </row>
    <row r="53" spans="2:31" hidden="1" x14ac:dyDescent="0.35">
      <c r="J53" s="2"/>
      <c r="M53" s="2"/>
      <c r="N53" s="2"/>
      <c r="R53" s="2"/>
      <c r="S53" s="2"/>
    </row>
    <row r="54" spans="2:31" hidden="1" x14ac:dyDescent="0.35">
      <c r="B54" s="2"/>
      <c r="G54" s="43"/>
      <c r="H54" s="2"/>
      <c r="I54" s="2"/>
      <c r="J54" s="2"/>
      <c r="M54" s="2"/>
      <c r="N54" s="2"/>
      <c r="R54" s="2"/>
      <c r="S54" s="2"/>
    </row>
    <row r="55" spans="2:31" hidden="1" x14ac:dyDescent="0.35">
      <c r="B55" s="2"/>
      <c r="G55" s="43"/>
      <c r="H55" s="2"/>
      <c r="I55" s="2"/>
      <c r="J55" s="2"/>
      <c r="M55" s="2"/>
      <c r="N55" s="2"/>
      <c r="R55" s="2"/>
      <c r="S55" s="2"/>
    </row>
    <row r="56" spans="2:31" hidden="1" x14ac:dyDescent="0.35">
      <c r="B56" s="48"/>
      <c r="C56"/>
      <c r="D56"/>
      <c r="E56"/>
      <c r="F56"/>
      <c r="G56" s="49"/>
      <c r="H56" s="38"/>
      <c r="I56" s="38"/>
      <c r="J56" s="38"/>
      <c r="K56"/>
      <c r="L56"/>
      <c r="M56" s="50"/>
      <c r="N56" s="50"/>
      <c r="O56"/>
      <c r="P56"/>
    </row>
    <row r="57" spans="2:31" hidden="1" x14ac:dyDescent="0.35">
      <c r="B57"/>
      <c r="C57"/>
      <c r="D57"/>
      <c r="E57"/>
      <c r="F57"/>
      <c r="G57" s="49"/>
      <c r="H57" s="38"/>
      <c r="I57" s="38"/>
      <c r="J57" s="38"/>
      <c r="K57"/>
      <c r="L57"/>
      <c r="M57" s="50"/>
      <c r="N57" s="50"/>
      <c r="O57"/>
      <c r="P57"/>
    </row>
    <row r="58" spans="2:31" hidden="1" x14ac:dyDescent="0.35">
      <c r="B58" s="51"/>
      <c r="C58"/>
      <c r="D58"/>
      <c r="E58"/>
      <c r="F58"/>
      <c r="G58" s="45"/>
      <c r="H58" s="38"/>
      <c r="I58" s="38"/>
      <c r="J58"/>
      <c r="K58"/>
      <c r="L58"/>
      <c r="M58" s="50"/>
      <c r="N58" s="50"/>
      <c r="O58"/>
      <c r="P58"/>
    </row>
    <row r="59" spans="2:31" hidden="1" x14ac:dyDescent="0.35">
      <c r="B59"/>
      <c r="C59"/>
      <c r="D59"/>
      <c r="E59"/>
      <c r="F59"/>
      <c r="G59" s="42"/>
      <c r="H59" s="38"/>
      <c r="I59" s="38"/>
      <c r="J59"/>
      <c r="K59"/>
      <c r="L59"/>
      <c r="M59" s="50"/>
      <c r="N59" s="50"/>
      <c r="O59"/>
      <c r="P59"/>
    </row>
    <row r="60" spans="2:31" hidden="1" x14ac:dyDescent="0.35">
      <c r="B60" s="38"/>
      <c r="C60"/>
      <c r="D60"/>
      <c r="E60"/>
      <c r="F60"/>
      <c r="G60" s="42"/>
      <c r="H60" s="38"/>
      <c r="I60" s="38"/>
      <c r="J60"/>
      <c r="K60"/>
      <c r="L60"/>
      <c r="M60" s="50"/>
      <c r="N60" s="50"/>
      <c r="O60"/>
      <c r="P60"/>
    </row>
    <row r="61" spans="2:31" hidden="1" x14ac:dyDescent="0.35">
      <c r="B61"/>
      <c r="C61"/>
      <c r="D61"/>
      <c r="E61"/>
      <c r="F61" s="38"/>
      <c r="G61"/>
      <c r="H61"/>
      <c r="I61"/>
      <c r="J61"/>
      <c r="K61"/>
      <c r="L61"/>
      <c r="M61"/>
      <c r="N61"/>
      <c r="O61"/>
      <c r="P61"/>
      <c r="Q61"/>
      <c r="R61"/>
      <c r="S61"/>
      <c r="T61"/>
      <c r="U61"/>
      <c r="V61"/>
    </row>
    <row r="62" spans="2:31" hidden="1" x14ac:dyDescent="0.35">
      <c r="B62" s="52"/>
      <c r="C62"/>
      <c r="D62"/>
      <c r="E62"/>
      <c r="F62" s="38"/>
      <c r="G62"/>
      <c r="H62"/>
      <c r="I62"/>
      <c r="J62"/>
      <c r="K62"/>
      <c r="L62"/>
      <c r="M62"/>
      <c r="N62"/>
      <c r="O62"/>
      <c r="P62"/>
      <c r="Q62"/>
      <c r="R62"/>
      <c r="S62"/>
      <c r="T62"/>
      <c r="U62"/>
      <c r="V62"/>
    </row>
    <row r="63" spans="2:31" hidden="1" x14ac:dyDescent="0.35">
      <c r="B63"/>
      <c r="C63"/>
      <c r="D63"/>
      <c r="E63"/>
      <c r="F63" s="38"/>
      <c r="G63"/>
      <c r="H63"/>
      <c r="I63"/>
      <c r="J63"/>
      <c r="K63"/>
      <c r="L63"/>
      <c r="M63"/>
      <c r="N63"/>
      <c r="O63"/>
      <c r="P63"/>
      <c r="Q63"/>
      <c r="R63"/>
      <c r="S63"/>
      <c r="T63"/>
      <c r="U63"/>
      <c r="V63"/>
    </row>
    <row r="64" spans="2:31" hidden="1" x14ac:dyDescent="0.35">
      <c r="B64"/>
      <c r="C64"/>
      <c r="D64"/>
      <c r="E64"/>
      <c r="F64" s="38"/>
      <c r="G64"/>
      <c r="H64"/>
      <c r="I64"/>
      <c r="J64"/>
      <c r="K64"/>
      <c r="L64"/>
      <c r="M64"/>
      <c r="N64"/>
      <c r="O64"/>
      <c r="P64"/>
      <c r="Q64"/>
      <c r="R64"/>
      <c r="S64"/>
      <c r="T64"/>
      <c r="U64"/>
      <c r="V64"/>
    </row>
    <row r="65" spans="1:22" hidden="1" x14ac:dyDescent="0.35">
      <c r="B65"/>
      <c r="C65"/>
      <c r="D65"/>
      <c r="E65"/>
      <c r="F65" s="53"/>
      <c r="G65" s="53"/>
      <c r="H65" s="53"/>
      <c r="I65" s="53"/>
      <c r="J65" s="53"/>
      <c r="K65" s="53"/>
      <c r="L65" s="53"/>
      <c r="M65" s="53"/>
      <c r="N65" s="53"/>
      <c r="O65" s="53"/>
      <c r="P65" s="53"/>
      <c r="Q65" s="53"/>
      <c r="R65"/>
      <c r="S65"/>
      <c r="T65"/>
      <c r="U65"/>
      <c r="V65"/>
    </row>
    <row r="66" spans="1:22" hidden="1" x14ac:dyDescent="0.35">
      <c r="A66" s="30"/>
      <c r="B66"/>
      <c r="C66"/>
      <c r="D66"/>
      <c r="E66"/>
      <c r="F66" s="54"/>
      <c r="G66" s="54"/>
      <c r="H66" s="54"/>
      <c r="I66" s="54"/>
      <c r="J66" s="54"/>
      <c r="K66" s="54"/>
      <c r="L66" s="54"/>
      <c r="M66" s="54"/>
      <c r="N66" s="54"/>
      <c r="O66" s="54"/>
      <c r="P66" s="54"/>
      <c r="Q66" s="54"/>
      <c r="R66"/>
      <c r="S66"/>
      <c r="T66"/>
      <c r="U66"/>
      <c r="V66"/>
    </row>
    <row r="67" spans="1:22" hidden="1" x14ac:dyDescent="0.35">
      <c r="A67" s="30"/>
      <c r="B67"/>
      <c r="C67"/>
      <c r="D67"/>
      <c r="E67"/>
      <c r="F67" s="54"/>
      <c r="G67" s="54"/>
      <c r="H67" s="54"/>
      <c r="I67" s="54"/>
      <c r="J67" s="54"/>
      <c r="K67" s="54"/>
      <c r="L67" s="54"/>
      <c r="M67" s="54"/>
      <c r="N67" s="54"/>
      <c r="O67" s="54"/>
      <c r="P67" s="54"/>
      <c r="Q67" s="54"/>
      <c r="R67"/>
      <c r="S67"/>
      <c r="T67"/>
      <c r="U67"/>
      <c r="V67"/>
    </row>
    <row r="68" spans="1:22" hidden="1" x14ac:dyDescent="0.35">
      <c r="A68" s="30"/>
      <c r="B68"/>
      <c r="C68"/>
      <c r="D68"/>
      <c r="E68"/>
      <c r="F68" s="54"/>
      <c r="G68" s="54"/>
      <c r="H68" s="54"/>
      <c r="I68" s="54"/>
      <c r="J68" s="54"/>
      <c r="K68" s="54"/>
      <c r="L68" s="54"/>
      <c r="M68" s="54"/>
      <c r="N68" s="54"/>
      <c r="O68" s="54"/>
      <c r="P68" s="54"/>
      <c r="Q68" s="54"/>
      <c r="R68"/>
      <c r="S68"/>
      <c r="T68"/>
      <c r="U68"/>
      <c r="V68"/>
    </row>
    <row r="69" spans="1:22" hidden="1" x14ac:dyDescent="0.35">
      <c r="A69" s="30"/>
      <c r="B69"/>
      <c r="C69"/>
      <c r="D69"/>
      <c r="E69"/>
      <c r="F69" s="55"/>
      <c r="G69" s="55"/>
      <c r="H69" s="55"/>
      <c r="I69" s="55"/>
      <c r="J69" s="55"/>
      <c r="K69" s="55"/>
      <c r="L69" s="55"/>
      <c r="M69" s="55"/>
      <c r="N69" s="55"/>
      <c r="O69" s="55"/>
      <c r="P69" s="55"/>
      <c r="Q69" s="55"/>
      <c r="R69"/>
      <c r="S69"/>
      <c r="T69"/>
      <c r="U69"/>
      <c r="V69"/>
    </row>
    <row r="70" spans="1:22" hidden="1" x14ac:dyDescent="0.35">
      <c r="A70" s="30"/>
      <c r="B70" s="48"/>
      <c r="C70"/>
      <c r="D70"/>
      <c r="E70"/>
      <c r="F70"/>
      <c r="G70"/>
      <c r="H70"/>
      <c r="I70"/>
      <c r="J70"/>
      <c r="K70"/>
      <c r="L70"/>
      <c r="M70"/>
      <c r="N70"/>
      <c r="O70"/>
      <c r="P70"/>
      <c r="Q70"/>
      <c r="R70"/>
      <c r="S70"/>
      <c r="T70"/>
      <c r="U70"/>
      <c r="V70"/>
    </row>
    <row r="71" spans="1:22" hidden="1" x14ac:dyDescent="0.35">
      <c r="A71" s="30"/>
      <c r="B71" s="48"/>
      <c r="C71"/>
      <c r="D71"/>
      <c r="E71"/>
      <c r="F71"/>
      <c r="G71"/>
      <c r="H71"/>
      <c r="I71"/>
      <c r="J71"/>
      <c r="K71"/>
      <c r="L71"/>
      <c r="M71"/>
      <c r="N71"/>
      <c r="O71"/>
      <c r="P71"/>
      <c r="Q71"/>
      <c r="R71"/>
      <c r="S71"/>
      <c r="T71"/>
      <c r="U71"/>
      <c r="V71"/>
    </row>
    <row r="72" spans="1:22" hidden="1" x14ac:dyDescent="0.35">
      <c r="A72" s="30"/>
      <c r="B72" s="48"/>
      <c r="C72" s="38"/>
      <c r="D72"/>
      <c r="E72"/>
      <c r="F72" s="5"/>
      <c r="G72" s="27"/>
      <c r="H72" s="27"/>
      <c r="I72" s="27"/>
      <c r="J72" s="27"/>
      <c r="K72" s="27"/>
      <c r="L72" s="27"/>
      <c r="M72" s="27"/>
      <c r="N72" s="27"/>
      <c r="O72" s="27"/>
      <c r="P72" s="27"/>
      <c r="Q72" s="27"/>
      <c r="R72"/>
      <c r="S72"/>
      <c r="T72"/>
      <c r="U72"/>
      <c r="V72"/>
    </row>
    <row r="73" spans="1:22" hidden="1" x14ac:dyDescent="0.35">
      <c r="A73" s="30"/>
      <c r="B73" s="48"/>
      <c r="C73"/>
      <c r="D73"/>
      <c r="E73"/>
      <c r="F73"/>
      <c r="G73"/>
      <c r="H73"/>
      <c r="I73"/>
      <c r="J73"/>
      <c r="K73"/>
      <c r="L73"/>
      <c r="M73"/>
      <c r="N73"/>
      <c r="O73"/>
      <c r="P73"/>
      <c r="Q73"/>
      <c r="R73"/>
      <c r="S73"/>
      <c r="T73"/>
      <c r="U73"/>
      <c r="V73"/>
    </row>
    <row r="74" spans="1:22" hidden="1" x14ac:dyDescent="0.35">
      <c r="A74" s="30"/>
      <c r="B74" s="48"/>
      <c r="C74" s="38"/>
      <c r="D74"/>
      <c r="E74"/>
      <c r="F74" s="20"/>
      <c r="G74" s="20"/>
      <c r="H74" s="20"/>
      <c r="I74" s="20"/>
      <c r="J74" s="20"/>
      <c r="K74" s="20"/>
      <c r="L74" s="20"/>
      <c r="M74" s="20"/>
      <c r="N74" s="20"/>
      <c r="O74" s="20"/>
      <c r="P74" s="20"/>
      <c r="Q74" s="20"/>
      <c r="R74"/>
      <c r="S74"/>
      <c r="T74"/>
      <c r="U74"/>
      <c r="V74"/>
    </row>
    <row r="75" spans="1:22" hidden="1" x14ac:dyDescent="0.35">
      <c r="A75" s="30"/>
      <c r="B75" s="48"/>
      <c r="C75" s="38"/>
      <c r="D75"/>
      <c r="E75"/>
      <c r="F75" s="20"/>
      <c r="G75" s="20"/>
      <c r="H75" s="20"/>
      <c r="I75" s="20"/>
      <c r="J75" s="20"/>
      <c r="K75" s="20"/>
      <c r="L75" s="20"/>
      <c r="M75" s="20"/>
      <c r="N75" s="20"/>
      <c r="O75" s="20"/>
      <c r="P75" s="20"/>
      <c r="Q75" s="20"/>
      <c r="R75"/>
      <c r="S75"/>
      <c r="T75"/>
      <c r="U75"/>
      <c r="V75"/>
    </row>
    <row r="76" spans="1:22" hidden="1" x14ac:dyDescent="0.35">
      <c r="A76" s="30"/>
      <c r="B76" s="48"/>
      <c r="C76"/>
      <c r="D76"/>
      <c r="E76"/>
      <c r="F76" s="27"/>
      <c r="G76" s="27"/>
      <c r="H76" s="27"/>
      <c r="I76" s="27"/>
      <c r="J76" s="27"/>
      <c r="K76" s="27"/>
      <c r="L76" s="27"/>
      <c r="M76" s="27"/>
      <c r="N76" s="27"/>
      <c r="O76" s="27"/>
      <c r="P76" s="27"/>
      <c r="Q76" s="27"/>
      <c r="R76"/>
      <c r="S76"/>
      <c r="T76"/>
      <c r="U76"/>
      <c r="V76"/>
    </row>
    <row r="77" spans="1:22" hidden="1" x14ac:dyDescent="0.35">
      <c r="A77" s="30"/>
      <c r="B77" s="48"/>
      <c r="C77"/>
      <c r="D77"/>
      <c r="E77"/>
      <c r="F77" s="27"/>
      <c r="G77" s="27"/>
      <c r="H77" s="27"/>
      <c r="I77" s="27"/>
      <c r="J77" s="27"/>
      <c r="K77" s="27"/>
      <c r="L77" s="27"/>
      <c r="M77" s="27"/>
      <c r="N77" s="27"/>
      <c r="O77" s="27"/>
      <c r="P77" s="27"/>
      <c r="Q77" s="27"/>
      <c r="R77"/>
      <c r="S77"/>
      <c r="T77"/>
      <c r="U77"/>
      <c r="V77"/>
    </row>
    <row r="78" spans="1:22" hidden="1" x14ac:dyDescent="0.35">
      <c r="A78" s="30"/>
      <c r="B78" s="48"/>
      <c r="C78"/>
      <c r="D78"/>
      <c r="E78"/>
      <c r="F78"/>
      <c r="G78"/>
      <c r="H78"/>
      <c r="I78"/>
      <c r="J78"/>
      <c r="K78"/>
      <c r="L78"/>
      <c r="M78"/>
      <c r="N78"/>
      <c r="O78"/>
      <c r="P78"/>
      <c r="Q78"/>
      <c r="R78"/>
      <c r="S78"/>
      <c r="T78"/>
      <c r="U78"/>
      <c r="V78"/>
    </row>
    <row r="79" spans="1:22" hidden="1" x14ac:dyDescent="0.35">
      <c r="A79" s="30"/>
      <c r="B79" s="48"/>
      <c r="C79" s="38"/>
      <c r="D79"/>
      <c r="E79"/>
      <c r="F79" s="56"/>
      <c r="G79" s="27"/>
      <c r="H79" s="27"/>
      <c r="I79" s="27"/>
      <c r="J79" s="27"/>
      <c r="K79" s="27"/>
      <c r="L79" s="27"/>
      <c r="M79" s="27"/>
      <c r="N79" s="27"/>
      <c r="O79" s="27"/>
      <c r="P79" s="27"/>
      <c r="Q79" s="27"/>
      <c r="R79"/>
      <c r="S79"/>
      <c r="T79"/>
      <c r="U79"/>
      <c r="V79"/>
    </row>
    <row r="80" spans="1:22" hidden="1" x14ac:dyDescent="0.35">
      <c r="A80" s="30"/>
      <c r="B80" s="48"/>
      <c r="C80"/>
      <c r="D80"/>
      <c r="E80"/>
      <c r="F80"/>
      <c r="G80"/>
      <c r="H80"/>
      <c r="I80"/>
      <c r="J80"/>
      <c r="K80"/>
      <c r="L80"/>
      <c r="M80"/>
      <c r="N80"/>
      <c r="O80"/>
      <c r="P80"/>
      <c r="Q80"/>
      <c r="R80"/>
      <c r="S80"/>
      <c r="T80"/>
      <c r="U80"/>
      <c r="V80"/>
    </row>
    <row r="81" spans="1:22" hidden="1" x14ac:dyDescent="0.35">
      <c r="A81" s="30"/>
      <c r="B81" s="48"/>
      <c r="C81"/>
      <c r="D81"/>
      <c r="E81"/>
      <c r="F81"/>
      <c r="G81" s="27"/>
      <c r="H81" s="49"/>
      <c r="I81" s="49"/>
      <c r="J81"/>
      <c r="K81"/>
      <c r="L81"/>
      <c r="M81"/>
      <c r="N81"/>
      <c r="O81"/>
      <c r="P81"/>
      <c r="Q81"/>
      <c r="R81"/>
      <c r="S81"/>
      <c r="T81"/>
      <c r="U81"/>
      <c r="V81"/>
    </row>
    <row r="82" spans="1:22" hidden="1" x14ac:dyDescent="0.35">
      <c r="A82" s="30"/>
      <c r="B82" s="48"/>
      <c r="C82"/>
      <c r="D82"/>
      <c r="E82"/>
      <c r="F82" s="57"/>
      <c r="G82" s="58"/>
      <c r="H82" s="58"/>
      <c r="I82" s="58"/>
      <c r="J82" s="58"/>
      <c r="K82" s="58"/>
      <c r="L82" s="58"/>
      <c r="M82" s="58"/>
      <c r="N82" s="58"/>
      <c r="O82" s="58"/>
      <c r="P82" s="58"/>
      <c r="Q82" s="58"/>
      <c r="R82"/>
      <c r="S82"/>
      <c r="T82"/>
      <c r="U82"/>
      <c r="V82"/>
    </row>
    <row r="83" spans="1:22" hidden="1" x14ac:dyDescent="0.35">
      <c r="A83" s="30"/>
      <c r="B83" s="48"/>
      <c r="C83"/>
      <c r="D83"/>
      <c r="E83"/>
      <c r="F83" s="57"/>
      <c r="G83" s="58"/>
      <c r="H83" s="58"/>
      <c r="I83" s="58"/>
      <c r="J83" s="58"/>
      <c r="K83" s="58"/>
      <c r="L83" s="58"/>
      <c r="M83" s="58"/>
      <c r="N83" s="58"/>
      <c r="O83" s="58"/>
      <c r="P83" s="58"/>
      <c r="Q83" s="58"/>
      <c r="R83"/>
      <c r="S83"/>
      <c r="T83"/>
      <c r="U83"/>
      <c r="V83"/>
    </row>
    <row r="84" spans="1:22" hidden="1" x14ac:dyDescent="0.35">
      <c r="A84" s="30"/>
      <c r="B84" s="48"/>
      <c r="C84"/>
      <c r="D84"/>
      <c r="E84"/>
      <c r="F84" s="57"/>
      <c r="G84" s="58"/>
      <c r="H84" s="58"/>
      <c r="I84" s="58"/>
      <c r="J84" s="58"/>
      <c r="K84" s="58"/>
      <c r="L84" s="58"/>
      <c r="M84" s="58"/>
      <c r="N84" s="58"/>
      <c r="O84" s="58"/>
      <c r="P84" s="58"/>
      <c r="Q84" s="58"/>
      <c r="R84"/>
      <c r="S84"/>
      <c r="T84"/>
      <c r="U84"/>
      <c r="V84"/>
    </row>
    <row r="85" spans="1:22" hidden="1" x14ac:dyDescent="0.35">
      <c r="A85" s="30"/>
      <c r="B85" s="48"/>
      <c r="C85"/>
      <c r="D85"/>
      <c r="E85"/>
      <c r="F85" s="57"/>
      <c r="G85" s="58"/>
      <c r="H85" s="58"/>
      <c r="I85" s="58"/>
      <c r="J85" s="58"/>
      <c r="K85" s="58"/>
      <c r="L85" s="58"/>
      <c r="M85" s="58"/>
      <c r="N85" s="58"/>
      <c r="O85" s="58"/>
      <c r="P85" s="58"/>
      <c r="Q85" s="58"/>
      <c r="R85"/>
      <c r="S85"/>
      <c r="T85"/>
      <c r="U85"/>
      <c r="V85"/>
    </row>
    <row r="86" spans="1:22" hidden="1" x14ac:dyDescent="0.35">
      <c r="A86" s="30"/>
      <c r="B86" s="48"/>
      <c r="C86"/>
      <c r="D86"/>
      <c r="E86"/>
      <c r="F86" s="57"/>
      <c r="G86" s="58"/>
      <c r="H86" s="58"/>
      <c r="I86" s="58"/>
      <c r="J86" s="58"/>
      <c r="K86" s="58"/>
      <c r="L86" s="58"/>
      <c r="M86" s="58"/>
      <c r="N86" s="58"/>
      <c r="O86" s="58"/>
      <c r="P86" s="58"/>
      <c r="Q86" s="58"/>
      <c r="R86"/>
      <c r="S86"/>
      <c r="T86"/>
      <c r="U86"/>
      <c r="V86"/>
    </row>
    <row r="87" spans="1:22" hidden="1" x14ac:dyDescent="0.35">
      <c r="A87" s="30"/>
      <c r="B87" s="48"/>
      <c r="C87"/>
      <c r="D87"/>
      <c r="E87"/>
      <c r="F87" s="57"/>
      <c r="G87" s="57"/>
      <c r="H87" s="57"/>
      <c r="I87" s="57"/>
      <c r="J87" s="57"/>
      <c r="K87" s="57"/>
      <c r="L87" s="57"/>
      <c r="M87" s="57"/>
      <c r="N87" s="57"/>
      <c r="O87" s="57"/>
      <c r="P87" s="57"/>
      <c r="Q87" s="57"/>
      <c r="R87"/>
      <c r="S87"/>
      <c r="T87"/>
      <c r="U87"/>
      <c r="V87"/>
    </row>
    <row r="88" spans="1:22" hidden="1" x14ac:dyDescent="0.35">
      <c r="A88" s="30"/>
      <c r="B88" s="48"/>
      <c r="C88"/>
      <c r="D88"/>
      <c r="E88"/>
      <c r="F88" s="57"/>
      <c r="G88" s="57"/>
      <c r="H88" s="57"/>
      <c r="I88" s="57"/>
      <c r="J88" s="57"/>
      <c r="K88" s="57"/>
      <c r="L88" s="57"/>
      <c r="M88" s="57"/>
      <c r="N88" s="57"/>
      <c r="O88" s="57"/>
      <c r="P88" s="57"/>
      <c r="Q88" s="57"/>
      <c r="R88"/>
      <c r="S88"/>
      <c r="T88"/>
      <c r="U88"/>
      <c r="V88"/>
    </row>
    <row r="89" spans="1:22" hidden="1" x14ac:dyDescent="0.35">
      <c r="A89" s="30"/>
      <c r="B89" s="48"/>
      <c r="C89"/>
      <c r="D89"/>
      <c r="E89"/>
      <c r="F89" s="27"/>
      <c r="G89" s="20"/>
      <c r="H89" s="20"/>
      <c r="I89" s="20"/>
      <c r="J89" s="20"/>
      <c r="K89" s="20"/>
      <c r="L89" s="20"/>
      <c r="M89" s="20"/>
      <c r="N89" s="20"/>
      <c r="O89" s="20"/>
      <c r="P89" s="20"/>
      <c r="Q89" s="20"/>
      <c r="R89"/>
      <c r="S89"/>
      <c r="T89"/>
      <c r="U89"/>
      <c r="V89"/>
    </row>
    <row r="90" spans="1:22" hidden="1" x14ac:dyDescent="0.35">
      <c r="A90" s="30"/>
      <c r="B90" s="48"/>
      <c r="C90"/>
      <c r="D90"/>
      <c r="E90"/>
      <c r="F90" s="26"/>
      <c r="G90" s="26"/>
      <c r="H90" s="26"/>
      <c r="I90" s="26"/>
      <c r="J90" s="26"/>
      <c r="K90" s="26"/>
      <c r="L90" s="26"/>
      <c r="M90" s="26"/>
      <c r="N90" s="26"/>
      <c r="O90" s="26"/>
      <c r="P90" s="26"/>
      <c r="Q90" s="26"/>
      <c r="R90"/>
      <c r="S90"/>
      <c r="T90"/>
      <c r="U90"/>
      <c r="V90"/>
    </row>
    <row r="91" spans="1:22" hidden="1" x14ac:dyDescent="0.35">
      <c r="A91" s="30"/>
      <c r="B91" s="48"/>
      <c r="C91" s="38"/>
      <c r="D91"/>
      <c r="E91"/>
      <c r="F91" s="27"/>
      <c r="G91" s="27"/>
      <c r="H91" s="27"/>
      <c r="I91" s="27"/>
      <c r="J91" s="27"/>
      <c r="K91" s="27"/>
      <c r="L91" s="27"/>
      <c r="M91" s="27"/>
      <c r="N91" s="27"/>
      <c r="O91" s="27"/>
      <c r="P91" s="27"/>
      <c r="Q91" s="27"/>
      <c r="R91"/>
      <c r="S91"/>
      <c r="T91"/>
      <c r="U91"/>
      <c r="V91"/>
    </row>
    <row r="92" spans="1:22" hidden="1" x14ac:dyDescent="0.35">
      <c r="A92" s="30"/>
      <c r="B92"/>
      <c r="C92" s="38"/>
      <c r="D92"/>
      <c r="E92"/>
      <c r="F92" s="27"/>
      <c r="G92" s="27"/>
      <c r="H92" s="27"/>
      <c r="I92" s="27"/>
      <c r="J92" s="27"/>
      <c r="K92" s="27"/>
      <c r="L92" s="27"/>
      <c r="M92" s="27"/>
      <c r="N92" s="27"/>
      <c r="O92" s="27"/>
      <c r="P92" s="27"/>
      <c r="Q92" s="27"/>
      <c r="R92"/>
      <c r="S92"/>
      <c r="T92"/>
      <c r="U92"/>
      <c r="V92"/>
    </row>
    <row r="93" spans="1:22" hidden="1" x14ac:dyDescent="0.35">
      <c r="A93" s="30"/>
      <c r="B93" s="38"/>
      <c r="C93"/>
      <c r="D93"/>
      <c r="E93"/>
      <c r="F93" s="56"/>
      <c r="G93" s="27"/>
      <c r="H93" s="27"/>
      <c r="I93" s="27"/>
      <c r="J93" s="27"/>
      <c r="K93" s="27"/>
      <c r="L93" s="27"/>
      <c r="M93" s="27"/>
      <c r="N93" s="27"/>
      <c r="O93" s="27"/>
      <c r="P93" s="27"/>
      <c r="Q93" s="27"/>
      <c r="R93"/>
      <c r="S93"/>
      <c r="T93"/>
      <c r="U93"/>
      <c r="V93"/>
    </row>
    <row r="94" spans="1:22" hidden="1" x14ac:dyDescent="0.35">
      <c r="B94"/>
      <c r="C94"/>
      <c r="D94"/>
      <c r="E94"/>
      <c r="F94"/>
      <c r="G94"/>
      <c r="H94"/>
      <c r="I94"/>
      <c r="J94"/>
      <c r="K94"/>
      <c r="L94"/>
      <c r="M94"/>
      <c r="N94"/>
      <c r="O94"/>
      <c r="P94"/>
      <c r="Q94"/>
      <c r="R94"/>
      <c r="S94"/>
      <c r="T94"/>
      <c r="U94"/>
      <c r="V94"/>
    </row>
    <row r="95" spans="1:22" hidden="1" x14ac:dyDescent="0.35">
      <c r="B95"/>
      <c r="C95"/>
      <c r="D95"/>
      <c r="E95"/>
      <c r="F95" s="20"/>
      <c r="G95" s="20"/>
      <c r="H95" s="20"/>
      <c r="I95" s="20"/>
      <c r="J95" s="20"/>
      <c r="K95" s="20"/>
      <c r="L95" s="20"/>
      <c r="M95" s="20"/>
      <c r="N95" s="20"/>
      <c r="O95" s="20"/>
      <c r="P95" s="20"/>
      <c r="Q95" s="20"/>
      <c r="R95"/>
      <c r="S95"/>
      <c r="T95"/>
      <c r="U95"/>
      <c r="V95"/>
    </row>
    <row r="96" spans="1:22" hidden="1" x14ac:dyDescent="0.35">
      <c r="B96" s="51"/>
      <c r="C96"/>
      <c r="D96"/>
      <c r="E96"/>
      <c r="F96" s="56"/>
      <c r="G96" s="20"/>
      <c r="H96" s="20"/>
      <c r="I96" s="20"/>
      <c r="J96" s="20"/>
      <c r="K96" s="20"/>
      <c r="L96" s="20"/>
      <c r="M96" s="20"/>
      <c r="N96" s="20"/>
      <c r="O96" s="20"/>
      <c r="P96" s="20"/>
      <c r="Q96" s="20"/>
      <c r="R96"/>
      <c r="S96"/>
      <c r="T96"/>
      <c r="U96"/>
      <c r="V96"/>
    </row>
    <row r="97" spans="1:22" hidden="1" x14ac:dyDescent="0.35">
      <c r="B97" s="38"/>
      <c r="C97"/>
      <c r="D97"/>
      <c r="E97"/>
      <c r="F97" s="20"/>
      <c r="G97" s="20"/>
      <c r="H97" s="20"/>
      <c r="I97" s="20"/>
      <c r="J97" s="20"/>
      <c r="K97" s="20"/>
      <c r="L97" s="20"/>
      <c r="M97" s="20"/>
      <c r="N97" s="20"/>
      <c r="O97" s="20"/>
      <c r="P97" s="20"/>
      <c r="Q97" s="20"/>
      <c r="R97"/>
      <c r="S97"/>
      <c r="T97"/>
      <c r="U97"/>
      <c r="V97"/>
    </row>
    <row r="98" spans="1:22" hidden="1" x14ac:dyDescent="0.35">
      <c r="B98"/>
      <c r="C98"/>
      <c r="D98"/>
      <c r="E98"/>
      <c r="F98" s="26"/>
      <c r="G98" s="26"/>
      <c r="H98" s="26"/>
      <c r="I98" s="26"/>
      <c r="J98" s="26"/>
      <c r="K98" s="26"/>
      <c r="L98" s="26"/>
      <c r="M98" s="26"/>
      <c r="N98" s="26"/>
      <c r="O98" s="26"/>
      <c r="P98" s="26"/>
      <c r="Q98" s="26"/>
      <c r="R98"/>
      <c r="S98"/>
      <c r="T98"/>
      <c r="U98"/>
      <c r="V98"/>
    </row>
    <row r="99" spans="1:22" hidden="1" x14ac:dyDescent="0.35">
      <c r="B99" s="38"/>
      <c r="C99"/>
      <c r="D99"/>
      <c r="E99"/>
      <c r="F99" s="26"/>
      <c r="G99" s="26"/>
      <c r="H99" s="26"/>
      <c r="I99" s="26"/>
      <c r="J99" s="26"/>
      <c r="K99" s="26"/>
      <c r="L99" s="26"/>
      <c r="M99" s="26"/>
      <c r="N99" s="26"/>
      <c r="O99" s="26"/>
      <c r="P99" s="26"/>
      <c r="Q99" s="26"/>
      <c r="R99"/>
      <c r="S99"/>
      <c r="T99"/>
      <c r="U99"/>
      <c r="V99"/>
    </row>
    <row r="100" spans="1:22" hidden="1" x14ac:dyDescent="0.35">
      <c r="B100" s="38"/>
      <c r="C100"/>
      <c r="D100"/>
      <c r="E100"/>
      <c r="F100" s="26"/>
      <c r="G100" s="26"/>
      <c r="H100" s="26"/>
      <c r="I100" s="26"/>
      <c r="J100" s="26"/>
      <c r="K100" s="26"/>
      <c r="L100" s="26"/>
      <c r="M100" s="26"/>
      <c r="N100" s="26"/>
      <c r="O100" s="26"/>
      <c r="P100" s="26"/>
      <c r="Q100" s="26"/>
      <c r="R100"/>
      <c r="S100"/>
      <c r="T100"/>
      <c r="U100"/>
      <c r="V100"/>
    </row>
    <row r="101" spans="1:22" hidden="1" x14ac:dyDescent="0.35">
      <c r="B101" s="38"/>
      <c r="C101"/>
      <c r="D101"/>
      <c r="E101"/>
      <c r="F101" s="26"/>
      <c r="G101" s="26"/>
      <c r="H101" s="26"/>
      <c r="I101" s="26"/>
      <c r="J101" s="26"/>
      <c r="K101" s="26"/>
      <c r="L101" s="26"/>
      <c r="M101" s="26"/>
      <c r="N101" s="26"/>
      <c r="O101" s="26"/>
      <c r="P101" s="26"/>
      <c r="Q101" s="26"/>
      <c r="R101"/>
      <c r="S101"/>
      <c r="T101"/>
      <c r="U101"/>
      <c r="V101"/>
    </row>
    <row r="102" spans="1:22" hidden="1" x14ac:dyDescent="0.35">
      <c r="B102" s="51"/>
      <c r="C102"/>
      <c r="D102"/>
      <c r="E102"/>
      <c r="F102" s="26"/>
      <c r="G102" s="26"/>
      <c r="H102" s="26"/>
      <c r="I102" s="26"/>
      <c r="J102" s="26"/>
      <c r="K102" s="26"/>
      <c r="L102" s="26"/>
      <c r="M102" s="26"/>
      <c r="N102" s="26"/>
      <c r="O102" s="26"/>
      <c r="P102" s="26"/>
      <c r="Q102" s="26"/>
      <c r="R102"/>
      <c r="S102"/>
      <c r="T102"/>
      <c r="U102"/>
      <c r="V102"/>
    </row>
    <row r="103" spans="1:22" hidden="1" x14ac:dyDescent="0.35">
      <c r="B103" s="38"/>
      <c r="C103"/>
      <c r="D103"/>
      <c r="E103"/>
      <c r="F103" s="20"/>
      <c r="G103" s="20"/>
      <c r="H103" s="20"/>
      <c r="I103" s="20"/>
      <c r="J103" s="20"/>
      <c r="K103" s="20"/>
      <c r="L103" s="20"/>
      <c r="M103" s="20"/>
      <c r="N103" s="20"/>
      <c r="O103" s="20"/>
      <c r="P103" s="20"/>
      <c r="Q103" s="20"/>
      <c r="R103"/>
      <c r="S103"/>
      <c r="T103"/>
      <c r="U103"/>
      <c r="V103"/>
    </row>
    <row r="104" spans="1:22" hidden="1" x14ac:dyDescent="0.35">
      <c r="B104"/>
      <c r="C104"/>
      <c r="D104"/>
      <c r="E104"/>
      <c r="F104" s="27"/>
      <c r="G104" s="27"/>
      <c r="H104" s="27"/>
      <c r="I104" s="27"/>
      <c r="J104" s="27"/>
      <c r="K104" s="27"/>
      <c r="L104" s="27"/>
      <c r="M104" s="27"/>
      <c r="N104" s="27"/>
      <c r="O104" s="27"/>
      <c r="P104" s="27"/>
      <c r="Q104" s="27"/>
      <c r="R104"/>
      <c r="S104"/>
      <c r="T104"/>
      <c r="U104"/>
      <c r="V104"/>
    </row>
    <row r="105" spans="1:22" hidden="1" x14ac:dyDescent="0.35">
      <c r="B105" s="51"/>
      <c r="C105"/>
      <c r="D105"/>
      <c r="E105"/>
      <c r="F105" s="27"/>
      <c r="G105" s="27"/>
      <c r="H105" s="27"/>
      <c r="I105" s="27"/>
      <c r="J105" s="27"/>
      <c r="K105" s="27"/>
      <c r="L105" s="27"/>
      <c r="M105" s="27"/>
      <c r="N105" s="27"/>
      <c r="O105" s="27"/>
      <c r="P105" s="27"/>
      <c r="Q105" s="27"/>
      <c r="R105"/>
      <c r="S105"/>
      <c r="T105"/>
      <c r="U105"/>
      <c r="V105"/>
    </row>
    <row r="106" spans="1:22" hidden="1" x14ac:dyDescent="0.35">
      <c r="B106" s="51"/>
      <c r="C106"/>
      <c r="D106"/>
      <c r="E106"/>
      <c r="F106" s="26"/>
      <c r="G106" s="26"/>
      <c r="H106" s="26"/>
      <c r="I106" s="26"/>
      <c r="J106" s="26"/>
      <c r="K106" s="26"/>
      <c r="L106" s="26"/>
      <c r="M106" s="26"/>
      <c r="N106" s="26"/>
      <c r="O106" s="26"/>
      <c r="P106" s="26"/>
      <c r="Q106" s="26"/>
      <c r="R106"/>
      <c r="S106"/>
      <c r="T106"/>
      <c r="U106"/>
      <c r="V106"/>
    </row>
    <row r="107" spans="1:22" hidden="1" x14ac:dyDescent="0.35">
      <c r="B107" s="51"/>
      <c r="C107"/>
      <c r="D107"/>
      <c r="E107"/>
      <c r="F107" s="27"/>
      <c r="G107" s="27"/>
      <c r="H107" s="27"/>
      <c r="I107" s="27"/>
      <c r="J107" s="27"/>
      <c r="K107" s="27"/>
      <c r="L107" s="27"/>
      <c r="M107" s="27"/>
      <c r="N107" s="27"/>
      <c r="O107" s="27"/>
      <c r="P107" s="27"/>
      <c r="Q107" s="27"/>
      <c r="R107"/>
      <c r="S107"/>
      <c r="T107"/>
      <c r="U107"/>
      <c r="V107"/>
    </row>
    <row r="108" spans="1:22" hidden="1" x14ac:dyDescent="0.35">
      <c r="B108" s="51"/>
      <c r="C108"/>
      <c r="D108"/>
      <c r="E108"/>
      <c r="F108" s="58"/>
      <c r="G108" s="58"/>
      <c r="H108" s="58"/>
      <c r="I108" s="58"/>
      <c r="J108" s="58"/>
      <c r="K108" s="58"/>
      <c r="L108" s="58"/>
      <c r="M108" s="58"/>
      <c r="N108" s="58"/>
      <c r="O108" s="58"/>
      <c r="P108" s="58"/>
      <c r="Q108" s="58"/>
      <c r="R108" s="58"/>
      <c r="S108" s="58"/>
      <c r="T108"/>
      <c r="U108"/>
      <c r="V108"/>
    </row>
    <row r="109" spans="1:22" hidden="1" x14ac:dyDescent="0.35">
      <c r="B109" s="51"/>
      <c r="C109"/>
      <c r="D109"/>
      <c r="E109"/>
      <c r="F109" s="59"/>
      <c r="G109" s="59"/>
      <c r="H109" s="59"/>
      <c r="I109" s="59"/>
      <c r="J109" s="59"/>
      <c r="K109" s="59"/>
      <c r="L109" s="59"/>
      <c r="M109" s="59"/>
      <c r="N109" s="59"/>
      <c r="O109" s="59"/>
      <c r="P109" s="59"/>
      <c r="Q109" s="59"/>
      <c r="R109" s="24"/>
      <c r="S109" s="24"/>
      <c r="T109"/>
      <c r="U109"/>
      <c r="V109"/>
    </row>
    <row r="110" spans="1:22" hidden="1" x14ac:dyDescent="0.35">
      <c r="B110" s="51"/>
      <c r="C110"/>
      <c r="D110"/>
      <c r="E110"/>
      <c r="F110" s="59"/>
      <c r="G110" s="59"/>
      <c r="H110" s="59"/>
      <c r="I110" s="59"/>
      <c r="J110" s="59"/>
      <c r="K110" s="59"/>
      <c r="L110" s="59"/>
      <c r="M110" s="59"/>
      <c r="N110" s="59"/>
      <c r="O110" s="59"/>
      <c r="P110" s="59"/>
      <c r="Q110" s="59"/>
      <c r="R110" s="24"/>
      <c r="S110" s="24"/>
      <c r="T110"/>
      <c r="U110"/>
      <c r="V110"/>
    </row>
    <row r="111" spans="1:22" hidden="1" x14ac:dyDescent="0.35">
      <c r="B111" s="60"/>
      <c r="F111" s="44"/>
      <c r="G111" s="44"/>
      <c r="H111" s="44"/>
      <c r="I111" s="44"/>
      <c r="J111" s="44"/>
      <c r="K111" s="44"/>
      <c r="L111" s="44"/>
      <c r="M111" s="44"/>
      <c r="N111" s="44"/>
      <c r="O111" s="44"/>
      <c r="P111" s="44"/>
      <c r="Q111" s="44"/>
      <c r="R111" s="61"/>
      <c r="S111" s="61"/>
    </row>
    <row r="112" spans="1:22" ht="46.5" hidden="1" customHeight="1" x14ac:dyDescent="0.35">
      <c r="A112" s="234"/>
      <c r="B112" s="234"/>
      <c r="C112" s="234"/>
      <c r="D112" s="234"/>
      <c r="E112" s="234"/>
      <c r="F112" s="234"/>
      <c r="G112" s="234"/>
      <c r="H112" s="234"/>
      <c r="I112" s="234"/>
      <c r="J112" s="234"/>
      <c r="K112" s="234"/>
      <c r="L112" s="234"/>
      <c r="M112" s="234"/>
      <c r="N112" s="234"/>
      <c r="O112" s="234"/>
      <c r="P112" s="62"/>
      <c r="Q112" s="39"/>
    </row>
    <row r="114" spans="2:17" hidden="1" x14ac:dyDescent="0.35">
      <c r="B114" s="46"/>
    </row>
    <row r="116" spans="2:17" hidden="1" x14ac:dyDescent="0.35">
      <c r="C116" s="63"/>
      <c r="D116" s="63"/>
      <c r="E116" s="63"/>
      <c r="J116" s="41"/>
    </row>
    <row r="117" spans="2:17" hidden="1" x14ac:dyDescent="0.35">
      <c r="C117" s="64"/>
      <c r="D117" s="65"/>
      <c r="E117" s="64"/>
      <c r="F117" s="39"/>
      <c r="G117" s="39"/>
      <c r="H117" s="39"/>
      <c r="I117" s="39"/>
      <c r="J117" s="39"/>
      <c r="K117" s="39"/>
      <c r="L117" s="39"/>
      <c r="M117" s="39"/>
      <c r="N117" s="39"/>
      <c r="O117" s="39"/>
      <c r="P117" s="39"/>
      <c r="Q117" s="39"/>
    </row>
    <row r="118" spans="2:17" hidden="1" x14ac:dyDescent="0.35">
      <c r="C118" s="64"/>
      <c r="D118" s="65"/>
      <c r="E118" s="64"/>
      <c r="F118" s="39"/>
      <c r="G118" s="39"/>
      <c r="H118" s="39"/>
      <c r="I118" s="39"/>
      <c r="J118" s="39"/>
      <c r="K118" s="39"/>
      <c r="L118" s="39"/>
      <c r="M118" s="39"/>
      <c r="N118" s="39"/>
      <c r="O118" s="39"/>
      <c r="P118" s="39"/>
      <c r="Q118" s="39"/>
    </row>
    <row r="119" spans="2:17" hidden="1" x14ac:dyDescent="0.35">
      <c r="C119" s="64"/>
      <c r="D119" s="65"/>
      <c r="E119" s="64"/>
      <c r="F119" s="39"/>
      <c r="G119" s="39"/>
      <c r="H119" s="39"/>
      <c r="I119" s="39"/>
      <c r="J119" s="39"/>
      <c r="K119" s="39"/>
      <c r="L119" s="39"/>
      <c r="M119" s="39"/>
      <c r="N119" s="39"/>
      <c r="O119" s="39"/>
      <c r="P119" s="39"/>
      <c r="Q119" s="39"/>
    </row>
    <row r="120" spans="2:17" hidden="1" x14ac:dyDescent="0.35">
      <c r="C120" s="64"/>
      <c r="D120" s="65"/>
      <c r="E120" s="64"/>
      <c r="F120" s="39"/>
      <c r="G120" s="39"/>
      <c r="H120" s="39"/>
      <c r="I120" s="39"/>
      <c r="J120" s="39"/>
      <c r="K120" s="39"/>
      <c r="L120" s="39"/>
      <c r="M120" s="39"/>
      <c r="N120" s="39"/>
      <c r="O120" s="39"/>
      <c r="P120" s="39"/>
      <c r="Q120" s="39"/>
    </row>
    <row r="121" spans="2:17" hidden="1" x14ac:dyDescent="0.35">
      <c r="C121" s="64"/>
      <c r="D121" s="65"/>
      <c r="E121" s="64"/>
      <c r="F121" s="39"/>
      <c r="G121" s="39"/>
      <c r="H121" s="39"/>
      <c r="I121" s="39"/>
      <c r="J121" s="39"/>
      <c r="K121" s="39"/>
      <c r="L121" s="39"/>
      <c r="M121" s="39"/>
      <c r="N121" s="39"/>
      <c r="O121" s="39"/>
      <c r="P121" s="39"/>
      <c r="Q121" s="39"/>
    </row>
    <row r="122" spans="2:17" hidden="1" x14ac:dyDescent="0.35">
      <c r="C122" s="64"/>
      <c r="D122" s="65"/>
      <c r="E122" s="64"/>
      <c r="F122" s="39"/>
      <c r="G122" s="39"/>
      <c r="H122" s="39"/>
      <c r="I122" s="39"/>
      <c r="J122" s="39"/>
      <c r="K122" s="39"/>
      <c r="L122" s="39"/>
      <c r="M122" s="39"/>
      <c r="N122" s="39"/>
      <c r="O122" s="39"/>
      <c r="P122" s="39"/>
      <c r="Q122" s="39"/>
    </row>
    <row r="123" spans="2:17" hidden="1" x14ac:dyDescent="0.35">
      <c r="C123" s="64"/>
      <c r="D123" s="65"/>
      <c r="E123" s="64"/>
      <c r="F123" s="39"/>
      <c r="G123" s="39"/>
      <c r="H123" s="39"/>
      <c r="I123" s="39"/>
      <c r="J123" s="39"/>
      <c r="K123" s="39"/>
      <c r="L123" s="39"/>
      <c r="M123" s="39"/>
      <c r="N123" s="39"/>
      <c r="O123" s="39"/>
      <c r="P123" s="39"/>
      <c r="Q123" s="39"/>
    </row>
    <row r="124" spans="2:17" hidden="1" x14ac:dyDescent="0.35">
      <c r="C124" s="64"/>
      <c r="D124" s="65"/>
      <c r="E124" s="64"/>
      <c r="F124" s="39"/>
      <c r="G124" s="39"/>
      <c r="H124" s="39"/>
      <c r="I124" s="39"/>
      <c r="J124" s="39"/>
      <c r="K124" s="39"/>
      <c r="L124" s="39"/>
      <c r="M124" s="39"/>
      <c r="N124" s="39"/>
      <c r="O124" s="39"/>
      <c r="P124" s="39"/>
      <c r="Q124" s="39"/>
    </row>
    <row r="125" spans="2:17" hidden="1" x14ac:dyDescent="0.35">
      <c r="C125" s="64"/>
      <c r="D125" s="65"/>
      <c r="E125" s="64"/>
      <c r="F125" s="39"/>
      <c r="G125" s="39"/>
      <c r="H125" s="39"/>
      <c r="I125" s="39"/>
      <c r="J125" s="39"/>
      <c r="K125" s="39"/>
      <c r="L125" s="39"/>
      <c r="M125" s="39"/>
      <c r="N125" s="39"/>
      <c r="O125" s="39"/>
      <c r="P125" s="39"/>
      <c r="Q125" s="39"/>
    </row>
    <row r="126" spans="2:17" hidden="1" x14ac:dyDescent="0.35">
      <c r="C126" s="64"/>
      <c r="D126" s="65"/>
      <c r="E126" s="64"/>
      <c r="F126" s="39"/>
      <c r="G126" s="39"/>
      <c r="H126" s="39"/>
      <c r="I126" s="39"/>
      <c r="J126" s="39"/>
      <c r="K126" s="39"/>
      <c r="L126" s="39"/>
      <c r="M126" s="39"/>
      <c r="N126" s="39"/>
      <c r="O126" s="39"/>
      <c r="P126" s="39"/>
      <c r="Q126" s="39"/>
    </row>
    <row r="127" spans="2:17" hidden="1" x14ac:dyDescent="0.35">
      <c r="C127" s="64"/>
      <c r="D127" s="65"/>
      <c r="E127" s="64"/>
      <c r="F127" s="39"/>
      <c r="G127" s="39"/>
      <c r="H127" s="39"/>
      <c r="I127" s="39"/>
      <c r="J127" s="39"/>
      <c r="K127" s="39"/>
      <c r="L127" s="39"/>
      <c r="M127" s="39"/>
      <c r="N127" s="39"/>
      <c r="O127" s="39"/>
      <c r="P127" s="39"/>
      <c r="Q127" s="39"/>
    </row>
    <row r="128" spans="2:17" hidden="1" x14ac:dyDescent="0.35">
      <c r="C128" s="64"/>
      <c r="D128" s="65"/>
      <c r="E128" s="64"/>
      <c r="F128" s="39"/>
      <c r="G128" s="39"/>
      <c r="H128" s="39"/>
      <c r="I128" s="39"/>
      <c r="J128" s="39"/>
      <c r="K128" s="39"/>
      <c r="L128" s="39"/>
      <c r="M128" s="39"/>
      <c r="N128" s="39"/>
      <c r="O128" s="39"/>
      <c r="P128" s="39"/>
      <c r="Q128" s="39"/>
    </row>
    <row r="129" spans="3:17" hidden="1" x14ac:dyDescent="0.35">
      <c r="C129" s="64"/>
      <c r="D129" s="65"/>
      <c r="E129" s="64"/>
      <c r="F129" s="39"/>
      <c r="G129" s="39"/>
      <c r="H129" s="39"/>
      <c r="I129" s="39"/>
      <c r="J129" s="39"/>
      <c r="K129" s="39"/>
      <c r="L129" s="39"/>
      <c r="M129" s="39"/>
      <c r="N129" s="39"/>
      <c r="O129" s="39"/>
      <c r="P129" s="39"/>
      <c r="Q129" s="39"/>
    </row>
    <row r="130" spans="3:17" hidden="1" x14ac:dyDescent="0.35">
      <c r="C130" s="64"/>
      <c r="D130" s="65"/>
      <c r="E130" s="64"/>
      <c r="F130" s="39"/>
      <c r="G130" s="39"/>
      <c r="H130" s="39"/>
      <c r="I130" s="39"/>
      <c r="J130" s="39"/>
      <c r="K130" s="39"/>
      <c r="L130" s="39"/>
      <c r="M130" s="39"/>
      <c r="N130" s="39"/>
      <c r="O130" s="39"/>
      <c r="P130" s="39"/>
      <c r="Q130" s="39"/>
    </row>
    <row r="131" spans="3:17" hidden="1" x14ac:dyDescent="0.35">
      <c r="C131" s="64"/>
      <c r="D131" s="65"/>
      <c r="E131" s="64"/>
      <c r="F131" s="39"/>
      <c r="G131" s="39"/>
      <c r="H131" s="39"/>
      <c r="I131" s="39"/>
      <c r="J131" s="39"/>
      <c r="K131" s="39"/>
      <c r="L131" s="39"/>
      <c r="M131" s="39"/>
      <c r="N131" s="39"/>
      <c r="O131" s="39"/>
      <c r="P131" s="39"/>
      <c r="Q131" s="39"/>
    </row>
    <row r="132" spans="3:17" hidden="1" x14ac:dyDescent="0.35">
      <c r="C132" s="64"/>
      <c r="D132" s="65"/>
      <c r="E132" s="64"/>
      <c r="F132" s="39"/>
      <c r="G132" s="39"/>
      <c r="H132" s="39"/>
      <c r="I132" s="39"/>
      <c r="J132" s="39"/>
      <c r="K132" s="39"/>
      <c r="L132" s="39"/>
      <c r="M132" s="39"/>
      <c r="N132" s="39"/>
      <c r="O132" s="39"/>
      <c r="P132" s="39"/>
      <c r="Q132" s="39"/>
    </row>
    <row r="133" spans="3:17" hidden="1" x14ac:dyDescent="0.35">
      <c r="C133" s="64"/>
      <c r="D133" s="65"/>
      <c r="E133" s="64"/>
      <c r="F133" s="39"/>
      <c r="G133" s="39"/>
      <c r="H133" s="39"/>
      <c r="I133" s="39"/>
      <c r="J133" s="39"/>
      <c r="K133" s="39"/>
      <c r="L133" s="39"/>
      <c r="M133" s="39"/>
      <c r="N133" s="39"/>
      <c r="O133" s="39"/>
      <c r="P133" s="39"/>
      <c r="Q133" s="39"/>
    </row>
    <row r="134" spans="3:17" hidden="1" x14ac:dyDescent="0.35">
      <c r="C134" s="64"/>
      <c r="D134" s="65"/>
      <c r="E134" s="64"/>
      <c r="F134" s="39"/>
      <c r="G134" s="39"/>
      <c r="H134" s="39"/>
      <c r="I134" s="39"/>
      <c r="J134" s="39"/>
      <c r="K134" s="39"/>
      <c r="L134" s="39"/>
      <c r="M134" s="39"/>
      <c r="N134" s="39"/>
      <c r="O134" s="39"/>
      <c r="P134" s="39"/>
      <c r="Q134" s="39"/>
    </row>
    <row r="135" spans="3:17" hidden="1" x14ac:dyDescent="0.35">
      <c r="C135" s="64"/>
      <c r="D135" s="65"/>
      <c r="E135" s="64"/>
      <c r="F135" s="39"/>
      <c r="G135" s="39"/>
      <c r="H135" s="39"/>
      <c r="I135" s="39"/>
      <c r="J135" s="39"/>
      <c r="K135" s="39"/>
      <c r="L135" s="39"/>
      <c r="M135" s="39"/>
      <c r="N135" s="39"/>
      <c r="O135" s="39"/>
      <c r="P135" s="39"/>
      <c r="Q135" s="39"/>
    </row>
    <row r="136" spans="3:17" hidden="1" x14ac:dyDescent="0.35">
      <c r="C136" s="64"/>
      <c r="D136" s="65"/>
      <c r="E136" s="64"/>
      <c r="F136" s="39"/>
      <c r="G136" s="39"/>
      <c r="H136" s="39"/>
      <c r="I136" s="39"/>
      <c r="J136" s="39"/>
      <c r="K136" s="39"/>
      <c r="L136" s="39"/>
      <c r="M136" s="39"/>
      <c r="N136" s="39"/>
      <c r="O136" s="39"/>
      <c r="P136" s="39"/>
      <c r="Q136" s="39"/>
    </row>
    <row r="137" spans="3:17" hidden="1" x14ac:dyDescent="0.35">
      <c r="C137" s="64"/>
      <c r="D137" s="65"/>
      <c r="E137" s="64"/>
      <c r="F137" s="39"/>
      <c r="G137" s="39"/>
      <c r="H137" s="39"/>
      <c r="I137" s="39"/>
      <c r="J137" s="39"/>
      <c r="K137" s="39"/>
      <c r="L137" s="39"/>
      <c r="M137" s="39"/>
      <c r="N137" s="39"/>
      <c r="O137" s="39"/>
      <c r="P137" s="39"/>
      <c r="Q137" s="39"/>
    </row>
    <row r="138" spans="3:17" hidden="1" x14ac:dyDescent="0.35">
      <c r="C138" s="64"/>
      <c r="D138" s="65"/>
      <c r="E138" s="64"/>
      <c r="F138" s="39"/>
      <c r="G138" s="39"/>
      <c r="H138" s="39"/>
      <c r="I138" s="39"/>
      <c r="J138" s="39"/>
      <c r="K138" s="39"/>
      <c r="L138" s="39"/>
      <c r="M138" s="39"/>
      <c r="N138" s="39"/>
      <c r="O138" s="39"/>
      <c r="P138" s="39"/>
      <c r="Q138" s="39"/>
    </row>
    <row r="139" spans="3:17" hidden="1" x14ac:dyDescent="0.35">
      <c r="C139" s="64"/>
      <c r="D139" s="65"/>
      <c r="E139" s="64"/>
      <c r="F139" s="39"/>
      <c r="G139" s="39"/>
      <c r="H139" s="39"/>
      <c r="I139" s="39"/>
      <c r="J139" s="39"/>
      <c r="K139" s="39"/>
      <c r="L139" s="39"/>
      <c r="M139" s="39"/>
      <c r="N139" s="39"/>
      <c r="O139" s="39"/>
      <c r="P139" s="39"/>
      <c r="Q139" s="39"/>
    </row>
    <row r="140" spans="3:17" hidden="1" x14ac:dyDescent="0.35">
      <c r="C140" s="64"/>
      <c r="D140" s="65"/>
      <c r="E140" s="64"/>
      <c r="F140" s="39"/>
      <c r="G140" s="39"/>
      <c r="H140" s="39"/>
      <c r="I140" s="39"/>
      <c r="J140" s="39"/>
      <c r="K140" s="39"/>
      <c r="L140" s="39"/>
      <c r="M140" s="39"/>
      <c r="N140" s="39"/>
      <c r="O140" s="39"/>
      <c r="P140" s="39"/>
      <c r="Q140" s="39"/>
    </row>
    <row r="141" spans="3:17" hidden="1" x14ac:dyDescent="0.35">
      <c r="C141" s="64"/>
      <c r="D141" s="65"/>
      <c r="E141" s="64"/>
      <c r="F141" s="39"/>
      <c r="G141" s="39"/>
      <c r="H141" s="39"/>
      <c r="I141" s="39"/>
      <c r="J141" s="39"/>
      <c r="K141" s="39"/>
      <c r="L141" s="39"/>
      <c r="M141" s="39"/>
      <c r="N141" s="39"/>
      <c r="O141" s="39"/>
      <c r="P141" s="39"/>
      <c r="Q141" s="39"/>
    </row>
    <row r="142" spans="3:17" hidden="1" x14ac:dyDescent="0.35">
      <c r="C142" s="64"/>
      <c r="D142" s="65"/>
      <c r="E142" s="64"/>
      <c r="F142" s="39"/>
      <c r="G142" s="39"/>
      <c r="H142" s="39"/>
      <c r="I142" s="39"/>
      <c r="J142" s="39"/>
      <c r="K142" s="39"/>
      <c r="L142" s="39"/>
      <c r="M142" s="39"/>
      <c r="N142" s="39"/>
      <c r="O142" s="39"/>
      <c r="P142" s="39"/>
      <c r="Q142" s="39"/>
    </row>
    <row r="143" spans="3:17" hidden="1" x14ac:dyDescent="0.35">
      <c r="C143" s="64"/>
      <c r="D143" s="65"/>
      <c r="E143" s="64"/>
      <c r="F143" s="39"/>
      <c r="G143" s="39"/>
      <c r="H143" s="39"/>
      <c r="I143" s="39"/>
      <c r="J143" s="39"/>
      <c r="K143" s="39"/>
      <c r="L143" s="39"/>
      <c r="M143" s="39"/>
      <c r="N143" s="39"/>
      <c r="O143" s="39"/>
      <c r="P143" s="39"/>
      <c r="Q143" s="39"/>
    </row>
    <row r="144" spans="3:17" hidden="1" x14ac:dyDescent="0.35">
      <c r="C144" s="64"/>
      <c r="D144" s="65"/>
      <c r="E144" s="64"/>
      <c r="F144" s="39"/>
      <c r="G144" s="39"/>
      <c r="H144" s="39"/>
      <c r="I144" s="39"/>
      <c r="J144" s="39"/>
      <c r="K144" s="39"/>
      <c r="L144" s="39"/>
      <c r="M144" s="39"/>
      <c r="N144" s="39"/>
      <c r="O144" s="39"/>
      <c r="P144" s="39"/>
      <c r="Q144" s="39"/>
    </row>
    <row r="145" spans="3:17" hidden="1" x14ac:dyDescent="0.35">
      <c r="C145" s="64"/>
      <c r="D145" s="65"/>
      <c r="E145" s="64"/>
      <c r="F145" s="39"/>
      <c r="G145" s="39"/>
      <c r="H145" s="39"/>
      <c r="I145" s="39"/>
      <c r="J145" s="39"/>
      <c r="K145" s="39"/>
      <c r="L145" s="39"/>
      <c r="M145" s="39"/>
      <c r="N145" s="39"/>
      <c r="O145" s="39"/>
      <c r="P145" s="39"/>
      <c r="Q145" s="39"/>
    </row>
    <row r="146" spans="3:17" hidden="1" x14ac:dyDescent="0.35">
      <c r="C146" s="64"/>
      <c r="D146" s="65"/>
      <c r="E146" s="64"/>
      <c r="F146" s="39"/>
      <c r="G146" s="39"/>
      <c r="H146" s="39"/>
      <c r="I146" s="39"/>
      <c r="J146" s="39"/>
      <c r="K146" s="39"/>
      <c r="L146" s="39"/>
      <c r="M146" s="39"/>
      <c r="N146" s="39"/>
      <c r="O146" s="39"/>
      <c r="P146" s="39"/>
      <c r="Q146" s="39"/>
    </row>
    <row r="147" spans="3:17" hidden="1" x14ac:dyDescent="0.35">
      <c r="C147" s="64"/>
      <c r="D147" s="65"/>
      <c r="E147" s="64"/>
      <c r="F147" s="39"/>
      <c r="G147" s="39"/>
      <c r="H147" s="39"/>
      <c r="I147" s="39"/>
      <c r="J147" s="39"/>
      <c r="K147" s="39"/>
      <c r="L147" s="39"/>
      <c r="M147" s="39"/>
      <c r="N147" s="39"/>
      <c r="O147" s="39"/>
      <c r="P147" s="39"/>
      <c r="Q147" s="39"/>
    </row>
    <row r="148" spans="3:17" hidden="1" x14ac:dyDescent="0.35">
      <c r="C148" s="64"/>
      <c r="D148" s="65"/>
      <c r="E148" s="64"/>
      <c r="F148" s="39"/>
      <c r="G148" s="39"/>
      <c r="H148" s="39"/>
      <c r="I148" s="39"/>
      <c r="J148" s="39"/>
      <c r="K148" s="39"/>
      <c r="L148" s="39"/>
      <c r="M148" s="39"/>
      <c r="N148" s="39"/>
      <c r="O148" s="39"/>
      <c r="P148" s="39"/>
      <c r="Q148" s="39"/>
    </row>
    <row r="149" spans="3:17" hidden="1" x14ac:dyDescent="0.35">
      <c r="C149" s="64"/>
      <c r="D149" s="65"/>
      <c r="E149" s="64"/>
      <c r="F149" s="39"/>
      <c r="G149" s="39"/>
      <c r="H149" s="39"/>
      <c r="I149" s="39"/>
      <c r="J149" s="39"/>
      <c r="K149" s="39"/>
      <c r="L149" s="39"/>
      <c r="M149" s="39"/>
      <c r="N149" s="39"/>
      <c r="O149" s="39"/>
      <c r="P149" s="39"/>
      <c r="Q149" s="39"/>
    </row>
    <row r="150" spans="3:17" hidden="1" x14ac:dyDescent="0.35">
      <c r="C150" s="64"/>
      <c r="D150" s="65"/>
      <c r="E150" s="64"/>
      <c r="F150" s="39"/>
      <c r="G150" s="39"/>
      <c r="H150" s="39"/>
      <c r="I150" s="39"/>
      <c r="J150" s="39"/>
      <c r="K150" s="39"/>
      <c r="L150" s="39"/>
      <c r="M150" s="39"/>
      <c r="N150" s="39"/>
      <c r="O150" s="39"/>
      <c r="P150" s="39"/>
      <c r="Q150" s="39"/>
    </row>
    <row r="151" spans="3:17" hidden="1" x14ac:dyDescent="0.35">
      <c r="C151" s="64"/>
      <c r="D151" s="65"/>
      <c r="E151" s="64"/>
      <c r="F151" s="39"/>
      <c r="G151" s="39"/>
      <c r="H151" s="39"/>
      <c r="I151" s="39"/>
      <c r="J151" s="39"/>
      <c r="K151" s="39"/>
      <c r="L151" s="39"/>
      <c r="M151" s="39"/>
      <c r="N151" s="39"/>
      <c r="O151" s="39"/>
      <c r="P151" s="39"/>
      <c r="Q151" s="39"/>
    </row>
    <row r="152" spans="3:17" hidden="1" x14ac:dyDescent="0.35">
      <c r="C152" s="64"/>
      <c r="D152" s="65"/>
      <c r="E152" s="64"/>
      <c r="F152" s="39"/>
      <c r="G152" s="39"/>
      <c r="H152" s="39"/>
      <c r="I152" s="39"/>
      <c r="J152" s="39"/>
      <c r="K152" s="39"/>
      <c r="L152" s="39"/>
      <c r="M152" s="39"/>
      <c r="N152" s="39"/>
      <c r="O152" s="39"/>
      <c r="P152" s="39"/>
      <c r="Q152" s="39"/>
    </row>
    <row r="153" spans="3:17" hidden="1" x14ac:dyDescent="0.35">
      <c r="C153" s="64"/>
      <c r="D153" s="65"/>
      <c r="E153" s="64"/>
      <c r="F153" s="39"/>
      <c r="G153" s="39"/>
      <c r="H153" s="39"/>
      <c r="I153" s="39"/>
      <c r="J153" s="39"/>
      <c r="K153" s="39"/>
      <c r="L153" s="39"/>
      <c r="M153" s="39"/>
      <c r="N153" s="39"/>
      <c r="O153" s="39"/>
      <c r="P153" s="39"/>
      <c r="Q153" s="39"/>
    </row>
    <row r="154" spans="3:17" hidden="1" x14ac:dyDescent="0.35">
      <c r="C154" s="64"/>
      <c r="D154" s="65"/>
      <c r="E154" s="64"/>
      <c r="F154" s="39"/>
      <c r="G154" s="39"/>
      <c r="H154" s="39"/>
      <c r="I154" s="39"/>
      <c r="J154" s="39"/>
      <c r="K154" s="39"/>
      <c r="L154" s="39"/>
      <c r="M154" s="39"/>
      <c r="N154" s="39"/>
      <c r="O154" s="39"/>
      <c r="P154" s="39"/>
      <c r="Q154" s="39"/>
    </row>
    <row r="155" spans="3:17" hidden="1" x14ac:dyDescent="0.35">
      <c r="C155" s="64"/>
      <c r="D155" s="65"/>
      <c r="E155" s="64"/>
      <c r="F155" s="39"/>
      <c r="G155" s="39"/>
      <c r="H155" s="39"/>
      <c r="I155" s="39"/>
      <c r="J155" s="39"/>
      <c r="K155" s="39"/>
      <c r="L155" s="39"/>
      <c r="M155" s="39"/>
      <c r="N155" s="39"/>
      <c r="O155" s="39"/>
      <c r="P155" s="39"/>
      <c r="Q155" s="39"/>
    </row>
    <row r="156" spans="3:17" hidden="1" x14ac:dyDescent="0.35">
      <c r="C156" s="64"/>
      <c r="D156" s="65"/>
      <c r="E156" s="64"/>
      <c r="F156" s="39"/>
      <c r="G156" s="39"/>
      <c r="H156" s="39"/>
      <c r="I156" s="39"/>
      <c r="J156" s="39"/>
      <c r="K156" s="39"/>
      <c r="L156" s="39"/>
      <c r="M156" s="39"/>
      <c r="N156" s="39"/>
      <c r="O156" s="39"/>
      <c r="P156" s="39"/>
      <c r="Q156" s="39"/>
    </row>
    <row r="157" spans="3:17" hidden="1" x14ac:dyDescent="0.35">
      <c r="C157" s="64"/>
      <c r="D157" s="65"/>
      <c r="E157" s="64"/>
      <c r="F157" s="39"/>
      <c r="G157" s="39"/>
      <c r="H157" s="39"/>
      <c r="I157" s="39"/>
      <c r="J157" s="39"/>
      <c r="K157" s="39"/>
      <c r="L157" s="39"/>
      <c r="M157" s="39"/>
      <c r="N157" s="39"/>
      <c r="O157" s="39"/>
      <c r="P157" s="39"/>
      <c r="Q157" s="39"/>
    </row>
    <row r="158" spans="3:17" hidden="1" x14ac:dyDescent="0.35">
      <c r="C158" s="64"/>
      <c r="D158" s="65"/>
      <c r="E158" s="64"/>
      <c r="F158" s="39"/>
      <c r="G158" s="39"/>
      <c r="H158" s="39"/>
      <c r="I158" s="39"/>
      <c r="J158" s="39"/>
      <c r="K158" s="39"/>
      <c r="L158" s="39"/>
      <c r="M158" s="39"/>
      <c r="N158" s="39"/>
      <c r="O158" s="39"/>
      <c r="P158" s="39"/>
      <c r="Q158" s="39"/>
    </row>
    <row r="159" spans="3:17" hidden="1" x14ac:dyDescent="0.35">
      <c r="C159" s="64"/>
      <c r="D159" s="65"/>
      <c r="E159" s="64"/>
      <c r="F159" s="39"/>
      <c r="G159" s="39"/>
      <c r="H159" s="39"/>
      <c r="I159" s="39"/>
      <c r="J159" s="39"/>
      <c r="K159" s="39"/>
      <c r="L159" s="39"/>
      <c r="M159" s="39"/>
      <c r="N159" s="39"/>
      <c r="O159" s="39"/>
      <c r="P159" s="39"/>
      <c r="Q159" s="39"/>
    </row>
    <row r="160" spans="3:17" hidden="1" x14ac:dyDescent="0.35">
      <c r="C160" s="64"/>
      <c r="D160" s="65"/>
      <c r="E160" s="64"/>
      <c r="F160" s="39"/>
      <c r="G160" s="39"/>
      <c r="H160" s="39"/>
      <c r="I160" s="39"/>
      <c r="J160" s="39"/>
      <c r="K160" s="39"/>
      <c r="L160" s="39"/>
      <c r="M160" s="39"/>
      <c r="N160" s="39"/>
      <c r="O160" s="39"/>
      <c r="P160" s="39"/>
      <c r="Q160" s="39"/>
    </row>
    <row r="161" spans="3:17" hidden="1" x14ac:dyDescent="0.35">
      <c r="C161" s="64"/>
      <c r="D161" s="65"/>
      <c r="E161" s="64"/>
      <c r="F161" s="39"/>
      <c r="G161" s="39"/>
      <c r="H161" s="39"/>
      <c r="I161" s="39"/>
      <c r="J161" s="39"/>
      <c r="K161" s="39"/>
      <c r="L161" s="39"/>
      <c r="M161" s="39"/>
      <c r="N161" s="39"/>
      <c r="O161" s="39"/>
      <c r="P161" s="39"/>
      <c r="Q161" s="39"/>
    </row>
    <row r="162" spans="3:17" hidden="1" x14ac:dyDescent="0.35">
      <c r="C162" s="64"/>
      <c r="D162" s="65"/>
      <c r="E162" s="64"/>
      <c r="F162" s="39"/>
      <c r="G162" s="39"/>
      <c r="H162" s="39"/>
      <c r="I162" s="39"/>
      <c r="J162" s="39"/>
      <c r="K162" s="39"/>
      <c r="L162" s="39"/>
      <c r="M162" s="39"/>
      <c r="N162" s="39"/>
      <c r="O162" s="39"/>
      <c r="P162" s="39"/>
      <c r="Q162" s="39"/>
    </row>
    <row r="163" spans="3:17" hidden="1" x14ac:dyDescent="0.35">
      <c r="C163" s="64"/>
      <c r="D163" s="65"/>
      <c r="E163" s="64"/>
      <c r="F163" s="39"/>
      <c r="G163" s="39"/>
      <c r="H163" s="39"/>
      <c r="I163" s="39"/>
      <c r="J163" s="39"/>
      <c r="K163" s="39"/>
      <c r="L163" s="39"/>
      <c r="M163" s="39"/>
      <c r="N163" s="39"/>
      <c r="O163" s="39"/>
      <c r="P163" s="39"/>
      <c r="Q163" s="39"/>
    </row>
    <row r="164" spans="3:17" hidden="1" x14ac:dyDescent="0.35">
      <c r="C164" s="64"/>
      <c r="D164" s="65"/>
      <c r="E164" s="64"/>
      <c r="F164" s="39"/>
      <c r="G164" s="39"/>
      <c r="H164" s="39"/>
      <c r="I164" s="39"/>
      <c r="J164" s="39"/>
      <c r="K164" s="39"/>
      <c r="L164" s="39"/>
      <c r="M164" s="39"/>
      <c r="N164" s="39"/>
      <c r="O164" s="39"/>
      <c r="P164" s="39"/>
      <c r="Q164" s="39"/>
    </row>
    <row r="165" spans="3:17" hidden="1" x14ac:dyDescent="0.35">
      <c r="C165" s="64"/>
      <c r="D165" s="65"/>
      <c r="E165" s="64"/>
      <c r="F165" s="39"/>
      <c r="G165" s="39"/>
      <c r="H165" s="39"/>
      <c r="I165" s="39"/>
      <c r="J165" s="39"/>
      <c r="K165" s="39"/>
      <c r="L165" s="39"/>
      <c r="M165" s="39"/>
      <c r="N165" s="39"/>
      <c r="O165" s="39"/>
      <c r="P165" s="39"/>
      <c r="Q165" s="39"/>
    </row>
    <row r="166" spans="3:17" hidden="1" x14ac:dyDescent="0.35">
      <c r="C166" s="64"/>
      <c r="D166" s="65"/>
      <c r="E166" s="64"/>
      <c r="F166" s="39"/>
      <c r="G166" s="39"/>
      <c r="H166" s="39"/>
      <c r="I166" s="39"/>
      <c r="J166" s="39"/>
      <c r="K166" s="39"/>
      <c r="L166" s="39"/>
      <c r="M166" s="39"/>
      <c r="N166" s="39"/>
      <c r="O166" s="39"/>
      <c r="P166" s="39"/>
      <c r="Q166" s="39"/>
    </row>
    <row r="167" spans="3:17" hidden="1" x14ac:dyDescent="0.35">
      <c r="C167" s="64"/>
      <c r="D167" s="65"/>
      <c r="E167" s="64"/>
      <c r="F167" s="39"/>
      <c r="G167" s="39"/>
      <c r="H167" s="39"/>
      <c r="I167" s="39"/>
      <c r="J167" s="39"/>
      <c r="K167" s="39"/>
      <c r="L167" s="39"/>
      <c r="M167" s="39"/>
      <c r="N167" s="39"/>
      <c r="O167" s="39"/>
      <c r="P167" s="39"/>
      <c r="Q167" s="39"/>
    </row>
    <row r="168" spans="3:17" hidden="1" x14ac:dyDescent="0.35">
      <c r="C168" s="64"/>
      <c r="D168" s="65"/>
      <c r="E168" s="64"/>
      <c r="F168" s="39"/>
      <c r="G168" s="39"/>
      <c r="H168" s="39"/>
      <c r="I168" s="39"/>
      <c r="J168" s="39"/>
      <c r="K168" s="39"/>
      <c r="L168" s="39"/>
      <c r="M168" s="39"/>
      <c r="N168" s="39"/>
      <c r="O168" s="39"/>
      <c r="P168" s="39"/>
      <c r="Q168" s="39"/>
    </row>
    <row r="169" spans="3:17" hidden="1" x14ac:dyDescent="0.35">
      <c r="C169" s="64"/>
      <c r="D169" s="65"/>
      <c r="E169" s="64"/>
      <c r="F169" s="39"/>
      <c r="G169" s="39"/>
      <c r="H169" s="39"/>
      <c r="I169" s="39"/>
      <c r="J169" s="39"/>
      <c r="K169" s="39"/>
      <c r="L169" s="39"/>
      <c r="M169" s="39"/>
      <c r="N169" s="39"/>
      <c r="O169" s="39"/>
      <c r="P169" s="39"/>
      <c r="Q169" s="39"/>
    </row>
    <row r="170" spans="3:17" hidden="1" x14ac:dyDescent="0.35">
      <c r="C170" s="64"/>
      <c r="D170" s="65"/>
      <c r="E170" s="64"/>
      <c r="F170" s="39"/>
      <c r="G170" s="39"/>
      <c r="H170" s="39"/>
      <c r="I170" s="39"/>
      <c r="J170" s="39"/>
      <c r="K170" s="39"/>
      <c r="L170" s="39"/>
      <c r="M170" s="39"/>
      <c r="N170" s="39"/>
      <c r="O170" s="39"/>
      <c r="P170" s="39"/>
      <c r="Q170" s="39"/>
    </row>
    <row r="171" spans="3:17" hidden="1" x14ac:dyDescent="0.35">
      <c r="C171" s="64"/>
      <c r="D171" s="65"/>
      <c r="E171" s="64"/>
      <c r="F171" s="39"/>
      <c r="G171" s="39"/>
      <c r="H171" s="39"/>
      <c r="I171" s="39"/>
      <c r="J171" s="39"/>
      <c r="K171" s="39"/>
      <c r="L171" s="39"/>
      <c r="M171" s="39"/>
      <c r="N171" s="39"/>
      <c r="O171" s="39"/>
      <c r="P171" s="39"/>
      <c r="Q171" s="39"/>
    </row>
    <row r="172" spans="3:17" hidden="1" x14ac:dyDescent="0.35">
      <c r="C172" s="64"/>
      <c r="D172" s="65"/>
      <c r="E172" s="64"/>
      <c r="F172" s="39"/>
      <c r="G172" s="39"/>
      <c r="H172" s="39"/>
      <c r="I172" s="39"/>
      <c r="J172" s="39"/>
      <c r="K172" s="39"/>
      <c r="L172" s="39"/>
      <c r="M172" s="39"/>
      <c r="N172" s="39"/>
      <c r="O172" s="39"/>
      <c r="P172" s="39"/>
      <c r="Q172" s="39"/>
    </row>
    <row r="173" spans="3:17" hidden="1" x14ac:dyDescent="0.35">
      <c r="C173" s="64"/>
      <c r="D173" s="65"/>
      <c r="E173" s="64"/>
      <c r="F173" s="39"/>
      <c r="G173" s="39"/>
      <c r="H173" s="39"/>
      <c r="I173" s="39"/>
      <c r="J173" s="39"/>
      <c r="K173" s="39"/>
      <c r="L173" s="39"/>
      <c r="M173" s="39"/>
      <c r="N173" s="39"/>
      <c r="O173" s="39"/>
      <c r="P173" s="39"/>
      <c r="Q173" s="39"/>
    </row>
    <row r="174" spans="3:17" hidden="1" x14ac:dyDescent="0.35">
      <c r="C174" s="64"/>
      <c r="D174" s="65"/>
      <c r="E174" s="64"/>
      <c r="F174" s="39"/>
      <c r="G174" s="39"/>
      <c r="H174" s="39"/>
      <c r="I174" s="39"/>
      <c r="J174" s="39"/>
      <c r="K174" s="39"/>
      <c r="L174" s="39"/>
      <c r="M174" s="39"/>
      <c r="N174" s="39"/>
      <c r="O174" s="39"/>
      <c r="P174" s="39"/>
      <c r="Q174" s="39"/>
    </row>
    <row r="175" spans="3:17" hidden="1" x14ac:dyDescent="0.35">
      <c r="C175" s="64"/>
      <c r="D175" s="65"/>
      <c r="E175" s="64"/>
      <c r="F175" s="39"/>
      <c r="G175" s="39"/>
      <c r="H175" s="39"/>
      <c r="I175" s="39"/>
      <c r="J175" s="39"/>
      <c r="K175" s="39"/>
      <c r="L175" s="39"/>
      <c r="M175" s="39"/>
      <c r="N175" s="39"/>
      <c r="O175" s="39"/>
      <c r="P175" s="39"/>
      <c r="Q175" s="39"/>
    </row>
    <row r="176" spans="3:17" hidden="1" x14ac:dyDescent="0.35">
      <c r="C176" s="64"/>
      <c r="D176" s="65"/>
      <c r="E176" s="64"/>
      <c r="F176" s="39"/>
      <c r="G176" s="39"/>
      <c r="H176" s="39"/>
      <c r="I176" s="39"/>
      <c r="J176" s="39"/>
      <c r="K176" s="39"/>
      <c r="L176" s="39"/>
      <c r="M176" s="39"/>
      <c r="N176" s="39"/>
      <c r="O176" s="39"/>
      <c r="P176" s="39"/>
      <c r="Q176" s="39"/>
    </row>
    <row r="177" spans="3:17" hidden="1" x14ac:dyDescent="0.35">
      <c r="C177" s="64"/>
      <c r="D177" s="65"/>
      <c r="E177" s="64"/>
      <c r="F177" s="39"/>
      <c r="G177" s="39"/>
      <c r="H177" s="39"/>
      <c r="I177" s="39"/>
      <c r="J177" s="39"/>
      <c r="K177" s="39"/>
      <c r="L177" s="39"/>
      <c r="M177" s="39"/>
      <c r="N177" s="39"/>
      <c r="O177" s="39"/>
      <c r="P177" s="39"/>
      <c r="Q177" s="39"/>
    </row>
    <row r="178" spans="3:17" hidden="1" x14ac:dyDescent="0.35">
      <c r="C178" s="64"/>
      <c r="D178" s="65"/>
      <c r="E178" s="64"/>
      <c r="F178" s="39"/>
      <c r="G178" s="39"/>
      <c r="H178" s="39"/>
      <c r="I178" s="39"/>
      <c r="J178" s="39"/>
      <c r="K178" s="39"/>
      <c r="L178" s="39"/>
      <c r="M178" s="39"/>
      <c r="N178" s="39"/>
      <c r="O178" s="39"/>
      <c r="P178" s="39"/>
      <c r="Q178" s="39"/>
    </row>
    <row r="179" spans="3:17" hidden="1" x14ac:dyDescent="0.35">
      <c r="C179" s="64"/>
      <c r="D179" s="65"/>
      <c r="E179" s="64"/>
      <c r="F179" s="39"/>
      <c r="G179" s="39"/>
      <c r="H179" s="39"/>
      <c r="I179" s="39"/>
      <c r="J179" s="39"/>
      <c r="K179" s="39"/>
      <c r="L179" s="39"/>
      <c r="M179" s="39"/>
      <c r="N179" s="39"/>
      <c r="O179" s="39"/>
      <c r="P179" s="39"/>
      <c r="Q179" s="39"/>
    </row>
    <row r="180" spans="3:17" hidden="1" x14ac:dyDescent="0.35">
      <c r="C180" s="64"/>
      <c r="D180" s="65"/>
      <c r="E180" s="64"/>
      <c r="F180" s="39"/>
      <c r="G180" s="39"/>
      <c r="H180" s="39"/>
      <c r="I180" s="39"/>
      <c r="J180" s="39"/>
      <c r="K180" s="39"/>
      <c r="L180" s="39"/>
      <c r="M180" s="39"/>
      <c r="N180" s="39"/>
      <c r="O180" s="39"/>
      <c r="P180" s="39"/>
      <c r="Q180" s="39"/>
    </row>
    <row r="181" spans="3:17" hidden="1" x14ac:dyDescent="0.35">
      <c r="C181" s="64"/>
      <c r="D181" s="65"/>
      <c r="E181" s="64"/>
      <c r="F181" s="39"/>
      <c r="G181" s="39"/>
      <c r="H181" s="39"/>
      <c r="I181" s="39"/>
      <c r="J181" s="39"/>
      <c r="K181" s="39"/>
      <c r="L181" s="39"/>
      <c r="M181" s="39"/>
      <c r="N181" s="39"/>
      <c r="O181" s="39"/>
      <c r="P181" s="39"/>
      <c r="Q181" s="39"/>
    </row>
    <row r="182" spans="3:17" hidden="1" x14ac:dyDescent="0.35">
      <c r="C182" s="64"/>
      <c r="D182" s="65"/>
      <c r="E182" s="64"/>
      <c r="F182" s="39"/>
      <c r="G182" s="39"/>
      <c r="H182" s="39"/>
      <c r="I182" s="39"/>
      <c r="J182" s="39"/>
      <c r="K182" s="39"/>
      <c r="L182" s="39"/>
      <c r="M182" s="39"/>
      <c r="N182" s="39"/>
      <c r="O182" s="39"/>
      <c r="P182" s="39"/>
      <c r="Q182" s="39"/>
    </row>
    <row r="183" spans="3:17" hidden="1" x14ac:dyDescent="0.35">
      <c r="C183" s="64"/>
      <c r="D183" s="65"/>
      <c r="E183" s="64"/>
      <c r="F183" s="39"/>
      <c r="G183" s="39"/>
      <c r="H183" s="39"/>
      <c r="I183" s="39"/>
      <c r="J183" s="39"/>
      <c r="K183" s="39"/>
      <c r="L183" s="39"/>
      <c r="M183" s="39"/>
      <c r="N183" s="39"/>
      <c r="O183" s="39"/>
      <c r="P183" s="39"/>
      <c r="Q183" s="39"/>
    </row>
    <row r="184" spans="3:17" hidden="1" x14ac:dyDescent="0.35">
      <c r="C184" s="64"/>
      <c r="D184" s="65"/>
      <c r="E184" s="64"/>
      <c r="F184" s="39"/>
      <c r="G184" s="39"/>
      <c r="H184" s="39"/>
      <c r="I184" s="39"/>
      <c r="J184" s="39"/>
      <c r="K184" s="39"/>
      <c r="L184" s="39"/>
      <c r="M184" s="39"/>
      <c r="N184" s="39"/>
      <c r="O184" s="39"/>
      <c r="P184" s="39"/>
      <c r="Q184" s="39"/>
    </row>
    <row r="185" spans="3:17" hidden="1" x14ac:dyDescent="0.35">
      <c r="C185" s="64"/>
      <c r="D185" s="65"/>
      <c r="E185" s="64"/>
      <c r="F185" s="39"/>
      <c r="G185" s="39"/>
      <c r="H185" s="39"/>
      <c r="I185" s="39"/>
      <c r="J185" s="39"/>
      <c r="K185" s="39"/>
      <c r="L185" s="39"/>
      <c r="M185" s="39"/>
      <c r="N185" s="39"/>
      <c r="O185" s="39"/>
      <c r="P185" s="39"/>
      <c r="Q185" s="39"/>
    </row>
    <row r="186" spans="3:17" hidden="1" x14ac:dyDescent="0.35">
      <c r="C186" s="64"/>
      <c r="D186" s="65"/>
      <c r="E186" s="64"/>
      <c r="F186" s="39"/>
      <c r="G186" s="39"/>
      <c r="H186" s="39"/>
      <c r="I186" s="39"/>
      <c r="J186" s="39"/>
      <c r="K186" s="39"/>
      <c r="L186" s="39"/>
      <c r="M186" s="39"/>
      <c r="N186" s="39"/>
      <c r="O186" s="39"/>
      <c r="P186" s="39"/>
      <c r="Q186" s="39"/>
    </row>
    <row r="187" spans="3:17" hidden="1" x14ac:dyDescent="0.35">
      <c r="C187" s="64"/>
      <c r="D187" s="65"/>
      <c r="E187" s="64"/>
      <c r="F187" s="39"/>
      <c r="G187" s="39"/>
      <c r="H187" s="39"/>
      <c r="I187" s="39"/>
      <c r="J187" s="39"/>
      <c r="K187" s="39"/>
      <c r="L187" s="39"/>
      <c r="M187" s="39"/>
      <c r="N187" s="39"/>
      <c r="O187" s="39"/>
      <c r="P187" s="39"/>
      <c r="Q187" s="39"/>
    </row>
    <row r="188" spans="3:17" hidden="1" x14ac:dyDescent="0.35">
      <c r="C188" s="64"/>
      <c r="D188" s="65"/>
      <c r="E188" s="64"/>
      <c r="F188" s="39"/>
      <c r="G188" s="39"/>
      <c r="H188" s="39"/>
      <c r="I188" s="39"/>
      <c r="J188" s="39"/>
      <c r="K188" s="39"/>
      <c r="L188" s="39"/>
      <c r="M188" s="39"/>
      <c r="N188" s="39"/>
      <c r="O188" s="39"/>
      <c r="P188" s="39"/>
      <c r="Q188" s="39"/>
    </row>
    <row r="189" spans="3:17" hidden="1" x14ac:dyDescent="0.35">
      <c r="C189" s="64"/>
      <c r="D189" s="65"/>
      <c r="E189" s="64"/>
      <c r="F189" s="39"/>
      <c r="G189" s="39"/>
      <c r="H189" s="39"/>
      <c r="I189" s="39"/>
      <c r="J189" s="39"/>
      <c r="K189" s="39"/>
      <c r="L189" s="39"/>
      <c r="M189" s="39"/>
      <c r="N189" s="39"/>
      <c r="O189" s="39"/>
      <c r="P189" s="39"/>
      <c r="Q189" s="39"/>
    </row>
    <row r="190" spans="3:17" hidden="1" x14ac:dyDescent="0.35">
      <c r="C190" s="31"/>
      <c r="D190" s="66"/>
      <c r="E190" s="31"/>
      <c r="F190" s="20"/>
      <c r="G190" s="20"/>
      <c r="H190" s="20"/>
      <c r="I190" s="20"/>
      <c r="J190" s="20"/>
      <c r="K190" s="20"/>
      <c r="L190" s="20"/>
      <c r="M190" s="20"/>
      <c r="N190" s="20"/>
      <c r="O190" s="20"/>
      <c r="P190" s="20"/>
      <c r="Q190" s="20"/>
    </row>
    <row r="191" spans="3:17" hidden="1" x14ac:dyDescent="0.35">
      <c r="C191" s="64"/>
      <c r="D191" s="65"/>
      <c r="E191" s="64"/>
      <c r="F191" s="39"/>
      <c r="G191" s="39"/>
      <c r="H191" s="39"/>
      <c r="I191" s="39"/>
      <c r="J191" s="39"/>
      <c r="K191" s="39"/>
      <c r="L191" s="39"/>
      <c r="M191" s="39"/>
      <c r="N191" s="39"/>
      <c r="O191" s="39"/>
      <c r="P191" s="39"/>
      <c r="Q191" s="39"/>
    </row>
    <row r="192" spans="3:17" hidden="1" x14ac:dyDescent="0.35">
      <c r="C192" s="64"/>
      <c r="D192" s="65"/>
      <c r="E192" s="64"/>
      <c r="F192" s="39"/>
      <c r="G192" s="39"/>
      <c r="H192" s="39"/>
      <c r="I192" s="39"/>
      <c r="J192" s="39"/>
      <c r="K192" s="39"/>
      <c r="L192" s="39"/>
      <c r="M192" s="39"/>
      <c r="N192" s="39"/>
      <c r="O192" s="39"/>
      <c r="P192" s="39"/>
      <c r="Q192" s="39"/>
    </row>
    <row r="193" spans="3:17" hidden="1" x14ac:dyDescent="0.35">
      <c r="C193" s="64"/>
      <c r="D193" s="65"/>
      <c r="E193" s="64"/>
      <c r="F193" s="39"/>
      <c r="G193" s="39"/>
      <c r="H193" s="39"/>
      <c r="I193" s="39"/>
      <c r="J193" s="39"/>
      <c r="K193" s="39"/>
      <c r="L193" s="39"/>
      <c r="M193" s="39"/>
      <c r="N193" s="39"/>
      <c r="O193" s="39"/>
      <c r="P193" s="39"/>
      <c r="Q193" s="39"/>
    </row>
    <row r="194" spans="3:17" hidden="1" x14ac:dyDescent="0.35">
      <c r="C194" s="64"/>
      <c r="D194" s="65"/>
      <c r="E194" s="64"/>
      <c r="F194" s="39"/>
      <c r="G194" s="39"/>
      <c r="H194" s="39"/>
      <c r="I194" s="39"/>
      <c r="J194" s="39"/>
      <c r="K194" s="39"/>
      <c r="L194" s="39"/>
      <c r="M194" s="39"/>
      <c r="N194" s="39"/>
      <c r="O194" s="39"/>
      <c r="P194" s="39"/>
      <c r="Q194" s="39"/>
    </row>
    <row r="195" spans="3:17" hidden="1" x14ac:dyDescent="0.35">
      <c r="C195" s="64"/>
      <c r="D195" s="65"/>
      <c r="E195" s="64"/>
      <c r="F195" s="39"/>
      <c r="G195" s="39"/>
      <c r="H195" s="39"/>
      <c r="I195" s="39"/>
      <c r="J195" s="39"/>
      <c r="K195" s="39"/>
      <c r="L195" s="39"/>
      <c r="M195" s="39"/>
      <c r="N195" s="39"/>
      <c r="O195" s="39"/>
      <c r="P195" s="39"/>
      <c r="Q195" s="39"/>
    </row>
    <row r="196" spans="3:17" hidden="1" x14ac:dyDescent="0.35">
      <c r="C196" s="64"/>
      <c r="D196" s="65"/>
      <c r="E196" s="64"/>
      <c r="F196" s="39"/>
      <c r="G196" s="39"/>
      <c r="H196" s="39"/>
      <c r="I196" s="39"/>
      <c r="J196" s="39"/>
      <c r="K196" s="39"/>
      <c r="L196" s="39"/>
      <c r="M196" s="39"/>
      <c r="N196" s="39"/>
      <c r="O196" s="39"/>
      <c r="P196" s="39"/>
      <c r="Q196" s="39"/>
    </row>
    <row r="197" spans="3:17" hidden="1" x14ac:dyDescent="0.35">
      <c r="C197" s="64"/>
      <c r="D197" s="65"/>
      <c r="E197" s="64"/>
      <c r="F197" s="39"/>
      <c r="G197" s="39"/>
      <c r="H197" s="39"/>
      <c r="I197" s="39"/>
      <c r="J197" s="39"/>
      <c r="K197" s="39"/>
      <c r="L197" s="39"/>
      <c r="M197" s="39"/>
      <c r="N197" s="39"/>
      <c r="O197" s="39"/>
      <c r="P197" s="39"/>
      <c r="Q197" s="39"/>
    </row>
    <row r="198" spans="3:17" hidden="1" x14ac:dyDescent="0.35">
      <c r="C198" s="64"/>
      <c r="D198" s="65"/>
      <c r="E198" s="64"/>
      <c r="F198" s="39"/>
      <c r="G198" s="39"/>
      <c r="H198" s="39"/>
      <c r="I198" s="39"/>
      <c r="J198" s="39"/>
      <c r="K198" s="39"/>
      <c r="L198" s="39"/>
      <c r="M198" s="39"/>
      <c r="N198" s="39"/>
      <c r="O198" s="39"/>
      <c r="P198" s="39"/>
      <c r="Q198" s="39"/>
    </row>
    <row r="199" spans="3:17" hidden="1" x14ac:dyDescent="0.35">
      <c r="C199" s="64"/>
      <c r="D199" s="65"/>
      <c r="E199" s="64"/>
      <c r="F199" s="39"/>
      <c r="G199" s="39"/>
      <c r="H199" s="39"/>
      <c r="I199" s="39"/>
      <c r="J199" s="39"/>
      <c r="K199" s="39"/>
      <c r="L199" s="39"/>
      <c r="M199" s="39"/>
      <c r="N199" s="39"/>
      <c r="O199" s="39"/>
      <c r="P199" s="39"/>
      <c r="Q199" s="39"/>
    </row>
    <row r="200" spans="3:17" hidden="1" x14ac:dyDescent="0.35">
      <c r="C200" s="64"/>
      <c r="D200" s="65"/>
      <c r="E200" s="64"/>
      <c r="F200" s="39"/>
      <c r="G200" s="39"/>
      <c r="H200" s="39"/>
      <c r="I200" s="39"/>
      <c r="J200" s="39"/>
      <c r="K200" s="39"/>
      <c r="L200" s="39"/>
      <c r="M200" s="39"/>
      <c r="N200" s="39"/>
      <c r="O200" s="39"/>
      <c r="P200" s="39"/>
      <c r="Q200" s="39"/>
    </row>
    <row r="201" spans="3:17" hidden="1" x14ac:dyDescent="0.35">
      <c r="C201" s="64"/>
      <c r="D201" s="65"/>
      <c r="E201" s="64"/>
      <c r="F201" s="39"/>
      <c r="G201" s="39"/>
      <c r="H201" s="39"/>
      <c r="I201" s="39"/>
      <c r="J201" s="39"/>
      <c r="K201" s="39"/>
      <c r="L201" s="39"/>
      <c r="M201" s="39"/>
      <c r="N201" s="39"/>
      <c r="O201" s="39"/>
      <c r="P201" s="39"/>
      <c r="Q201" s="39"/>
    </row>
    <row r="202" spans="3:17" hidden="1" x14ac:dyDescent="0.35">
      <c r="C202" s="64"/>
      <c r="D202" s="65"/>
      <c r="E202" s="64"/>
      <c r="F202" s="39"/>
      <c r="G202" s="39"/>
      <c r="H202" s="39"/>
      <c r="I202" s="39"/>
      <c r="J202" s="39"/>
      <c r="K202" s="39"/>
      <c r="L202" s="39"/>
      <c r="M202" s="39"/>
      <c r="N202" s="39"/>
      <c r="O202" s="39"/>
      <c r="P202" s="39"/>
      <c r="Q202" s="39"/>
    </row>
    <row r="203" spans="3:17" hidden="1" x14ac:dyDescent="0.35">
      <c r="C203" s="64"/>
      <c r="D203" s="65"/>
      <c r="E203" s="64"/>
      <c r="F203" s="39"/>
      <c r="G203" s="39"/>
      <c r="H203" s="39"/>
      <c r="I203" s="39"/>
      <c r="J203" s="39"/>
      <c r="K203" s="39"/>
      <c r="L203" s="39"/>
      <c r="M203" s="39"/>
      <c r="N203" s="39"/>
      <c r="O203" s="39"/>
      <c r="P203" s="39"/>
      <c r="Q203" s="39"/>
    </row>
    <row r="204" spans="3:17" hidden="1" x14ac:dyDescent="0.35">
      <c r="C204" s="64"/>
      <c r="D204" s="65"/>
      <c r="E204" s="64"/>
      <c r="F204" s="39"/>
      <c r="G204" s="39"/>
      <c r="H204" s="39"/>
      <c r="I204" s="39"/>
      <c r="J204" s="39"/>
      <c r="K204" s="39"/>
      <c r="L204" s="39"/>
      <c r="M204" s="39"/>
      <c r="N204" s="39"/>
      <c r="O204" s="39"/>
      <c r="P204" s="39"/>
      <c r="Q204" s="39"/>
    </row>
    <row r="205" spans="3:17" hidden="1" x14ac:dyDescent="0.35">
      <c r="C205" s="64"/>
      <c r="D205" s="65"/>
      <c r="E205" s="64"/>
      <c r="F205" s="39"/>
      <c r="G205" s="39"/>
      <c r="H205" s="39"/>
      <c r="I205" s="39"/>
      <c r="J205" s="39"/>
      <c r="K205" s="39"/>
      <c r="L205" s="39"/>
      <c r="M205" s="39"/>
      <c r="N205" s="39"/>
      <c r="O205" s="39"/>
      <c r="P205" s="39"/>
      <c r="Q205" s="39"/>
    </row>
    <row r="206" spans="3:17" hidden="1" x14ac:dyDescent="0.35">
      <c r="C206" s="64"/>
      <c r="D206" s="65"/>
      <c r="E206" s="64"/>
      <c r="F206" s="39"/>
      <c r="G206" s="39"/>
      <c r="H206" s="39"/>
      <c r="I206" s="39"/>
      <c r="J206" s="39"/>
      <c r="K206" s="39"/>
      <c r="L206" s="39"/>
      <c r="M206" s="39"/>
      <c r="N206" s="39"/>
      <c r="O206" s="39"/>
      <c r="P206" s="39"/>
      <c r="Q206" s="39"/>
    </row>
    <row r="207" spans="3:17" hidden="1" x14ac:dyDescent="0.35">
      <c r="C207" s="64"/>
      <c r="D207" s="65"/>
      <c r="E207" s="64"/>
      <c r="F207" s="39"/>
      <c r="G207" s="39"/>
      <c r="H207" s="39"/>
      <c r="I207" s="39"/>
      <c r="J207" s="39"/>
      <c r="K207" s="39"/>
      <c r="L207" s="39"/>
      <c r="M207" s="39"/>
      <c r="N207" s="39"/>
      <c r="O207" s="39"/>
      <c r="P207" s="39"/>
      <c r="Q207" s="39"/>
    </row>
    <row r="208" spans="3:17" hidden="1" x14ac:dyDescent="0.35">
      <c r="C208" s="64"/>
      <c r="D208" s="65"/>
      <c r="E208" s="64"/>
      <c r="F208" s="39"/>
      <c r="G208" s="39"/>
      <c r="H208" s="39"/>
      <c r="I208" s="39"/>
      <c r="J208" s="39"/>
      <c r="K208" s="39"/>
      <c r="L208" s="39"/>
      <c r="M208" s="39"/>
      <c r="N208" s="39"/>
      <c r="O208" s="39"/>
      <c r="P208" s="39"/>
      <c r="Q208" s="39"/>
    </row>
    <row r="209" spans="3:17" hidden="1" x14ac:dyDescent="0.35">
      <c r="C209" s="64"/>
      <c r="D209" s="65"/>
      <c r="E209" s="64"/>
      <c r="F209" s="39"/>
      <c r="G209" s="39"/>
      <c r="H209" s="39"/>
      <c r="I209" s="39"/>
      <c r="J209" s="39"/>
      <c r="K209" s="39"/>
      <c r="L209" s="39"/>
      <c r="M209" s="39"/>
      <c r="N209" s="39"/>
      <c r="O209" s="39"/>
      <c r="P209" s="39"/>
      <c r="Q209" s="39"/>
    </row>
    <row r="210" spans="3:17" hidden="1" x14ac:dyDescent="0.35">
      <c r="C210" s="64"/>
      <c r="D210" s="65"/>
      <c r="E210" s="64"/>
      <c r="F210" s="39"/>
      <c r="G210" s="39"/>
      <c r="H210" s="39"/>
      <c r="I210" s="39"/>
      <c r="J210" s="39"/>
      <c r="K210" s="39"/>
      <c r="L210" s="39"/>
      <c r="M210" s="39"/>
      <c r="N210" s="39"/>
      <c r="O210" s="39"/>
      <c r="P210" s="39"/>
      <c r="Q210" s="39"/>
    </row>
    <row r="211" spans="3:17" hidden="1" x14ac:dyDescent="0.35">
      <c r="C211" s="64"/>
      <c r="D211" s="65"/>
      <c r="E211" s="64"/>
      <c r="F211" s="39"/>
      <c r="G211" s="39"/>
      <c r="H211" s="39"/>
      <c r="I211" s="39"/>
      <c r="J211" s="39"/>
      <c r="K211" s="39"/>
      <c r="L211" s="39"/>
      <c r="M211" s="39"/>
      <c r="N211" s="39"/>
      <c r="O211" s="39"/>
      <c r="P211" s="39"/>
      <c r="Q211" s="39"/>
    </row>
    <row r="212" spans="3:17" hidden="1" x14ac:dyDescent="0.35">
      <c r="C212" s="64"/>
      <c r="D212" s="65"/>
      <c r="E212" s="64"/>
      <c r="F212" s="39"/>
      <c r="G212" s="39"/>
      <c r="H212" s="39"/>
      <c r="I212" s="39"/>
      <c r="J212" s="39"/>
      <c r="K212" s="39"/>
      <c r="L212" s="39"/>
      <c r="M212" s="39"/>
      <c r="N212" s="39"/>
      <c r="O212" s="39"/>
      <c r="P212" s="39"/>
      <c r="Q212" s="39"/>
    </row>
    <row r="213" spans="3:17" hidden="1" x14ac:dyDescent="0.35">
      <c r="C213" s="64"/>
      <c r="D213" s="65"/>
      <c r="E213" s="64"/>
      <c r="F213" s="39"/>
      <c r="G213" s="39"/>
      <c r="H213" s="39"/>
      <c r="I213" s="39"/>
      <c r="J213" s="39"/>
      <c r="K213" s="39"/>
      <c r="L213" s="39"/>
      <c r="M213" s="39"/>
      <c r="N213" s="39"/>
      <c r="O213" s="39"/>
      <c r="P213" s="39"/>
      <c r="Q213" s="39"/>
    </row>
    <row r="214" spans="3:17" hidden="1" x14ac:dyDescent="0.35">
      <c r="C214" s="64"/>
      <c r="D214" s="65"/>
      <c r="E214" s="64"/>
      <c r="F214" s="39"/>
      <c r="G214" s="39"/>
      <c r="H214" s="39"/>
      <c r="I214" s="39"/>
      <c r="J214" s="39"/>
      <c r="K214" s="39"/>
      <c r="L214" s="39"/>
      <c r="M214" s="39"/>
      <c r="N214" s="39"/>
      <c r="O214" s="39"/>
      <c r="P214" s="39"/>
      <c r="Q214" s="39"/>
    </row>
    <row r="215" spans="3:17" hidden="1" x14ac:dyDescent="0.35">
      <c r="C215" s="64"/>
      <c r="D215" s="65"/>
      <c r="E215" s="64"/>
      <c r="F215" s="39"/>
      <c r="G215" s="39"/>
      <c r="H215" s="39"/>
      <c r="I215" s="39"/>
      <c r="J215" s="39"/>
      <c r="K215" s="39"/>
      <c r="L215" s="39"/>
      <c r="M215" s="39"/>
      <c r="N215" s="39"/>
      <c r="O215" s="39"/>
      <c r="P215" s="39"/>
      <c r="Q215" s="39"/>
    </row>
    <row r="216" spans="3:17" hidden="1" x14ac:dyDescent="0.35">
      <c r="C216" s="64"/>
      <c r="D216" s="65"/>
      <c r="E216" s="64"/>
      <c r="F216" s="39"/>
      <c r="G216" s="39"/>
      <c r="H216" s="39"/>
      <c r="I216" s="39"/>
      <c r="J216" s="39"/>
      <c r="K216" s="39"/>
      <c r="L216" s="39"/>
      <c r="M216" s="39"/>
      <c r="N216" s="39"/>
      <c r="O216" s="39"/>
      <c r="P216" s="39"/>
      <c r="Q216" s="39"/>
    </row>
    <row r="217" spans="3:17" hidden="1" x14ac:dyDescent="0.35">
      <c r="C217" s="64"/>
      <c r="D217" s="65"/>
      <c r="E217" s="64"/>
      <c r="F217" s="39"/>
      <c r="G217" s="39"/>
      <c r="H217" s="39"/>
      <c r="I217" s="39"/>
      <c r="J217" s="39"/>
      <c r="K217" s="39"/>
      <c r="L217" s="39"/>
      <c r="M217" s="39"/>
      <c r="N217" s="39"/>
      <c r="O217" s="39"/>
      <c r="P217" s="39"/>
      <c r="Q217" s="39"/>
    </row>
    <row r="218" spans="3:17" hidden="1" x14ac:dyDescent="0.35">
      <c r="C218" s="64"/>
      <c r="D218" s="65"/>
      <c r="E218" s="64"/>
      <c r="F218" s="39"/>
      <c r="G218" s="39"/>
      <c r="H218" s="39"/>
      <c r="I218" s="39"/>
      <c r="J218" s="39"/>
      <c r="K218" s="39"/>
      <c r="L218" s="39"/>
      <c r="M218" s="39"/>
      <c r="N218" s="39"/>
      <c r="O218" s="39"/>
      <c r="P218" s="39"/>
      <c r="Q218" s="39"/>
    </row>
    <row r="219" spans="3:17" hidden="1" x14ac:dyDescent="0.35">
      <c r="C219" s="64"/>
      <c r="D219" s="65"/>
      <c r="E219" s="64"/>
      <c r="F219" s="39"/>
      <c r="G219" s="39"/>
      <c r="H219" s="39"/>
      <c r="I219" s="39"/>
      <c r="J219" s="39"/>
      <c r="K219" s="39"/>
      <c r="L219" s="39"/>
      <c r="M219" s="39"/>
      <c r="N219" s="39"/>
      <c r="O219" s="39"/>
      <c r="P219" s="39"/>
      <c r="Q219" s="39"/>
    </row>
    <row r="220" spans="3:17" hidden="1" x14ac:dyDescent="0.35">
      <c r="C220" s="64"/>
      <c r="D220" s="65"/>
      <c r="E220" s="64"/>
      <c r="F220" s="39"/>
      <c r="G220" s="39"/>
      <c r="H220" s="39"/>
      <c r="I220" s="39"/>
      <c r="J220" s="39"/>
      <c r="K220" s="39"/>
      <c r="L220" s="39"/>
      <c r="M220" s="39"/>
      <c r="N220" s="39"/>
      <c r="O220" s="39"/>
      <c r="P220" s="39"/>
      <c r="Q220" s="39"/>
    </row>
    <row r="221" spans="3:17" hidden="1" x14ac:dyDescent="0.35">
      <c r="C221" s="64"/>
      <c r="D221" s="65"/>
      <c r="E221" s="64"/>
      <c r="F221" s="39"/>
      <c r="G221" s="39"/>
      <c r="H221" s="39"/>
      <c r="I221" s="39"/>
      <c r="J221" s="39"/>
      <c r="K221" s="39"/>
      <c r="L221" s="39"/>
      <c r="M221" s="39"/>
      <c r="N221" s="39"/>
      <c r="O221" s="39"/>
      <c r="P221" s="39"/>
      <c r="Q221" s="39"/>
    </row>
    <row r="222" spans="3:17" hidden="1" x14ac:dyDescent="0.35">
      <c r="C222" s="64"/>
      <c r="D222" s="65"/>
      <c r="E222" s="64"/>
      <c r="F222" s="39"/>
      <c r="G222" s="39"/>
      <c r="H222" s="39"/>
      <c r="I222" s="39"/>
      <c r="J222" s="39"/>
      <c r="K222" s="39"/>
      <c r="L222" s="39"/>
      <c r="M222" s="39"/>
      <c r="N222" s="39"/>
      <c r="O222" s="39"/>
      <c r="P222" s="39"/>
      <c r="Q222" s="39"/>
    </row>
    <row r="223" spans="3:17" hidden="1" x14ac:dyDescent="0.35">
      <c r="C223" s="64"/>
      <c r="D223" s="65"/>
      <c r="E223" s="64"/>
      <c r="F223" s="39"/>
      <c r="G223" s="39"/>
      <c r="H223" s="39"/>
      <c r="I223" s="39"/>
      <c r="J223" s="39"/>
      <c r="K223" s="39"/>
      <c r="L223" s="39"/>
      <c r="M223" s="39"/>
      <c r="N223" s="39"/>
      <c r="O223" s="39"/>
      <c r="P223" s="39"/>
      <c r="Q223" s="39"/>
    </row>
    <row r="224" spans="3:17" hidden="1" x14ac:dyDescent="0.35">
      <c r="C224" s="64"/>
      <c r="D224" s="65"/>
      <c r="E224" s="64"/>
      <c r="F224" s="39"/>
      <c r="G224" s="39"/>
      <c r="H224" s="39"/>
      <c r="I224" s="39"/>
      <c r="J224" s="39"/>
      <c r="K224" s="39"/>
      <c r="L224" s="39"/>
      <c r="M224" s="39"/>
      <c r="N224" s="39"/>
      <c r="O224" s="39"/>
      <c r="P224" s="39"/>
      <c r="Q224" s="39"/>
    </row>
    <row r="225" spans="3:17" hidden="1" x14ac:dyDescent="0.35">
      <c r="C225" s="64"/>
      <c r="D225" s="65"/>
      <c r="E225" s="64"/>
      <c r="F225" s="39"/>
      <c r="G225" s="39"/>
      <c r="H225" s="39"/>
      <c r="I225" s="39"/>
      <c r="J225" s="39"/>
      <c r="K225" s="39"/>
      <c r="L225" s="39"/>
      <c r="M225" s="39"/>
      <c r="N225" s="39"/>
      <c r="O225" s="39"/>
      <c r="P225" s="39"/>
      <c r="Q225" s="39"/>
    </row>
    <row r="226" spans="3:17" hidden="1" x14ac:dyDescent="0.35">
      <c r="C226" s="64"/>
      <c r="D226" s="65"/>
      <c r="E226" s="64"/>
      <c r="F226" s="39"/>
      <c r="G226" s="39"/>
      <c r="H226" s="39"/>
      <c r="I226" s="39"/>
      <c r="J226" s="39"/>
      <c r="K226" s="39"/>
      <c r="L226" s="39"/>
      <c r="M226" s="39"/>
      <c r="N226" s="39"/>
      <c r="O226" s="39"/>
      <c r="P226" s="39"/>
      <c r="Q226" s="39"/>
    </row>
    <row r="227" spans="3:17" hidden="1" x14ac:dyDescent="0.35">
      <c r="C227" s="64"/>
      <c r="D227" s="65"/>
      <c r="E227" s="64"/>
      <c r="F227" s="39"/>
      <c r="G227" s="39"/>
      <c r="H227" s="39"/>
      <c r="I227" s="39"/>
      <c r="J227" s="39"/>
      <c r="K227" s="39"/>
      <c r="L227" s="39"/>
      <c r="M227" s="39"/>
      <c r="N227" s="39"/>
      <c r="O227" s="39"/>
      <c r="P227" s="39"/>
      <c r="Q227" s="39"/>
    </row>
    <row r="228" spans="3:17" hidden="1" x14ac:dyDescent="0.35">
      <c r="C228" s="64"/>
      <c r="D228" s="65"/>
      <c r="E228" s="64"/>
      <c r="F228" s="39"/>
      <c r="G228" s="39"/>
      <c r="H228" s="39"/>
      <c r="I228" s="39"/>
      <c r="J228" s="39"/>
      <c r="K228" s="39"/>
      <c r="L228" s="39"/>
      <c r="M228" s="39"/>
      <c r="N228" s="39"/>
      <c r="O228" s="39"/>
      <c r="P228" s="39"/>
      <c r="Q228" s="39"/>
    </row>
    <row r="229" spans="3:17" hidden="1" x14ac:dyDescent="0.35">
      <c r="C229" s="64"/>
      <c r="D229" s="65"/>
      <c r="E229" s="64"/>
      <c r="F229" s="39"/>
      <c r="G229" s="39"/>
      <c r="H229" s="39"/>
      <c r="I229" s="39"/>
      <c r="J229" s="39"/>
      <c r="K229" s="39"/>
      <c r="L229" s="39"/>
      <c r="M229" s="39"/>
      <c r="N229" s="39"/>
      <c r="O229" s="39"/>
      <c r="P229" s="39"/>
      <c r="Q229" s="39"/>
    </row>
    <row r="230" spans="3:17" hidden="1" x14ac:dyDescent="0.35">
      <c r="C230" s="64"/>
      <c r="D230" s="65"/>
      <c r="E230" s="64"/>
      <c r="F230" s="39"/>
      <c r="G230" s="39"/>
      <c r="H230" s="39"/>
      <c r="I230" s="39"/>
      <c r="J230" s="39"/>
      <c r="K230" s="39"/>
      <c r="L230" s="39"/>
      <c r="M230" s="39"/>
      <c r="N230" s="39"/>
      <c r="O230" s="39"/>
      <c r="P230" s="39"/>
      <c r="Q230" s="39"/>
    </row>
    <row r="231" spans="3:17" hidden="1" x14ac:dyDescent="0.35">
      <c r="C231" s="64"/>
      <c r="D231" s="65"/>
      <c r="E231" s="64"/>
      <c r="F231" s="39"/>
      <c r="G231" s="39"/>
      <c r="H231" s="39"/>
      <c r="I231" s="39"/>
      <c r="J231" s="39"/>
      <c r="K231" s="39"/>
      <c r="L231" s="39"/>
      <c r="M231" s="39"/>
      <c r="N231" s="39"/>
      <c r="O231" s="39"/>
      <c r="P231" s="39"/>
      <c r="Q231" s="39"/>
    </row>
    <row r="232" spans="3:17" hidden="1" x14ac:dyDescent="0.35">
      <c r="C232" s="64"/>
      <c r="D232" s="65"/>
      <c r="E232" s="64"/>
      <c r="F232" s="39"/>
      <c r="G232" s="39"/>
      <c r="H232" s="39"/>
      <c r="I232" s="39"/>
      <c r="J232" s="39"/>
      <c r="K232" s="39"/>
      <c r="L232" s="39"/>
      <c r="M232" s="39"/>
      <c r="N232" s="39"/>
      <c r="O232" s="39"/>
      <c r="P232" s="39"/>
      <c r="Q232" s="39"/>
    </row>
    <row r="233" spans="3:17" hidden="1" x14ac:dyDescent="0.35">
      <c r="C233" s="64"/>
      <c r="D233" s="65"/>
      <c r="E233" s="64"/>
      <c r="F233" s="39"/>
      <c r="G233" s="39"/>
      <c r="H233" s="39"/>
      <c r="I233" s="39"/>
      <c r="J233" s="39"/>
      <c r="K233" s="39"/>
      <c r="L233" s="39"/>
      <c r="M233" s="39"/>
      <c r="N233" s="39"/>
      <c r="O233" s="39"/>
      <c r="P233" s="39"/>
      <c r="Q233" s="39"/>
    </row>
    <row r="234" spans="3:17" hidden="1" x14ac:dyDescent="0.35">
      <c r="C234" s="64"/>
      <c r="D234" s="65"/>
      <c r="E234" s="64"/>
      <c r="F234" s="39"/>
      <c r="G234" s="39"/>
      <c r="H234" s="39"/>
      <c r="I234" s="39"/>
      <c r="J234" s="39"/>
      <c r="K234" s="39"/>
      <c r="L234" s="39"/>
      <c r="M234" s="39"/>
      <c r="N234" s="39"/>
      <c r="O234" s="39"/>
      <c r="P234" s="39"/>
      <c r="Q234" s="39"/>
    </row>
    <row r="235" spans="3:17" hidden="1" x14ac:dyDescent="0.35">
      <c r="C235" s="64"/>
      <c r="D235" s="65"/>
      <c r="E235" s="64"/>
      <c r="F235" s="39"/>
      <c r="G235" s="39"/>
      <c r="H235" s="39"/>
      <c r="I235" s="39"/>
      <c r="J235" s="39"/>
      <c r="K235" s="39"/>
      <c r="L235" s="39"/>
      <c r="M235" s="39"/>
      <c r="N235" s="39"/>
      <c r="O235" s="39"/>
      <c r="P235" s="39"/>
      <c r="Q235" s="39"/>
    </row>
    <row r="236" spans="3:17" hidden="1" x14ac:dyDescent="0.35">
      <c r="C236" s="64"/>
      <c r="D236" s="65"/>
      <c r="E236" s="64"/>
      <c r="F236" s="39"/>
      <c r="G236" s="39"/>
      <c r="H236" s="39"/>
      <c r="I236" s="39"/>
      <c r="J236" s="39"/>
      <c r="K236" s="39"/>
      <c r="L236" s="39"/>
      <c r="M236" s="39"/>
      <c r="N236" s="39"/>
      <c r="O236" s="39"/>
      <c r="P236" s="39"/>
      <c r="Q236" s="39"/>
    </row>
    <row r="237" spans="3:17" hidden="1" x14ac:dyDescent="0.35">
      <c r="C237" s="64"/>
      <c r="D237" s="65"/>
      <c r="E237" s="64"/>
      <c r="F237" s="39"/>
      <c r="G237" s="39"/>
      <c r="H237" s="39"/>
      <c r="I237" s="39"/>
      <c r="J237" s="39"/>
      <c r="K237" s="39"/>
      <c r="L237" s="39"/>
      <c r="M237" s="39"/>
      <c r="N237" s="39"/>
      <c r="O237" s="39"/>
      <c r="P237" s="39"/>
      <c r="Q237" s="39"/>
    </row>
    <row r="238" spans="3:17" hidden="1" x14ac:dyDescent="0.35">
      <c r="C238" s="64"/>
      <c r="D238" s="65"/>
      <c r="E238" s="64"/>
      <c r="F238" s="39"/>
      <c r="G238" s="39"/>
      <c r="H238" s="39"/>
      <c r="I238" s="39"/>
      <c r="J238" s="39"/>
      <c r="K238" s="39"/>
      <c r="L238" s="39"/>
      <c r="M238" s="39"/>
      <c r="N238" s="39"/>
      <c r="O238" s="39"/>
      <c r="P238" s="39"/>
      <c r="Q238" s="39"/>
    </row>
    <row r="239" spans="3:17" hidden="1" x14ac:dyDescent="0.35">
      <c r="C239" s="64"/>
      <c r="D239" s="65"/>
      <c r="E239" s="64"/>
      <c r="F239" s="39"/>
      <c r="G239" s="39"/>
      <c r="H239" s="39"/>
      <c r="I239" s="39"/>
      <c r="J239" s="39"/>
      <c r="K239" s="39"/>
      <c r="L239" s="39"/>
      <c r="M239" s="39"/>
      <c r="N239" s="39"/>
      <c r="O239" s="39"/>
      <c r="P239" s="39"/>
      <c r="Q239" s="39"/>
    </row>
    <row r="240" spans="3:17" hidden="1" x14ac:dyDescent="0.35">
      <c r="C240" s="64"/>
      <c r="D240" s="65"/>
      <c r="E240" s="64"/>
      <c r="F240" s="39"/>
      <c r="G240" s="39"/>
      <c r="H240" s="39"/>
      <c r="I240" s="39"/>
      <c r="J240" s="39"/>
      <c r="K240" s="39"/>
      <c r="L240" s="39"/>
      <c r="M240" s="39"/>
      <c r="N240" s="39"/>
      <c r="O240" s="39"/>
      <c r="P240" s="39"/>
      <c r="Q240" s="39"/>
    </row>
    <row r="241" spans="3:17" hidden="1" x14ac:dyDescent="0.35">
      <c r="C241" s="64"/>
      <c r="D241" s="65"/>
      <c r="E241" s="64"/>
      <c r="F241" s="39"/>
      <c r="G241" s="39"/>
      <c r="H241" s="39"/>
      <c r="I241" s="39"/>
      <c r="J241" s="39"/>
      <c r="K241" s="39"/>
      <c r="L241" s="39"/>
      <c r="M241" s="39"/>
      <c r="N241" s="39"/>
      <c r="O241" s="39"/>
      <c r="P241" s="39"/>
      <c r="Q241" s="39"/>
    </row>
    <row r="242" spans="3:17" hidden="1" x14ac:dyDescent="0.35">
      <c r="C242" s="64"/>
      <c r="D242" s="65"/>
      <c r="E242" s="64"/>
      <c r="F242" s="39"/>
      <c r="G242" s="39"/>
      <c r="H242" s="39"/>
      <c r="I242" s="39"/>
      <c r="J242" s="39"/>
      <c r="K242" s="39"/>
      <c r="L242" s="39"/>
      <c r="M242" s="39"/>
      <c r="N242" s="39"/>
      <c r="O242" s="39"/>
      <c r="P242" s="39"/>
      <c r="Q242" s="39"/>
    </row>
    <row r="243" spans="3:17" hidden="1" x14ac:dyDescent="0.35">
      <c r="C243" s="64"/>
      <c r="D243" s="65"/>
      <c r="E243" s="64"/>
      <c r="F243" s="39"/>
      <c r="G243" s="39"/>
      <c r="H243" s="39"/>
      <c r="I243" s="39"/>
      <c r="J243" s="39"/>
      <c r="K243" s="39"/>
      <c r="L243" s="39"/>
      <c r="M243" s="39"/>
      <c r="N243" s="39"/>
      <c r="O243" s="39"/>
      <c r="P243" s="39"/>
      <c r="Q243" s="39"/>
    </row>
    <row r="244" spans="3:17" hidden="1" x14ac:dyDescent="0.35">
      <c r="C244" s="64"/>
      <c r="D244" s="65"/>
      <c r="E244" s="64"/>
      <c r="F244" s="39"/>
      <c r="G244" s="39"/>
      <c r="H244" s="39"/>
      <c r="I244" s="39"/>
      <c r="J244" s="39"/>
      <c r="K244" s="39"/>
      <c r="L244" s="39"/>
      <c r="M244" s="39"/>
      <c r="N244" s="39"/>
      <c r="O244" s="39"/>
      <c r="P244" s="39"/>
      <c r="Q244" s="39"/>
    </row>
    <row r="245" spans="3:17" hidden="1" x14ac:dyDescent="0.35">
      <c r="C245" s="64"/>
      <c r="D245" s="65"/>
      <c r="E245" s="64"/>
      <c r="F245" s="39"/>
      <c r="G245" s="39"/>
      <c r="H245" s="39"/>
      <c r="I245" s="39"/>
      <c r="J245" s="39"/>
      <c r="K245" s="39"/>
      <c r="L245" s="39"/>
      <c r="M245" s="39"/>
      <c r="N245" s="39"/>
      <c r="O245" s="39"/>
      <c r="P245" s="39"/>
      <c r="Q245" s="39"/>
    </row>
    <row r="246" spans="3:17" hidden="1" x14ac:dyDescent="0.35">
      <c r="C246" s="64"/>
      <c r="D246" s="65"/>
      <c r="E246" s="64"/>
      <c r="F246" s="39"/>
      <c r="G246" s="39"/>
      <c r="H246" s="39"/>
      <c r="I246" s="39"/>
      <c r="J246" s="39"/>
      <c r="K246" s="39"/>
      <c r="L246" s="39"/>
      <c r="M246" s="39"/>
      <c r="N246" s="39"/>
      <c r="O246" s="39"/>
      <c r="P246" s="39"/>
      <c r="Q246" s="39"/>
    </row>
    <row r="247" spans="3:17" hidden="1" x14ac:dyDescent="0.35">
      <c r="C247" s="64"/>
      <c r="D247" s="65"/>
      <c r="E247" s="64"/>
      <c r="F247" s="39"/>
      <c r="G247" s="39"/>
      <c r="H247" s="39"/>
      <c r="I247" s="39"/>
      <c r="J247" s="39"/>
      <c r="K247" s="39"/>
      <c r="L247" s="39"/>
      <c r="M247" s="39"/>
      <c r="N247" s="39"/>
      <c r="O247" s="39"/>
      <c r="P247" s="39"/>
      <c r="Q247" s="39"/>
    </row>
    <row r="248" spans="3:17" hidden="1" x14ac:dyDescent="0.35">
      <c r="C248" s="64"/>
      <c r="D248" s="65"/>
      <c r="E248" s="64"/>
      <c r="F248" s="39"/>
      <c r="G248" s="39"/>
      <c r="H248" s="39"/>
      <c r="I248" s="39"/>
      <c r="J248" s="39"/>
      <c r="K248" s="39"/>
      <c r="L248" s="39"/>
      <c r="M248" s="39"/>
      <c r="N248" s="39"/>
      <c r="O248" s="39"/>
      <c r="P248" s="39"/>
      <c r="Q248" s="39"/>
    </row>
    <row r="249" spans="3:17" hidden="1" x14ac:dyDescent="0.35">
      <c r="C249" s="64"/>
      <c r="D249" s="65"/>
      <c r="E249" s="64"/>
      <c r="F249" s="39"/>
      <c r="G249" s="39"/>
      <c r="H249" s="39"/>
      <c r="I249" s="39"/>
      <c r="J249" s="39"/>
      <c r="K249" s="39"/>
      <c r="L249" s="39"/>
      <c r="M249" s="39"/>
      <c r="N249" s="39"/>
      <c r="O249" s="39"/>
      <c r="P249" s="39"/>
      <c r="Q249" s="39"/>
    </row>
    <row r="250" spans="3:17" hidden="1" x14ac:dyDescent="0.35">
      <c r="C250" s="64"/>
      <c r="D250" s="65"/>
      <c r="E250" s="64"/>
      <c r="F250" s="39"/>
      <c r="G250" s="39"/>
      <c r="H250" s="39"/>
      <c r="I250" s="39"/>
      <c r="J250" s="39"/>
      <c r="K250" s="39"/>
      <c r="L250" s="39"/>
      <c r="M250" s="39"/>
      <c r="N250" s="39"/>
      <c r="O250" s="39"/>
      <c r="P250" s="39"/>
      <c r="Q250" s="39"/>
    </row>
    <row r="251" spans="3:17" hidden="1" x14ac:dyDescent="0.35">
      <c r="C251" s="64"/>
      <c r="D251" s="65"/>
      <c r="E251" s="64"/>
      <c r="F251" s="39"/>
      <c r="G251" s="39"/>
      <c r="H251" s="39"/>
      <c r="I251" s="39"/>
      <c r="J251" s="39"/>
      <c r="K251" s="39"/>
      <c r="L251" s="39"/>
      <c r="M251" s="39"/>
      <c r="N251" s="39"/>
      <c r="O251" s="39"/>
      <c r="P251" s="39"/>
      <c r="Q251" s="39"/>
    </row>
    <row r="252" spans="3:17" hidden="1" x14ac:dyDescent="0.35">
      <c r="C252" s="64"/>
      <c r="D252" s="65"/>
      <c r="E252" s="64"/>
      <c r="F252" s="39"/>
      <c r="G252" s="39"/>
      <c r="H252" s="39"/>
      <c r="I252" s="39"/>
      <c r="J252" s="39"/>
      <c r="K252" s="39"/>
      <c r="L252" s="39"/>
      <c r="M252" s="39"/>
      <c r="N252" s="39"/>
      <c r="O252" s="39"/>
      <c r="P252" s="39"/>
      <c r="Q252" s="39"/>
    </row>
    <row r="253" spans="3:17" hidden="1" x14ac:dyDescent="0.35">
      <c r="C253" s="64"/>
      <c r="D253" s="65"/>
      <c r="E253" s="64"/>
      <c r="F253" s="39"/>
      <c r="G253" s="39"/>
      <c r="H253" s="39"/>
      <c r="I253" s="39"/>
      <c r="J253" s="39"/>
      <c r="K253" s="39"/>
      <c r="L253" s="39"/>
      <c r="M253" s="39"/>
      <c r="N253" s="39"/>
      <c r="O253" s="39"/>
      <c r="P253" s="39"/>
      <c r="Q253" s="39"/>
    </row>
    <row r="254" spans="3:17" hidden="1" x14ac:dyDescent="0.35">
      <c r="C254" s="64"/>
      <c r="D254" s="65"/>
      <c r="E254" s="64"/>
      <c r="F254" s="39"/>
      <c r="G254" s="39"/>
      <c r="H254" s="39"/>
      <c r="I254" s="39"/>
      <c r="J254" s="39"/>
      <c r="K254" s="39"/>
      <c r="L254" s="39"/>
      <c r="M254" s="39"/>
      <c r="N254" s="39"/>
      <c r="O254" s="39"/>
      <c r="P254" s="39"/>
      <c r="Q254" s="39"/>
    </row>
    <row r="255" spans="3:17" hidden="1" x14ac:dyDescent="0.35">
      <c r="C255" s="64"/>
      <c r="D255" s="65"/>
      <c r="E255" s="64"/>
      <c r="F255" s="39"/>
      <c r="G255" s="39"/>
      <c r="H255" s="39"/>
      <c r="I255" s="39"/>
      <c r="J255" s="39"/>
      <c r="K255" s="39"/>
      <c r="L255" s="39"/>
      <c r="M255" s="39"/>
      <c r="N255" s="39"/>
      <c r="O255" s="39"/>
      <c r="P255" s="39"/>
      <c r="Q255" s="39"/>
    </row>
    <row r="256" spans="3:17" hidden="1" x14ac:dyDescent="0.35">
      <c r="C256" s="64"/>
      <c r="D256" s="65"/>
      <c r="E256" s="64"/>
      <c r="F256" s="39"/>
      <c r="G256" s="39"/>
      <c r="H256" s="39"/>
      <c r="I256" s="39"/>
      <c r="J256" s="39"/>
      <c r="K256" s="39"/>
      <c r="L256" s="39"/>
      <c r="M256" s="39"/>
      <c r="N256" s="39"/>
      <c r="O256" s="39"/>
      <c r="P256" s="39"/>
      <c r="Q256" s="39"/>
    </row>
    <row r="257" spans="3:17" hidden="1" x14ac:dyDescent="0.35">
      <c r="C257" s="64"/>
      <c r="D257" s="65"/>
      <c r="E257" s="64"/>
      <c r="F257" s="39"/>
      <c r="G257" s="39"/>
      <c r="H257" s="39"/>
      <c r="I257" s="39"/>
      <c r="J257" s="39"/>
      <c r="K257" s="39"/>
      <c r="L257" s="39"/>
      <c r="M257" s="39"/>
      <c r="N257" s="39"/>
      <c r="O257" s="39"/>
      <c r="P257" s="39"/>
      <c r="Q257" s="39"/>
    </row>
    <row r="258" spans="3:17" hidden="1" x14ac:dyDescent="0.35">
      <c r="C258" s="64"/>
      <c r="D258" s="65"/>
      <c r="E258" s="64"/>
      <c r="F258" s="39"/>
      <c r="G258" s="39"/>
      <c r="H258" s="39"/>
      <c r="I258" s="39"/>
      <c r="J258" s="39"/>
      <c r="K258" s="39"/>
      <c r="L258" s="39"/>
      <c r="M258" s="39"/>
      <c r="N258" s="39"/>
      <c r="O258" s="39"/>
      <c r="P258" s="39"/>
      <c r="Q258" s="39"/>
    </row>
    <row r="259" spans="3:17" hidden="1" x14ac:dyDescent="0.35">
      <c r="C259" s="64"/>
      <c r="D259" s="65"/>
      <c r="E259" s="64"/>
      <c r="F259" s="39"/>
      <c r="G259" s="39"/>
      <c r="H259" s="39"/>
      <c r="I259" s="39"/>
      <c r="J259" s="39"/>
      <c r="K259" s="39"/>
      <c r="L259" s="39"/>
      <c r="M259" s="39"/>
      <c r="N259" s="39"/>
      <c r="O259" s="39"/>
      <c r="P259" s="39"/>
      <c r="Q259" s="39"/>
    </row>
    <row r="260" spans="3:17" hidden="1" x14ac:dyDescent="0.35">
      <c r="C260" s="64"/>
      <c r="D260" s="65"/>
      <c r="E260" s="64"/>
      <c r="F260" s="39"/>
      <c r="G260" s="39"/>
      <c r="H260" s="39"/>
      <c r="I260" s="39"/>
      <c r="J260" s="39"/>
      <c r="K260" s="39"/>
      <c r="L260" s="39"/>
      <c r="M260" s="39"/>
      <c r="N260" s="39"/>
      <c r="O260" s="39"/>
      <c r="P260" s="39"/>
      <c r="Q260" s="39"/>
    </row>
    <row r="261" spans="3:17" hidden="1" x14ac:dyDescent="0.35">
      <c r="C261" s="64"/>
      <c r="D261" s="65"/>
      <c r="E261" s="64"/>
      <c r="F261" s="39"/>
      <c r="G261" s="39"/>
      <c r="H261" s="39"/>
      <c r="I261" s="39"/>
      <c r="J261" s="39"/>
      <c r="K261" s="39"/>
      <c r="L261" s="39"/>
      <c r="M261" s="39"/>
      <c r="N261" s="39"/>
      <c r="O261" s="39"/>
      <c r="P261" s="39"/>
      <c r="Q261" s="39"/>
    </row>
    <row r="262" spans="3:17" hidden="1" x14ac:dyDescent="0.35">
      <c r="C262" s="64"/>
      <c r="D262" s="65"/>
      <c r="E262" s="64"/>
      <c r="F262" s="39"/>
      <c r="G262" s="39"/>
      <c r="H262" s="39"/>
      <c r="I262" s="39"/>
      <c r="J262" s="39"/>
      <c r="K262" s="39"/>
      <c r="L262" s="39"/>
      <c r="M262" s="39"/>
      <c r="N262" s="39"/>
      <c r="O262" s="39"/>
      <c r="P262" s="39"/>
      <c r="Q262" s="39"/>
    </row>
    <row r="263" spans="3:17" hidden="1" x14ac:dyDescent="0.35">
      <c r="C263" s="64"/>
      <c r="D263" s="65"/>
      <c r="E263" s="64"/>
      <c r="F263" s="39"/>
      <c r="G263" s="39"/>
      <c r="H263" s="39"/>
      <c r="I263" s="39"/>
      <c r="J263" s="39"/>
      <c r="K263" s="39"/>
      <c r="L263" s="39"/>
      <c r="M263" s="39"/>
      <c r="N263" s="39"/>
      <c r="O263" s="39"/>
      <c r="P263" s="39"/>
      <c r="Q263" s="39"/>
    </row>
    <row r="264" spans="3:17" hidden="1" x14ac:dyDescent="0.35">
      <c r="C264" s="64"/>
      <c r="D264" s="65"/>
      <c r="E264" s="64"/>
      <c r="F264" s="39"/>
      <c r="G264" s="39"/>
      <c r="H264" s="39"/>
      <c r="I264" s="39"/>
      <c r="J264" s="39"/>
      <c r="K264" s="39"/>
      <c r="L264" s="39"/>
      <c r="M264" s="39"/>
      <c r="N264" s="39"/>
      <c r="O264" s="39"/>
      <c r="P264" s="39"/>
      <c r="Q264" s="39"/>
    </row>
    <row r="265" spans="3:17" hidden="1" x14ac:dyDescent="0.35">
      <c r="C265" s="64"/>
      <c r="D265" s="65"/>
      <c r="E265" s="64"/>
      <c r="F265" s="39"/>
      <c r="G265" s="39"/>
      <c r="H265" s="39"/>
      <c r="I265" s="39"/>
      <c r="J265" s="39"/>
      <c r="K265" s="39"/>
      <c r="L265" s="39"/>
      <c r="M265" s="39"/>
      <c r="N265" s="39"/>
      <c r="O265" s="39"/>
      <c r="P265" s="39"/>
      <c r="Q265" s="39"/>
    </row>
    <row r="266" spans="3:17" hidden="1" x14ac:dyDescent="0.35">
      <c r="C266" s="64"/>
      <c r="D266" s="65"/>
      <c r="E266" s="64"/>
      <c r="F266" s="39"/>
      <c r="G266" s="39"/>
      <c r="H266" s="39"/>
      <c r="I266" s="39"/>
      <c r="J266" s="39"/>
      <c r="K266" s="39"/>
      <c r="L266" s="39"/>
      <c r="M266" s="39"/>
      <c r="N266" s="39"/>
      <c r="O266" s="39"/>
      <c r="P266" s="39"/>
      <c r="Q266" s="39"/>
    </row>
    <row r="267" spans="3:17" hidden="1" x14ac:dyDescent="0.35">
      <c r="C267" s="64"/>
      <c r="D267" s="65"/>
      <c r="E267" s="64"/>
      <c r="F267" s="39"/>
      <c r="G267" s="39"/>
      <c r="H267" s="39"/>
      <c r="I267" s="39"/>
      <c r="J267" s="39"/>
      <c r="K267" s="39"/>
      <c r="L267" s="39"/>
      <c r="M267" s="39"/>
      <c r="N267" s="39"/>
      <c r="O267" s="39"/>
      <c r="P267" s="39"/>
      <c r="Q267" s="39"/>
    </row>
    <row r="268" spans="3:17" hidden="1" x14ac:dyDescent="0.35">
      <c r="C268" s="64"/>
      <c r="D268" s="65"/>
      <c r="E268" s="64"/>
      <c r="F268" s="39"/>
      <c r="G268" s="39"/>
      <c r="H268" s="39"/>
      <c r="I268" s="39"/>
      <c r="J268" s="39"/>
      <c r="K268" s="39"/>
      <c r="L268" s="39"/>
      <c r="M268" s="39"/>
      <c r="N268" s="39"/>
      <c r="O268" s="39"/>
      <c r="P268" s="39"/>
      <c r="Q268" s="39"/>
    </row>
    <row r="269" spans="3:17" hidden="1" x14ac:dyDescent="0.35">
      <c r="C269" s="64"/>
      <c r="D269" s="65"/>
      <c r="E269" s="64"/>
      <c r="F269" s="39"/>
      <c r="G269" s="39"/>
      <c r="H269" s="39"/>
      <c r="I269" s="39"/>
      <c r="J269" s="39"/>
      <c r="K269" s="39"/>
      <c r="L269" s="39"/>
      <c r="M269" s="39"/>
      <c r="N269" s="39"/>
      <c r="O269" s="39"/>
      <c r="P269" s="39"/>
      <c r="Q269" s="39"/>
    </row>
    <row r="270" spans="3:17" hidden="1" x14ac:dyDescent="0.35">
      <c r="C270" s="64"/>
      <c r="D270" s="65"/>
      <c r="E270" s="64"/>
      <c r="F270" s="39"/>
      <c r="G270" s="39"/>
      <c r="H270" s="39"/>
      <c r="I270" s="39"/>
      <c r="J270" s="39"/>
      <c r="K270" s="39"/>
      <c r="L270" s="39"/>
      <c r="M270" s="39"/>
      <c r="N270" s="39"/>
      <c r="O270" s="39"/>
      <c r="P270" s="39"/>
      <c r="Q270" s="39"/>
    </row>
  </sheetData>
  <sheetProtection algorithmName="SHA-512" hashValue="c1c2DZJVCFNEtKFabPQ2fAWr+nfDr+XphZ5pDWB6eJbDJ00XFehygvlgJrqAdEF54BqvMfNp4AAYVqAQ0ZwdLA==" saltValue="Vla95FTiS85qby+KhofA4A==" spinCount="100000" sheet="1" objects="1"/>
  <mergeCells count="12">
    <mergeCell ref="D30:G30"/>
    <mergeCell ref="A112:O112"/>
    <mergeCell ref="B50:Q50"/>
    <mergeCell ref="B8:Q9"/>
    <mergeCell ref="D22:E22"/>
    <mergeCell ref="F22:G22"/>
    <mergeCell ref="B14:D14"/>
    <mergeCell ref="B15:D15"/>
    <mergeCell ref="B16:D16"/>
    <mergeCell ref="B17:D17"/>
    <mergeCell ref="B18:D18"/>
    <mergeCell ref="B19:D19"/>
  </mergeCells>
  <phoneticPr fontId="6" type="noConversion"/>
  <dataValidations count="52">
    <dataValidation type="list" allowBlank="1" showInputMessage="1" showErrorMessage="1" sqref="F65:Q65" xr:uid="{00000000-0002-0000-0000-000000000000}">
      <formula1>"Platinum, Gold, Silver, Bronze"</formula1>
    </dataValidation>
    <dataValidation type="list" allowBlank="1" showInputMessage="1" showErrorMessage="1" sqref="F66:Q66" xr:uid="{00000000-0002-0000-0000-000001000000}">
      <formula1>"Network 1, Network 2, Network 3, Network 4"</formula1>
    </dataValidation>
    <dataValidation type="list" allowBlank="1" showInputMessage="1" showErrorMessage="1" sqref="F67:Q67" xr:uid="{00000000-0002-0000-0000-000002000000}">
      <formula1>"HMO, PPO, Indemnity, EPO, POS"</formula1>
    </dataValidation>
    <dataValidation type="list" allowBlank="1" showInputMessage="1" showErrorMessage="1" errorTitle="Value not valid:" error="Market is a required field. Please select a value from the drop-down." promptTitle="Required:" prompt="Select the applicable Market from the drop-down." sqref="E5" xr:uid="{00000000-0002-0000-0000-000003000000}">
      <formula1>"Individual,Small Group,Combined"</formula1>
    </dataValidation>
    <dataValidation type="list" allowBlank="1" showInputMessage="1" showErrorMessage="1" errorTitle="Value not valid:" error="State is a required field. Please select a value from the drop-down." promptTitle="Required:" prompt="Enter the State that has regulatory authority over the policies." sqref="E4" xr:uid="{00000000-0002-0000-0000-000004000000}">
      <formula1>StateList</formula1>
    </dataValidation>
    <dataValidation type="textLength" allowBlank="1" showInputMessage="1" showErrorMessage="1" errorTitle="Value not valid:" error="Company Legal Name is a required field. Please enter a value up to 100 characters." promptTitle="Required:" prompt="Enter the organization’s legal entity name. The name entered in this cell must be the name that is associated with the HIOS Issuer ID. Enter up to 100 characters." sqref="C3" xr:uid="{00000000-0002-0000-0000-000005000000}">
      <formula1>1</formula1>
      <formula2>100</formula2>
    </dataValidation>
    <dataValidation allowBlank="1" showInputMessage="1" showErrorMessage="1" promptTitle="Required:" prompt="Enter the HIOS ID assigned to the legal entity (5 digit numeric value)." sqref="C4" xr:uid="{00000000-0002-0000-0000-000006000000}"/>
    <dataValidation type="date" operator="greaterThan" allowBlank="1" showInputMessage="1" showErrorMessage="1" errorTitle="Value not valid:" error="Experience Period (Beginning Date) is a required field." promptTitle="Required:" prompt="Enter the date that is the beginning of the Experience Period in a MM/DD/YYYY format." sqref="D12" xr:uid="{00000000-0002-0000-0000-000007000000}">
      <formula1>29221</formula1>
    </dataValidation>
    <dataValidation operator="greaterThanOrEqual" allowBlank="1" showInputMessage="1" showErrorMessage="1" promptTitle="Required:" prompt="Enter the total Allowed Claims with dates of service during the experience period, up to 16 characters including decimal place." sqref="E14" xr:uid="{00000000-0002-0000-0000-000008000000}"/>
    <dataValidation operator="greaterThan" allowBlank="1" showInputMessage="1" showErrorMessage="1" promptTitle="Required:" prompt="Enter reinsurance claims reimbursements for claims incurred during the experience period, up to 16 characters including decimal place." sqref="E15" xr:uid="{00000000-0002-0000-0000-000009000000}"/>
    <dataValidation operator="greaterThanOrEqual" allowBlank="1" showInputMessage="1" showErrorMessage="1" promptTitle="Required:" prompt="Enter total claims incurred in the experience period, up to 16 characters including decimal place." sqref="E16" xr:uid="{00000000-0002-0000-0000-00000A000000}"/>
    <dataValidation operator="greaterThanOrEqual" allowBlank="1" showInputMessage="1" showErrorMessage="1" promptTitle="Required:" prompt="Enter the Earned Premiums for the experience period, up to 16 characters including decimal place." sqref="E18" xr:uid="{00000000-0002-0000-0000-00000C000000}"/>
    <dataValidation allowBlank="1" showInputMessage="1" showErrorMessage="1" promptTitle="Required:" prompt="Enter the Risk Adjustment transfer amount for the experience period, up to 16 characters including decimal place. Payments received from the program should be reflected as a positive amount, while charges assessed should be reflected as a negative amount." sqref="E17" xr:uid="{72817DEC-DB52-4D14-BA28-3E96821A3E44}"/>
    <dataValidation allowBlank="1" showInputMessage="1" showErrorMessage="1" promptTitle="Required:" prompt="Enter the Experience Period Index Rate PMPM for Prescription Drug as a numeric value, up to 16 characters including decimal place." sqref="C29" xr:uid="{35C8E681-93D0-4F65-A7EF-26981435DCFD}"/>
    <dataValidation allowBlank="1" showInputMessage="1" showErrorMessage="1" promptTitle="Required:" prompt="Enter the Utilization - Year 2 Trend for Prescription Drug as a numeric value, up to 16 characters including decimal place." sqref="G29" xr:uid="{83D13581-61F6-4137-AABF-2BDFD268ADBA}"/>
    <dataValidation allowBlank="1" showInputMessage="1" showErrorMessage="1" promptTitle="Required:" prompt="Enter the Cost - Year 1 Trend for Prescription Drug as a numeric value, up to 16 characters including decimal place." sqref="D29" xr:uid="{439302C3-2546-4876-BC92-115F4FD46CB2}"/>
    <dataValidation allowBlank="1" showInputMessage="1" showErrorMessage="1" promptTitle="Required:" prompt="Enter the Cost - Year 2 Trend for Prescription Drug as a numeric value, up to 16 characters including decimal place." sqref="F29" xr:uid="{94E0D188-B96A-4CFD-9E93-DF61FBEACABD}"/>
    <dataValidation allowBlank="1" showInputMessage="1" showErrorMessage="1" promptTitle="Required:" prompt="Enter the Utilization - Year 1 Trend for Prescription Drug as a numeric value, up to 16 characters including decimal place." sqref="E29" xr:uid="{824EDB72-30B3-4F64-B370-80238B6D7389}"/>
    <dataValidation allowBlank="1" showInputMessage="1" showErrorMessage="1" promptTitle="Required:" prompt="Enter the Manual EHB Allowed Claims PMPM as a numeric value, up to 16 characters including decimal place." sqref="F38" xr:uid="{BB814B73-2ED4-4C03-9697-0413B6C93650}"/>
    <dataValidation allowBlank="1" showInputMessage="1" showErrorMessage="1" promptTitle="Required:" prompt="Enter the Applied Credibility % to the trended EHB Allowed Claims pmpm as a percentage, up to 16 characters including decimal place." sqref="F39" xr:uid="{F79A016C-857D-426E-AEF6-219CAE48205F}"/>
    <dataValidation allowBlank="1" showInputMessage="1" showErrorMessage="1" promptTitle="Required:" prompt="Enter the Morbidity Adjustment of the covered population from the experience period to the projection period as a numeric value, up to 16 characters including decimal place." sqref="F32" xr:uid="{4D523644-DC63-4706-9F86-FF8D63EC7D1D}"/>
    <dataValidation allowBlank="1" showInputMessage="1" showErrorMessage="1" promptTitle="Required:" prompt="Enter Other as a positive numeric value, up to 16 characters including decimal place." sqref="F35" xr:uid="{504ADD56-72EA-4471-810D-B43B9F64045F}"/>
    <dataValidation allowBlank="1" showInputMessage="1" showErrorMessage="1" promptTitle="Required:" prompt="Enter the Demographic Shift of the covered population from the experience period to the projection period as a numeric value, up to 16 characters including decimal place." sqref="F33" xr:uid="{37B3E5DE-D9DE-4D09-85CA-C681F1961F39}"/>
    <dataValidation allowBlank="1" showInputMessage="1" showErrorMessage="1" promptTitle="Required:" prompt="Enter the Plan Design Changes as a numeric value, up to 16 characters including decimal place." sqref="F34" xr:uid="{7EAED63B-9162-443D-80E0-FACA58690BBE}"/>
    <dataValidation allowBlank="1" showInputMessage="1" showErrorMessage="1" promptTitle="Required:" prompt="Enter the projected reinsurance recoverable for the projection period as a value, up to 16 characters including decimal place." sqref="F43" xr:uid="{7F270F0A-3380-4F6E-8418-7DAFB3072F91}"/>
    <dataValidation allowBlank="1" showInputMessage="1" showErrorMessage="1" promptTitle="Required:" prompt="Enter the projected Risk Adjustment Payment/Charge for the projection period as a positive or negative numeric value, up to 16 characters including decimal place." sqref="F44" xr:uid="{587864B7-73DB-47B6-A609-0C0C7FD1EAD7}"/>
    <dataValidation allowBlank="1" showInputMessage="1" showErrorMessage="1" promptTitle="Required:" prompt="Enter the projected Exchange User Fees for the projection period as a percentage up to 16 characters including decimal place." sqref="F45" xr:uid="{26688982-2B04-432E-BEC5-FEDCA6521B8B}"/>
    <dataValidation allowBlank="1" showInputMessage="1" showErrorMessage="1" promptTitle="Required:" prompt="Enter the Experience Period Index Rate PMPM for Inpatient Hospital as a numeric value, up to 16 characters including decimal place." sqref="C24" xr:uid="{9EF684E4-6E5E-4747-81FB-D3661D8EDBB0}"/>
    <dataValidation allowBlank="1" showInputMessage="1" showErrorMessage="1" promptTitle="Required:" prompt="Enter the Experience Period Index Rate PMPM for Outpatient Hospital as a numeric value, up to 16 characters including decimal place." sqref="C25" xr:uid="{9C4E6AC2-3C91-489C-9A72-E294D308B8DA}"/>
    <dataValidation allowBlank="1" showInputMessage="1" showErrorMessage="1" promptTitle="Required:" prompt="Enter the Experience Period Index Rate PMPM for Professional as a numeric value, up to 16 characters including decimal place." sqref="C26" xr:uid="{DDF8A953-DBAF-4926-A358-46ACDC2F1949}"/>
    <dataValidation allowBlank="1" showInputMessage="1" showErrorMessage="1" promptTitle="Required:" prompt="Enter the Experience Period Index Rate PMPM for Other Medical as a numeric value, up to 16 characters including decimal place." sqref="C27" xr:uid="{BE0D669D-600F-480E-A9FC-5121AA212E1A}"/>
    <dataValidation allowBlank="1" showInputMessage="1" showErrorMessage="1" promptTitle="Required:" prompt="Enter the Experience Period Index Rate PMPM for Capitation as a numeric value, up to 16 characters including decimal place." sqref="C28" xr:uid="{082B269C-D0DC-4A7A-9F6C-1CD2F72A310B}"/>
    <dataValidation allowBlank="1" showInputMessage="1" showErrorMessage="1" promptTitle="Required:" prompt="Enter the Cost - Year 1 Trend for Inpatient Hospital as a numeric value, up to 16 characters including decimal place." sqref="D24" xr:uid="{1FF7802F-3BEA-4F77-A0AA-67F3D4C648F1}"/>
    <dataValidation allowBlank="1" showInputMessage="1" showErrorMessage="1" promptTitle="Required:" prompt="Enter the Cost - Year 1 Trend for Outpatient Hospital as a numeric value, up to 16 characters including decimal place." sqref="D25" xr:uid="{DCC27BE6-90B3-4971-9CB0-9D102E593806}"/>
    <dataValidation allowBlank="1" showInputMessage="1" showErrorMessage="1" promptTitle="Required:" prompt="Enter the Cost - Year 1 Trend for Professional as a numeric value, up to 16 characters including decimal place." sqref="D26" xr:uid="{DAB12601-40A1-4F30-8BAD-E6B449F688AF}"/>
    <dataValidation allowBlank="1" showInputMessage="1" showErrorMessage="1" promptTitle="Required:" prompt="Enter the Cost - Year 1 Trend for Other Medical as a numeric value, up to 16 characters including decimal place." sqref="D27" xr:uid="{10741C84-5FD6-4F2D-80D5-BB86387409EF}"/>
    <dataValidation allowBlank="1" showInputMessage="1" showErrorMessage="1" promptTitle="Required:" prompt="Enter the Cost - Year 1 Trend for Capitation as a numeric value, up to 16 characters including decimal place." sqref="D28" xr:uid="{699E19FB-F776-4295-A9F5-276333294107}"/>
    <dataValidation allowBlank="1" showInputMessage="1" showErrorMessage="1" promptTitle="Required:" prompt="Enter the Utilization - Year 1 Trend for Inpatient Hospital as a numeric value, up to 16 characters including decimal place." sqref="E24" xr:uid="{816DE4BF-1B25-4C41-A51B-0118DB1B4BB4}"/>
    <dataValidation allowBlank="1" showInputMessage="1" showErrorMessage="1" promptTitle="Required:" prompt="Enter the Utilization - Year 1 Trend for Outpatient Hospital as a numeric value, up to 16 characters including decimal place." sqref="E25" xr:uid="{A232E7E4-AE0A-40E8-B75F-3E549FA11C9E}"/>
    <dataValidation allowBlank="1" showInputMessage="1" showErrorMessage="1" promptTitle="Required:" prompt="Enter the Utilization - Year 1 Trend for Professional as a numeric value, up to 16 characters including decimal place." sqref="E26" xr:uid="{63C1D1AE-62AA-4552-ABF4-D677D60DD0F4}"/>
    <dataValidation allowBlank="1" showInputMessage="1" showErrorMessage="1" promptTitle="Required:" prompt="Enter the Utilization - Year 1 Trend for Other Medical as a numeric value, up to 16 characters including decimal place." sqref="E27" xr:uid="{0D0334D8-D452-4404-AF84-CBEA0CEC28DA}"/>
    <dataValidation allowBlank="1" showInputMessage="1" showErrorMessage="1" promptTitle="Required:" prompt="Enter the Utilization - Year 1 Trend for Capitation as a numeric value, up to 16 characters including decimal place." sqref="E28" xr:uid="{5736BF63-53B5-4E2A-984D-3457DCFC5108}"/>
    <dataValidation allowBlank="1" showInputMessage="1" showErrorMessage="1" promptTitle="Required:" prompt="Enter the Cost - Year 2 Trend for Inpatient Hospital as a numeric value, up to 16 characters including decimal place." sqref="F24" xr:uid="{0A8253B2-81CD-43CC-938C-AAB9B14C4521}"/>
    <dataValidation allowBlank="1" showInputMessage="1" showErrorMessage="1" promptTitle="Required:" prompt="Enter the Cost - Year 2 Trend for Outpatient Hospital as a numeric value, up to 16 characters including decimal place." sqref="F25" xr:uid="{4A7A5F4B-20D2-4E6D-AFDF-C6E8800A23E6}"/>
    <dataValidation allowBlank="1" showInputMessage="1" showErrorMessage="1" promptTitle="Required:" prompt="Enter the Cost - Year 2 Trend for Professional as a numeric value, up to 16 characters including decimal place." sqref="F26" xr:uid="{66E92755-9705-47F7-9DA5-ED08ADA8A86C}"/>
    <dataValidation allowBlank="1" showInputMessage="1" showErrorMessage="1" promptTitle="Required:" prompt="Enter the Cost - Year 2 Trend for Other Medical as a numeric value, up to 16 characters including decimal place." sqref="F27" xr:uid="{8FB6FE62-9F7D-4C1A-A97F-CD09DC9045F1}"/>
    <dataValidation allowBlank="1" showInputMessage="1" showErrorMessage="1" promptTitle="Required:" prompt="Enter the Cost - Year 2 Trend for Capitation as a numeric value, up to 16 characters including decimal place." sqref="F28" xr:uid="{B99CAB04-2B8E-4A18-A71F-A7233D5805BE}"/>
    <dataValidation allowBlank="1" showInputMessage="1" showErrorMessage="1" promptTitle="Required:" prompt="Enter the Utilization - Year 2 Trend for Inpatient Hospital as a numeric value, up to 16 characters including decimal place." sqref="G24" xr:uid="{90A2F18B-6FD3-40DB-9A34-733F825993C7}"/>
    <dataValidation allowBlank="1" showInputMessage="1" showErrorMessage="1" promptTitle="Required:" prompt="Enter the Utilization - Year 2 Trend for Outpatient Hospital as a numeric value, up to 16 characters including decimal place." sqref="G25" xr:uid="{E5CE0DF8-9694-4DF4-9394-EF70AD288298}"/>
    <dataValidation allowBlank="1" showInputMessage="1" showErrorMessage="1" promptTitle="Required:" prompt="Enter the Utilization - Year 2 Trend for Professional as a numeric value, up to 16 characters including decimal place." sqref="G26" xr:uid="{5750BEF2-61C4-44FB-9C9F-85517353AECB}"/>
    <dataValidation allowBlank="1" showInputMessage="1" showErrorMessage="1" promptTitle="Required:" prompt="Enter the Utilization - Year 2 Trend for Other Medical as a numeric value, up to 16 characters including decimal place." sqref="G27" xr:uid="{712608AC-8212-4B86-B2A4-A8CDF3ABE536}"/>
    <dataValidation allowBlank="1" showInputMessage="1" showErrorMessage="1" promptTitle="Required:" prompt="Enter the Utilization - Year 2 Trend for Capitation as a numeric value, up to 16 characters including decimal place." sqref="G28" xr:uid="{8AB74A17-E5F9-4D3B-9394-0A531698A89E}"/>
  </dataValidations>
  <printOptions headings="1"/>
  <pageMargins left="0.2" right="0.2" top="0.3" bottom="0.3" header="0.05" footer="0.05"/>
  <pageSetup scale="27" fitToHeight="2" orientation="landscape" r:id="rId1"/>
  <headerFooter>
    <oddFooter>&amp;C&amp;P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41" r:id="rId4" name="Button 17">
              <controlPr defaultSize="0" print="0" autoFill="0" autoPict="0" macro="[0]!AddNewProduct">
                <anchor moveWithCells="1" sizeWithCells="1">
                  <from>
                    <xdr:col>5</xdr:col>
                    <xdr:colOff>0</xdr:colOff>
                    <xdr:row>33</xdr:row>
                    <xdr:rowOff>0</xdr:rowOff>
                  </from>
                  <to>
                    <xdr:col>5</xdr:col>
                    <xdr:colOff>1035050</xdr:colOff>
                    <xdr:row>34</xdr:row>
                    <xdr:rowOff>107950</xdr:rowOff>
                  </to>
                </anchor>
              </controlPr>
            </control>
          </mc:Choice>
        </mc:AlternateContent>
        <mc:AlternateContent xmlns:mc="http://schemas.openxmlformats.org/markup-compatibility/2006">
          <mc:Choice Requires="x14">
            <control shapeId="1043" r:id="rId5" name="Button 19">
              <controlPr defaultSize="0" print="0" autoFill="0" autoPict="0" macro="[0]!Validate">
                <anchor moveWithCells="1" sizeWithCells="1">
                  <from>
                    <xdr:col>6</xdr:col>
                    <xdr:colOff>184150</xdr:colOff>
                    <xdr:row>33</xdr:row>
                    <xdr:rowOff>0</xdr:rowOff>
                  </from>
                  <to>
                    <xdr:col>6</xdr:col>
                    <xdr:colOff>1238250</xdr:colOff>
                    <xdr:row>34</xdr:row>
                    <xdr:rowOff>107950</xdr:rowOff>
                  </to>
                </anchor>
              </controlPr>
            </control>
          </mc:Choice>
        </mc:AlternateContent>
        <mc:AlternateContent xmlns:mc="http://schemas.openxmlformats.org/markup-compatibility/2006">
          <mc:Choice Requires="x14">
            <control shapeId="1044" r:id="rId6" name="Button 20">
              <controlPr defaultSize="0" print="0" autoFill="0" autoPict="0" macro="[0]!ValidateAndFinalize">
                <anchor moveWithCells="1" sizeWithCells="1">
                  <from>
                    <xdr:col>6</xdr:col>
                    <xdr:colOff>1289050</xdr:colOff>
                    <xdr:row>33</xdr:row>
                    <xdr:rowOff>0</xdr:rowOff>
                  </from>
                  <to>
                    <xdr:col>7</xdr:col>
                    <xdr:colOff>412750</xdr:colOff>
                    <xdr:row>34</xdr:row>
                    <xdr:rowOff>107950</xdr:rowOff>
                  </to>
                </anchor>
              </controlPr>
            </control>
          </mc:Choice>
        </mc:AlternateContent>
        <mc:AlternateContent xmlns:mc="http://schemas.openxmlformats.org/markup-compatibility/2006">
          <mc:Choice Requires="x14">
            <control shapeId="1045" r:id="rId7" name="Button 21">
              <controlPr defaultSize="0" print="0" autoFill="0" autoPict="0" macro="[0]!AddNewPlan">
                <anchor moveWithCells="1" sizeWithCells="1">
                  <from>
                    <xdr:col>5</xdr:col>
                    <xdr:colOff>1104900</xdr:colOff>
                    <xdr:row>33</xdr:row>
                    <xdr:rowOff>0</xdr:rowOff>
                  </from>
                  <to>
                    <xdr:col>6</xdr:col>
                    <xdr:colOff>209550</xdr:colOff>
                    <xdr:row>34</xdr:row>
                    <xdr:rowOff>107950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BJ83"/>
  <sheetViews>
    <sheetView showGridLines="0" zoomScaleNormal="100" workbookViewId="0">
      <selection activeCell="I3" sqref="I3"/>
    </sheetView>
  </sheetViews>
  <sheetFormatPr defaultColWidth="8.81640625" defaultRowHeight="14.5" zeroHeight="1" x14ac:dyDescent="0.35"/>
  <cols>
    <col min="1" max="1" width="17.7265625" customWidth="1"/>
    <col min="2" max="2" width="6.7265625" customWidth="1"/>
    <col min="3" max="3" width="41.7265625" customWidth="1"/>
    <col min="4" max="4" width="14.54296875" customWidth="1"/>
    <col min="5" max="58" width="15.6328125" customWidth="1"/>
    <col min="59" max="59" width="15.7265625" customWidth="1"/>
  </cols>
  <sheetData>
    <row r="1" spans="1:58" ht="18.649999999999999" customHeight="1" x14ac:dyDescent="0.45">
      <c r="A1" s="100" t="s">
        <v>226</v>
      </c>
      <c r="C1" s="16" t="s">
        <v>221</v>
      </c>
      <c r="D1" s="16"/>
      <c r="E1" s="3"/>
      <c r="F1" s="3"/>
      <c r="G1" s="3"/>
      <c r="H1" s="4"/>
      <c r="I1" s="1"/>
      <c r="J1" s="1"/>
      <c r="K1" s="1"/>
      <c r="L1" s="1"/>
      <c r="M1" s="1"/>
      <c r="N1" s="1"/>
      <c r="O1" s="1"/>
      <c r="P1" s="98" t="s">
        <v>213</v>
      </c>
      <c r="Q1" s="1"/>
      <c r="S1" s="1"/>
      <c r="T1" s="1"/>
      <c r="U1" s="1"/>
    </row>
    <row r="2" spans="1:58" ht="18.5" x14ac:dyDescent="0.45">
      <c r="C2" s="3"/>
      <c r="D2" s="3"/>
      <c r="E2" s="3"/>
      <c r="F2" s="3"/>
      <c r="G2" s="3"/>
      <c r="H2" s="4"/>
      <c r="I2" s="1"/>
      <c r="J2" s="1"/>
      <c r="K2" s="1"/>
      <c r="L2" s="1"/>
      <c r="M2" s="1"/>
      <c r="N2" s="1"/>
      <c r="O2" s="1"/>
      <c r="P2" s="98" t="s">
        <v>214</v>
      </c>
      <c r="Q2" s="1"/>
      <c r="S2" s="1"/>
      <c r="T2" s="1"/>
      <c r="U2" s="1"/>
    </row>
    <row r="3" spans="1:58" ht="18.5" x14ac:dyDescent="0.45">
      <c r="C3" s="96" t="s">
        <v>5</v>
      </c>
      <c r="D3" s="93" t="str">
        <f>IF('Wksh 1 - Market Experience'!C3&lt;&gt;"", 'Wksh 1 - Market Experience'!C3,"")</f>
        <v>Kaiser Foundation Health Plan of GA</v>
      </c>
      <c r="F3" s="6"/>
      <c r="G3" s="6"/>
      <c r="J3" s="1"/>
      <c r="K3" s="1"/>
      <c r="P3" s="99" t="s">
        <v>215</v>
      </c>
    </row>
    <row r="4" spans="1:58" ht="18.5" x14ac:dyDescent="0.45">
      <c r="C4" s="97" t="s">
        <v>6</v>
      </c>
      <c r="D4" s="94">
        <f>IF('Wksh 1 - Market Experience'!C4&lt;&gt;"", 'Wksh 1 - Market Experience'!C4,"")</f>
        <v>89942</v>
      </c>
      <c r="E4" s="96" t="s">
        <v>7</v>
      </c>
      <c r="F4" s="101" t="str">
        <f>IF('Wksh 1 - Market Experience'!E4&lt;&gt;"",'Wksh 1 - Market Experience'!E4,"")</f>
        <v>GA</v>
      </c>
      <c r="G4" s="7"/>
      <c r="J4" s="1"/>
      <c r="K4" s="1"/>
      <c r="P4" s="99" t="s">
        <v>216</v>
      </c>
    </row>
    <row r="5" spans="1:58" ht="15.5" x14ac:dyDescent="0.35">
      <c r="C5" s="96" t="s">
        <v>14</v>
      </c>
      <c r="D5" s="95">
        <f>IF('Wksh 1 - Market Experience'!C5&lt;&gt;"", 'Wksh 1 - Market Experience'!C5,"")</f>
        <v>45292</v>
      </c>
      <c r="E5" s="96" t="s">
        <v>9</v>
      </c>
      <c r="F5" s="101" t="str">
        <f>IF('Wksh 1 - Market Experience'!E5&lt;&gt;"",'Wksh 1 - Market Experience'!E5,"")</f>
        <v>Individual</v>
      </c>
      <c r="G5" s="1"/>
      <c r="H5" s="1"/>
      <c r="I5" s="1"/>
      <c r="J5" s="1"/>
      <c r="K5" s="1"/>
      <c r="L5" s="1"/>
      <c r="P5" s="99" t="s">
        <v>223</v>
      </c>
    </row>
    <row r="6" spans="1:58" x14ac:dyDescent="0.35">
      <c r="C6" s="1"/>
      <c r="D6" s="1"/>
      <c r="E6" s="1"/>
      <c r="F6" s="1"/>
      <c r="G6" s="1"/>
      <c r="H6" s="2"/>
      <c r="I6" s="1"/>
      <c r="J6" s="1"/>
      <c r="K6" s="1"/>
      <c r="L6" s="1"/>
      <c r="M6" s="1"/>
      <c r="N6" s="1"/>
      <c r="O6" s="1"/>
      <c r="P6" s="99" t="s">
        <v>224</v>
      </c>
      <c r="Q6" s="1"/>
      <c r="R6" s="1"/>
      <c r="S6" s="1"/>
      <c r="T6" s="1"/>
      <c r="U6" s="1"/>
    </row>
    <row r="7" spans="1:58" x14ac:dyDescent="0.35">
      <c r="C7" s="248" t="s">
        <v>15</v>
      </c>
      <c r="D7" s="249"/>
      <c r="E7" s="249"/>
      <c r="F7" s="249"/>
      <c r="G7" s="249"/>
      <c r="H7" s="249"/>
      <c r="I7" s="249"/>
      <c r="J7" s="249"/>
      <c r="K7" s="249"/>
      <c r="L7" s="249"/>
      <c r="M7" s="249"/>
      <c r="N7" s="249"/>
      <c r="O7" s="249"/>
      <c r="P7" s="249"/>
      <c r="Q7" s="249"/>
      <c r="R7" s="249"/>
      <c r="S7" s="249"/>
      <c r="T7" s="249"/>
      <c r="U7" s="249"/>
      <c r="V7" s="250"/>
    </row>
    <row r="8" spans="1:58" x14ac:dyDescent="0.35">
      <c r="C8" s="251"/>
      <c r="D8" s="252"/>
      <c r="E8" s="252"/>
      <c r="F8" s="252"/>
      <c r="G8" s="252"/>
      <c r="H8" s="252"/>
      <c r="I8" s="252"/>
      <c r="J8" s="252"/>
      <c r="K8" s="252"/>
      <c r="L8" s="252"/>
      <c r="M8" s="252"/>
      <c r="N8" s="252"/>
      <c r="O8" s="252"/>
      <c r="P8" s="252"/>
      <c r="Q8" s="252"/>
      <c r="R8" s="252"/>
      <c r="S8" s="252"/>
      <c r="T8" s="252"/>
      <c r="U8" s="252"/>
      <c r="V8" s="253"/>
    </row>
    <row r="9" spans="1:58" x14ac:dyDescent="0.35">
      <c r="B9" t="s">
        <v>103</v>
      </c>
      <c r="C9" s="19" t="s">
        <v>77</v>
      </c>
      <c r="D9" s="19"/>
      <c r="E9" s="17"/>
      <c r="F9" s="17"/>
      <c r="G9" s="17"/>
      <c r="H9" s="18"/>
      <c r="I9" s="17"/>
      <c r="J9" s="17"/>
      <c r="K9" s="17"/>
      <c r="L9" s="17"/>
      <c r="M9" s="17"/>
      <c r="N9" s="17"/>
      <c r="O9" s="17"/>
      <c r="P9" s="17"/>
      <c r="Q9" s="17"/>
      <c r="R9" s="17"/>
      <c r="S9" s="17"/>
      <c r="T9" s="17"/>
      <c r="U9" s="17"/>
    </row>
    <row r="10" spans="1:58" ht="15" customHeight="1" x14ac:dyDescent="0.35">
      <c r="B10" s="146" t="s">
        <v>155</v>
      </c>
      <c r="C10" s="168" t="s">
        <v>104</v>
      </c>
      <c r="D10" s="220"/>
      <c r="E10" s="263" t="s">
        <v>231</v>
      </c>
      <c r="F10" s="264"/>
      <c r="G10" s="264"/>
      <c r="H10" s="264"/>
      <c r="I10" s="264"/>
      <c r="J10" s="264"/>
      <c r="K10" s="264"/>
      <c r="L10" s="264"/>
      <c r="M10" s="264"/>
      <c r="N10" s="264"/>
      <c r="O10" s="264"/>
      <c r="P10" s="264"/>
      <c r="Q10" s="264"/>
      <c r="R10" s="264"/>
      <c r="S10" s="264"/>
      <c r="T10" s="264"/>
      <c r="U10" s="264"/>
      <c r="V10" s="264"/>
      <c r="W10" s="264"/>
      <c r="X10" s="262"/>
      <c r="Y10" s="263" t="s">
        <v>275</v>
      </c>
      <c r="Z10" s="264"/>
      <c r="AA10" s="264"/>
      <c r="AB10" s="264"/>
      <c r="AC10" s="264"/>
      <c r="AD10" s="264"/>
      <c r="AE10" s="264"/>
      <c r="AF10" s="264"/>
      <c r="AG10" s="264"/>
      <c r="AH10" s="264"/>
      <c r="AI10" s="264"/>
      <c r="AJ10" s="264"/>
      <c r="AK10" s="264"/>
      <c r="AL10" s="264"/>
      <c r="AM10" s="264"/>
      <c r="AN10" s="264"/>
      <c r="AO10" s="264"/>
      <c r="AP10" s="264"/>
      <c r="AQ10" s="264"/>
      <c r="AR10" s="264"/>
      <c r="AS10" s="264"/>
      <c r="AT10" s="262"/>
      <c r="AU10" s="263" t="s">
        <v>300</v>
      </c>
      <c r="AV10" s="264"/>
      <c r="AW10" s="264"/>
      <c r="AX10" s="264"/>
      <c r="AY10" s="264"/>
      <c r="AZ10" s="262"/>
      <c r="BA10" s="263" t="s">
        <v>300</v>
      </c>
      <c r="BB10" s="264"/>
      <c r="BC10" s="264"/>
      <c r="BD10" s="264"/>
      <c r="BE10" s="264"/>
      <c r="BF10" s="262"/>
    </row>
    <row r="11" spans="1:58" ht="15" customHeight="1" x14ac:dyDescent="0.35">
      <c r="B11" s="146" t="s">
        <v>156</v>
      </c>
      <c r="C11" s="168" t="s">
        <v>105</v>
      </c>
      <c r="D11" s="221"/>
      <c r="E11" s="263" t="s">
        <v>232</v>
      </c>
      <c r="F11" s="264"/>
      <c r="G11" s="264"/>
      <c r="H11" s="264"/>
      <c r="I11" s="264"/>
      <c r="J11" s="264"/>
      <c r="K11" s="264"/>
      <c r="L11" s="264"/>
      <c r="M11" s="264"/>
      <c r="N11" s="264"/>
      <c r="O11" s="264"/>
      <c r="P11" s="264"/>
      <c r="Q11" s="264"/>
      <c r="R11" s="264"/>
      <c r="S11" s="264"/>
      <c r="T11" s="264"/>
      <c r="U11" s="264"/>
      <c r="V11" s="264"/>
      <c r="W11" s="264"/>
      <c r="X11" s="262"/>
      <c r="Y11" s="263" t="s">
        <v>274</v>
      </c>
      <c r="Z11" s="264"/>
      <c r="AA11" s="264"/>
      <c r="AB11" s="264"/>
      <c r="AC11" s="264"/>
      <c r="AD11" s="264"/>
      <c r="AE11" s="264"/>
      <c r="AF11" s="264"/>
      <c r="AG11" s="264"/>
      <c r="AH11" s="264"/>
      <c r="AI11" s="264"/>
      <c r="AJ11" s="264"/>
      <c r="AK11" s="264"/>
      <c r="AL11" s="264"/>
      <c r="AM11" s="264"/>
      <c r="AN11" s="264"/>
      <c r="AO11" s="264"/>
      <c r="AP11" s="264"/>
      <c r="AQ11" s="264"/>
      <c r="AR11" s="264"/>
      <c r="AS11" s="264"/>
      <c r="AT11" s="262"/>
      <c r="AU11" s="263" t="s">
        <v>301</v>
      </c>
      <c r="AV11" s="264"/>
      <c r="AW11" s="264"/>
      <c r="AX11" s="264"/>
      <c r="AY11" s="264"/>
      <c r="AZ11" s="262"/>
      <c r="BA11" s="263" t="s">
        <v>302</v>
      </c>
      <c r="BB11" s="264"/>
      <c r="BC11" s="264"/>
      <c r="BD11" s="264"/>
      <c r="BE11" s="264"/>
      <c r="BF11" s="262"/>
    </row>
    <row r="12" spans="1:58" ht="15" customHeight="1" x14ac:dyDescent="0.35">
      <c r="B12" s="146" t="s">
        <v>157</v>
      </c>
      <c r="C12" s="168" t="s">
        <v>10</v>
      </c>
      <c r="D12" s="221"/>
      <c r="E12" s="179" t="s">
        <v>233</v>
      </c>
      <c r="F12" s="179" t="s">
        <v>234</v>
      </c>
      <c r="G12" s="179" t="s">
        <v>235</v>
      </c>
      <c r="H12" s="179" t="s">
        <v>236</v>
      </c>
      <c r="I12" s="179" t="s">
        <v>237</v>
      </c>
      <c r="J12" s="179" t="s">
        <v>238</v>
      </c>
      <c r="K12" s="179" t="s">
        <v>239</v>
      </c>
      <c r="L12" s="179" t="s">
        <v>240</v>
      </c>
      <c r="M12" s="179" t="s">
        <v>241</v>
      </c>
      <c r="N12" s="179" t="s">
        <v>242</v>
      </c>
      <c r="O12" s="179" t="s">
        <v>243</v>
      </c>
      <c r="P12" s="179" t="s">
        <v>244</v>
      </c>
      <c r="Q12" s="179" t="s">
        <v>245</v>
      </c>
      <c r="R12" s="179" t="s">
        <v>246</v>
      </c>
      <c r="S12" s="179" t="s">
        <v>247</v>
      </c>
      <c r="T12" s="179" t="s">
        <v>248</v>
      </c>
      <c r="U12" s="179" t="s">
        <v>249</v>
      </c>
      <c r="V12" s="179" t="s">
        <v>250</v>
      </c>
      <c r="W12" s="179" t="s">
        <v>251</v>
      </c>
      <c r="X12" s="179" t="s">
        <v>252</v>
      </c>
      <c r="Y12" s="179" t="s">
        <v>233</v>
      </c>
      <c r="Z12" s="179" t="s">
        <v>234</v>
      </c>
      <c r="AA12" s="179" t="s">
        <v>235</v>
      </c>
      <c r="AB12" s="179" t="s">
        <v>236</v>
      </c>
      <c r="AC12" s="179" t="s">
        <v>237</v>
      </c>
      <c r="AD12" s="179" t="s">
        <v>238</v>
      </c>
      <c r="AE12" s="179" t="s">
        <v>239</v>
      </c>
      <c r="AF12" s="179" t="s">
        <v>276</v>
      </c>
      <c r="AG12" s="179" t="s">
        <v>240</v>
      </c>
      <c r="AH12" s="179" t="s">
        <v>241</v>
      </c>
      <c r="AI12" s="179" t="s">
        <v>242</v>
      </c>
      <c r="AJ12" s="179" t="s">
        <v>243</v>
      </c>
      <c r="AK12" s="179" t="s">
        <v>244</v>
      </c>
      <c r="AL12" s="179" t="s">
        <v>245</v>
      </c>
      <c r="AM12" s="179" t="s">
        <v>246</v>
      </c>
      <c r="AN12" s="179" t="s">
        <v>247</v>
      </c>
      <c r="AO12" s="179" t="s">
        <v>248</v>
      </c>
      <c r="AP12" s="179" t="s">
        <v>249</v>
      </c>
      <c r="AQ12" s="179" t="s">
        <v>277</v>
      </c>
      <c r="AR12" s="179" t="s">
        <v>250</v>
      </c>
      <c r="AS12" s="179" t="s">
        <v>251</v>
      </c>
      <c r="AT12" s="179" t="s">
        <v>252</v>
      </c>
      <c r="AU12" s="179" t="s">
        <v>303</v>
      </c>
      <c r="AV12" s="179" t="s">
        <v>304</v>
      </c>
      <c r="AW12" s="179" t="s">
        <v>305</v>
      </c>
      <c r="AX12" s="179" t="s">
        <v>306</v>
      </c>
      <c r="AY12" s="179" t="s">
        <v>307</v>
      </c>
      <c r="AZ12" s="179" t="s">
        <v>308</v>
      </c>
      <c r="BA12" s="179" t="s">
        <v>303</v>
      </c>
      <c r="BB12" s="179" t="s">
        <v>304</v>
      </c>
      <c r="BC12" s="179" t="s">
        <v>305</v>
      </c>
      <c r="BD12" s="179" t="s">
        <v>306</v>
      </c>
      <c r="BE12" s="179" t="s">
        <v>307</v>
      </c>
      <c r="BF12" s="179" t="s">
        <v>308</v>
      </c>
    </row>
    <row r="13" spans="1:58" ht="15" customHeight="1" x14ac:dyDescent="0.35">
      <c r="B13" s="146" t="s">
        <v>158</v>
      </c>
      <c r="C13" s="168" t="s">
        <v>106</v>
      </c>
      <c r="D13" s="221"/>
      <c r="E13" s="180" t="s">
        <v>253</v>
      </c>
      <c r="F13" s="180" t="s">
        <v>254</v>
      </c>
      <c r="G13" s="180" t="s">
        <v>255</v>
      </c>
      <c r="H13" s="180" t="s">
        <v>256</v>
      </c>
      <c r="I13" s="180" t="s">
        <v>257</v>
      </c>
      <c r="J13" s="180" t="s">
        <v>258</v>
      </c>
      <c r="K13" s="180" t="s">
        <v>259</v>
      </c>
      <c r="L13" s="180" t="s">
        <v>260</v>
      </c>
      <c r="M13" s="180" t="s">
        <v>261</v>
      </c>
      <c r="N13" s="180" t="s">
        <v>262</v>
      </c>
      <c r="O13" s="180" t="s">
        <v>263</v>
      </c>
      <c r="P13" s="180" t="s">
        <v>264</v>
      </c>
      <c r="Q13" s="180" t="s">
        <v>265</v>
      </c>
      <c r="R13" s="180" t="s">
        <v>266</v>
      </c>
      <c r="S13" s="180" t="s">
        <v>267</v>
      </c>
      <c r="T13" s="180" t="s">
        <v>268</v>
      </c>
      <c r="U13" s="180" t="s">
        <v>269</v>
      </c>
      <c r="V13" s="180" t="s">
        <v>270</v>
      </c>
      <c r="W13" s="180" t="s">
        <v>271</v>
      </c>
      <c r="X13" s="180" t="s">
        <v>272</v>
      </c>
      <c r="Y13" s="180" t="s">
        <v>278</v>
      </c>
      <c r="Z13" s="180" t="s">
        <v>279</v>
      </c>
      <c r="AA13" s="180" t="s">
        <v>280</v>
      </c>
      <c r="AB13" s="180" t="s">
        <v>281</v>
      </c>
      <c r="AC13" s="180" t="s">
        <v>282</v>
      </c>
      <c r="AD13" s="180" t="s">
        <v>283</v>
      </c>
      <c r="AE13" s="180" t="s">
        <v>284</v>
      </c>
      <c r="AF13" s="180" t="s">
        <v>285</v>
      </c>
      <c r="AG13" s="180" t="s">
        <v>286</v>
      </c>
      <c r="AH13" s="180" t="s">
        <v>287</v>
      </c>
      <c r="AI13" s="180" t="s">
        <v>288</v>
      </c>
      <c r="AJ13" s="180" t="s">
        <v>289</v>
      </c>
      <c r="AK13" s="180" t="s">
        <v>290</v>
      </c>
      <c r="AL13" s="180" t="s">
        <v>291</v>
      </c>
      <c r="AM13" s="180" t="s">
        <v>292</v>
      </c>
      <c r="AN13" s="180" t="s">
        <v>293</v>
      </c>
      <c r="AO13" s="180" t="s">
        <v>294</v>
      </c>
      <c r="AP13" s="180" t="s">
        <v>295</v>
      </c>
      <c r="AQ13" s="180" t="s">
        <v>296</v>
      </c>
      <c r="AR13" s="180" t="s">
        <v>297</v>
      </c>
      <c r="AS13" s="180" t="s">
        <v>298</v>
      </c>
      <c r="AT13" s="180" t="s">
        <v>299</v>
      </c>
      <c r="AU13" s="180" t="s">
        <v>309</v>
      </c>
      <c r="AV13" s="180" t="s">
        <v>310</v>
      </c>
      <c r="AW13" s="180" t="s">
        <v>311</v>
      </c>
      <c r="AX13" s="180" t="s">
        <v>312</v>
      </c>
      <c r="AY13" s="180" t="s">
        <v>313</v>
      </c>
      <c r="AZ13" s="180" t="s">
        <v>314</v>
      </c>
      <c r="BA13" s="180" t="s">
        <v>315</v>
      </c>
      <c r="BB13" s="180" t="s">
        <v>316</v>
      </c>
      <c r="BC13" s="180" t="s">
        <v>317</v>
      </c>
      <c r="BD13" s="180" t="s">
        <v>318</v>
      </c>
      <c r="BE13" s="180" t="s">
        <v>319</v>
      </c>
      <c r="BF13" s="180" t="s">
        <v>320</v>
      </c>
    </row>
    <row r="14" spans="1:58" ht="15" customHeight="1" x14ac:dyDescent="0.35">
      <c r="B14" s="146" t="s">
        <v>159</v>
      </c>
      <c r="C14" s="168" t="s">
        <v>107</v>
      </c>
      <c r="D14" s="221"/>
      <c r="E14" s="181" t="s">
        <v>140</v>
      </c>
      <c r="F14" s="181" t="s">
        <v>140</v>
      </c>
      <c r="G14" s="181" t="s">
        <v>140</v>
      </c>
      <c r="H14" s="181" t="s">
        <v>141</v>
      </c>
      <c r="I14" s="181" t="s">
        <v>141</v>
      </c>
      <c r="J14" s="181" t="s">
        <v>141</v>
      </c>
      <c r="K14" s="181" t="s">
        <v>141</v>
      </c>
      <c r="L14" s="181" t="s">
        <v>142</v>
      </c>
      <c r="M14" s="181" t="s">
        <v>142</v>
      </c>
      <c r="N14" s="181" t="s">
        <v>143</v>
      </c>
      <c r="O14" s="181" t="s">
        <v>140</v>
      </c>
      <c r="P14" s="181" t="s">
        <v>140</v>
      </c>
      <c r="Q14" s="181" t="s">
        <v>140</v>
      </c>
      <c r="R14" s="181" t="s">
        <v>141</v>
      </c>
      <c r="S14" s="181" t="s">
        <v>141</v>
      </c>
      <c r="T14" s="181" t="s">
        <v>141</v>
      </c>
      <c r="U14" s="181" t="s">
        <v>141</v>
      </c>
      <c r="V14" s="181" t="s">
        <v>142</v>
      </c>
      <c r="W14" s="181" t="s">
        <v>142</v>
      </c>
      <c r="X14" s="181" t="s">
        <v>143</v>
      </c>
      <c r="Y14" s="181" t="s">
        <v>140</v>
      </c>
      <c r="Z14" s="181" t="s">
        <v>140</v>
      </c>
      <c r="AA14" s="181" t="s">
        <v>140</v>
      </c>
      <c r="AB14" s="181" t="s">
        <v>141</v>
      </c>
      <c r="AC14" s="181" t="s">
        <v>141</v>
      </c>
      <c r="AD14" s="181" t="s">
        <v>141</v>
      </c>
      <c r="AE14" s="181" t="s">
        <v>141</v>
      </c>
      <c r="AF14" s="181" t="s">
        <v>141</v>
      </c>
      <c r="AG14" s="181" t="s">
        <v>142</v>
      </c>
      <c r="AH14" s="181" t="s">
        <v>142</v>
      </c>
      <c r="AI14" s="181" t="s">
        <v>143</v>
      </c>
      <c r="AJ14" s="181" t="s">
        <v>140</v>
      </c>
      <c r="AK14" s="181" t="s">
        <v>140</v>
      </c>
      <c r="AL14" s="181" t="s">
        <v>140</v>
      </c>
      <c r="AM14" s="181" t="s">
        <v>141</v>
      </c>
      <c r="AN14" s="181" t="s">
        <v>141</v>
      </c>
      <c r="AO14" s="181" t="s">
        <v>141</v>
      </c>
      <c r="AP14" s="181" t="s">
        <v>141</v>
      </c>
      <c r="AQ14" s="181" t="s">
        <v>141</v>
      </c>
      <c r="AR14" s="181" t="s">
        <v>142</v>
      </c>
      <c r="AS14" s="181" t="s">
        <v>142</v>
      </c>
      <c r="AT14" s="181" t="s">
        <v>143</v>
      </c>
      <c r="AU14" s="181" t="s">
        <v>140</v>
      </c>
      <c r="AV14" s="181" t="s">
        <v>141</v>
      </c>
      <c r="AW14" s="181" t="s">
        <v>142</v>
      </c>
      <c r="AX14" s="181" t="s">
        <v>140</v>
      </c>
      <c r="AY14" s="181" t="s">
        <v>141</v>
      </c>
      <c r="AZ14" s="181" t="s">
        <v>142</v>
      </c>
      <c r="BA14" s="181" t="s">
        <v>140</v>
      </c>
      <c r="BB14" s="181" t="s">
        <v>141</v>
      </c>
      <c r="BC14" s="181" t="s">
        <v>142</v>
      </c>
      <c r="BD14" s="181" t="s">
        <v>140</v>
      </c>
      <c r="BE14" s="181" t="s">
        <v>141</v>
      </c>
      <c r="BF14" s="181" t="s">
        <v>142</v>
      </c>
    </row>
    <row r="15" spans="1:58" ht="15" customHeight="1" x14ac:dyDescent="0.35">
      <c r="B15" s="146" t="s">
        <v>160</v>
      </c>
      <c r="C15" s="168" t="s">
        <v>26</v>
      </c>
      <c r="D15" s="221"/>
      <c r="E15" s="182">
        <v>0.81699999999999995</v>
      </c>
      <c r="F15" s="182">
        <v>0.8</v>
      </c>
      <c r="G15" s="182">
        <v>0.78</v>
      </c>
      <c r="H15" s="182">
        <v>0.71799999999999997</v>
      </c>
      <c r="I15" s="182">
        <v>0.71</v>
      </c>
      <c r="J15" s="182">
        <v>0.70899999999999996</v>
      </c>
      <c r="K15" s="182">
        <v>0.70099999999999996</v>
      </c>
      <c r="L15" s="182">
        <v>0.64200000000000002</v>
      </c>
      <c r="M15" s="182">
        <v>0.64200000000000002</v>
      </c>
      <c r="N15" s="182">
        <v>0.64300000000000002</v>
      </c>
      <c r="O15" s="182">
        <v>0.81699999999999995</v>
      </c>
      <c r="P15" s="182">
        <v>0.80100000000000005</v>
      </c>
      <c r="Q15" s="182">
        <v>0.78</v>
      </c>
      <c r="R15" s="182">
        <v>0.71799999999999997</v>
      </c>
      <c r="S15" s="182">
        <v>0.71</v>
      </c>
      <c r="T15" s="182">
        <v>0.70899999999999996</v>
      </c>
      <c r="U15" s="182">
        <v>0.70099999999999996</v>
      </c>
      <c r="V15" s="182">
        <v>0.64300000000000002</v>
      </c>
      <c r="W15" s="182">
        <v>0.64200000000000002</v>
      </c>
      <c r="X15" s="182">
        <v>0.64300000000000002</v>
      </c>
      <c r="Y15" s="182">
        <v>0.81699999999999995</v>
      </c>
      <c r="Z15" s="182">
        <v>0.8</v>
      </c>
      <c r="AA15" s="182">
        <v>0.78</v>
      </c>
      <c r="AB15" s="182">
        <v>0.71799999999999997</v>
      </c>
      <c r="AC15" s="182">
        <v>0.71</v>
      </c>
      <c r="AD15" s="182">
        <v>0.70899999999999996</v>
      </c>
      <c r="AE15" s="182">
        <v>0.70099999999999996</v>
      </c>
      <c r="AF15" s="182">
        <v>0.68100000000000005</v>
      </c>
      <c r="AG15" s="182">
        <v>0.64200000000000002</v>
      </c>
      <c r="AH15" s="182">
        <v>0.64200000000000002</v>
      </c>
      <c r="AI15" s="182">
        <v>0.64300000000000002</v>
      </c>
      <c r="AJ15" s="182">
        <v>0.81699999999999995</v>
      </c>
      <c r="AK15" s="182">
        <v>0.80100000000000005</v>
      </c>
      <c r="AL15" s="182">
        <v>0.78</v>
      </c>
      <c r="AM15" s="182">
        <v>0.71799999999999997</v>
      </c>
      <c r="AN15" s="182">
        <v>0.71</v>
      </c>
      <c r="AO15" s="182">
        <v>0.70899999999999996</v>
      </c>
      <c r="AP15" s="182">
        <v>0.70099999999999996</v>
      </c>
      <c r="AQ15" s="182">
        <v>0.68100000000000005</v>
      </c>
      <c r="AR15" s="182">
        <v>0.64300000000000002</v>
      </c>
      <c r="AS15" s="182">
        <v>0.64200000000000002</v>
      </c>
      <c r="AT15" s="182">
        <v>0.64300000000000002</v>
      </c>
      <c r="AU15" s="182">
        <v>0.78</v>
      </c>
      <c r="AV15" s="182">
        <v>0.7</v>
      </c>
      <c r="AW15" s="182">
        <v>0.64400000000000002</v>
      </c>
      <c r="AX15" s="182">
        <v>0.78</v>
      </c>
      <c r="AY15" s="182">
        <v>0.70099999999999996</v>
      </c>
      <c r="AZ15" s="182">
        <v>0.64400000000000002</v>
      </c>
      <c r="BA15" s="182">
        <v>0.78</v>
      </c>
      <c r="BB15" s="182">
        <v>0.7</v>
      </c>
      <c r="BC15" s="182">
        <v>0.64400000000000002</v>
      </c>
      <c r="BD15" s="182">
        <v>0.78</v>
      </c>
      <c r="BE15" s="182">
        <v>0.7</v>
      </c>
      <c r="BF15" s="182">
        <v>0.64400000000000002</v>
      </c>
    </row>
    <row r="16" spans="1:58" ht="15" customHeight="1" x14ac:dyDescent="0.35">
      <c r="B16" s="146" t="s">
        <v>161</v>
      </c>
      <c r="C16" s="168" t="s">
        <v>80</v>
      </c>
      <c r="D16" s="221"/>
      <c r="E16" s="179" t="s">
        <v>82</v>
      </c>
      <c r="F16" s="179" t="s">
        <v>82</v>
      </c>
      <c r="G16" s="179" t="s">
        <v>82</v>
      </c>
      <c r="H16" s="179" t="s">
        <v>82</v>
      </c>
      <c r="I16" s="179" t="s">
        <v>83</v>
      </c>
      <c r="J16" s="179" t="s">
        <v>82</v>
      </c>
      <c r="K16" s="179" t="s">
        <v>82</v>
      </c>
      <c r="L16" s="179" t="s">
        <v>82</v>
      </c>
      <c r="M16" s="179" t="s">
        <v>82</v>
      </c>
      <c r="N16" s="179" t="s">
        <v>82</v>
      </c>
      <c r="O16" s="179" t="s">
        <v>82</v>
      </c>
      <c r="P16" s="179" t="s">
        <v>82</v>
      </c>
      <c r="Q16" s="179" t="s">
        <v>82</v>
      </c>
      <c r="R16" s="179" t="s">
        <v>82</v>
      </c>
      <c r="S16" s="179" t="s">
        <v>83</v>
      </c>
      <c r="T16" s="179" t="s">
        <v>82</v>
      </c>
      <c r="U16" s="179" t="s">
        <v>82</v>
      </c>
      <c r="V16" s="179" t="s">
        <v>82</v>
      </c>
      <c r="W16" s="179" t="s">
        <v>82</v>
      </c>
      <c r="X16" s="179" t="s">
        <v>82</v>
      </c>
      <c r="Y16" s="179" t="s">
        <v>82</v>
      </c>
      <c r="Z16" s="179" t="s">
        <v>82</v>
      </c>
      <c r="AA16" s="179" t="s">
        <v>82</v>
      </c>
      <c r="AB16" s="179" t="s">
        <v>82</v>
      </c>
      <c r="AC16" s="179" t="s">
        <v>83</v>
      </c>
      <c r="AD16" s="179" t="s">
        <v>82</v>
      </c>
      <c r="AE16" s="179" t="s">
        <v>82</v>
      </c>
      <c r="AF16" s="179" t="s">
        <v>82</v>
      </c>
      <c r="AG16" s="179" t="s">
        <v>82</v>
      </c>
      <c r="AH16" s="179" t="s">
        <v>82</v>
      </c>
      <c r="AI16" s="179" t="s">
        <v>82</v>
      </c>
      <c r="AJ16" s="179" t="s">
        <v>82</v>
      </c>
      <c r="AK16" s="179" t="s">
        <v>82</v>
      </c>
      <c r="AL16" s="179" t="s">
        <v>82</v>
      </c>
      <c r="AM16" s="179" t="s">
        <v>82</v>
      </c>
      <c r="AN16" s="179" t="s">
        <v>83</v>
      </c>
      <c r="AO16" s="179" t="s">
        <v>82</v>
      </c>
      <c r="AP16" s="179" t="s">
        <v>82</v>
      </c>
      <c r="AQ16" s="179" t="s">
        <v>82</v>
      </c>
      <c r="AR16" s="179" t="s">
        <v>82</v>
      </c>
      <c r="AS16" s="179" t="s">
        <v>82</v>
      </c>
      <c r="AT16" s="179" t="s">
        <v>82</v>
      </c>
      <c r="AU16" s="179" t="s">
        <v>82</v>
      </c>
      <c r="AV16" s="179" t="s">
        <v>82</v>
      </c>
      <c r="AW16" s="179" t="s">
        <v>82</v>
      </c>
      <c r="AX16" s="179" t="s">
        <v>82</v>
      </c>
      <c r="AY16" s="179" t="s">
        <v>82</v>
      </c>
      <c r="AZ16" s="179" t="s">
        <v>82</v>
      </c>
      <c r="BA16" s="179" t="s">
        <v>82</v>
      </c>
      <c r="BB16" s="179" t="s">
        <v>82</v>
      </c>
      <c r="BC16" s="179" t="s">
        <v>82</v>
      </c>
      <c r="BD16" s="179" t="s">
        <v>82</v>
      </c>
      <c r="BE16" s="179" t="s">
        <v>82</v>
      </c>
      <c r="BF16" s="179" t="s">
        <v>82</v>
      </c>
    </row>
    <row r="17" spans="1:58" ht="15" customHeight="1" x14ac:dyDescent="0.35">
      <c r="B17" s="146" t="s">
        <v>154</v>
      </c>
      <c r="C17" s="169" t="s">
        <v>108</v>
      </c>
      <c r="D17" s="221"/>
      <c r="E17" s="179" t="s">
        <v>273</v>
      </c>
      <c r="F17" s="179" t="s">
        <v>273</v>
      </c>
      <c r="G17" s="179" t="s">
        <v>273</v>
      </c>
      <c r="H17" s="179" t="s">
        <v>273</v>
      </c>
      <c r="I17" s="179" t="s">
        <v>273</v>
      </c>
      <c r="J17" s="179" t="s">
        <v>273</v>
      </c>
      <c r="K17" s="179" t="s">
        <v>273</v>
      </c>
      <c r="L17" s="179" t="s">
        <v>273</v>
      </c>
      <c r="M17" s="179" t="s">
        <v>273</v>
      </c>
      <c r="N17" s="179" t="s">
        <v>273</v>
      </c>
      <c r="O17" s="179" t="s">
        <v>273</v>
      </c>
      <c r="P17" s="179" t="s">
        <v>273</v>
      </c>
      <c r="Q17" s="179" t="s">
        <v>273</v>
      </c>
      <c r="R17" s="179" t="s">
        <v>273</v>
      </c>
      <c r="S17" s="179" t="s">
        <v>273</v>
      </c>
      <c r="T17" s="179" t="s">
        <v>273</v>
      </c>
      <c r="U17" s="179" t="s">
        <v>273</v>
      </c>
      <c r="V17" s="179" t="s">
        <v>273</v>
      </c>
      <c r="W17" s="179" t="s">
        <v>273</v>
      </c>
      <c r="X17" s="179" t="s">
        <v>273</v>
      </c>
      <c r="Y17" s="179" t="s">
        <v>273</v>
      </c>
      <c r="Z17" s="179" t="s">
        <v>273</v>
      </c>
      <c r="AA17" s="179" t="s">
        <v>273</v>
      </c>
      <c r="AB17" s="179" t="s">
        <v>273</v>
      </c>
      <c r="AC17" s="179" t="s">
        <v>273</v>
      </c>
      <c r="AD17" s="179" t="s">
        <v>273</v>
      </c>
      <c r="AE17" s="179" t="s">
        <v>273</v>
      </c>
      <c r="AF17" s="179" t="s">
        <v>273</v>
      </c>
      <c r="AG17" s="179" t="s">
        <v>273</v>
      </c>
      <c r="AH17" s="179" t="s">
        <v>273</v>
      </c>
      <c r="AI17" s="179" t="s">
        <v>273</v>
      </c>
      <c r="AJ17" s="179" t="s">
        <v>273</v>
      </c>
      <c r="AK17" s="179" t="s">
        <v>273</v>
      </c>
      <c r="AL17" s="179" t="s">
        <v>273</v>
      </c>
      <c r="AM17" s="179" t="s">
        <v>273</v>
      </c>
      <c r="AN17" s="179" t="s">
        <v>273</v>
      </c>
      <c r="AO17" s="179" t="s">
        <v>273</v>
      </c>
      <c r="AP17" s="179" t="s">
        <v>273</v>
      </c>
      <c r="AQ17" s="179" t="s">
        <v>273</v>
      </c>
      <c r="AR17" s="179" t="s">
        <v>273</v>
      </c>
      <c r="AS17" s="179" t="s">
        <v>273</v>
      </c>
      <c r="AT17" s="179" t="s">
        <v>273</v>
      </c>
      <c r="AU17" s="179" t="s">
        <v>273</v>
      </c>
      <c r="AV17" s="179" t="s">
        <v>273</v>
      </c>
      <c r="AW17" s="179" t="s">
        <v>273</v>
      </c>
      <c r="AX17" s="179" t="s">
        <v>273</v>
      </c>
      <c r="AY17" s="179" t="s">
        <v>273</v>
      </c>
      <c r="AZ17" s="179" t="s">
        <v>273</v>
      </c>
      <c r="BA17" s="179" t="s">
        <v>273</v>
      </c>
      <c r="BB17" s="179" t="s">
        <v>273</v>
      </c>
      <c r="BC17" s="179" t="s">
        <v>273</v>
      </c>
      <c r="BD17" s="179" t="s">
        <v>273</v>
      </c>
      <c r="BE17" s="179" t="s">
        <v>273</v>
      </c>
      <c r="BF17" s="179" t="s">
        <v>273</v>
      </c>
    </row>
    <row r="18" spans="1:58" ht="15" customHeight="1" x14ac:dyDescent="0.35">
      <c r="B18" s="146" t="s">
        <v>153</v>
      </c>
      <c r="C18" s="168" t="s">
        <v>16</v>
      </c>
      <c r="D18" s="221"/>
      <c r="E18" s="183" t="s">
        <v>145</v>
      </c>
      <c r="F18" s="183" t="s">
        <v>145</v>
      </c>
      <c r="G18" s="183" t="s">
        <v>145</v>
      </c>
      <c r="H18" s="183" t="s">
        <v>145</v>
      </c>
      <c r="I18" s="183" t="s">
        <v>146</v>
      </c>
      <c r="J18" s="183" t="s">
        <v>145</v>
      </c>
      <c r="K18" s="183" t="s">
        <v>145</v>
      </c>
      <c r="L18" s="183" t="s">
        <v>145</v>
      </c>
      <c r="M18" s="183" t="s">
        <v>145</v>
      </c>
      <c r="N18" s="183" t="s">
        <v>145</v>
      </c>
      <c r="O18" s="183" t="s">
        <v>145</v>
      </c>
      <c r="P18" s="183" t="s">
        <v>145</v>
      </c>
      <c r="Q18" s="183" t="s">
        <v>145</v>
      </c>
      <c r="R18" s="183" t="s">
        <v>145</v>
      </c>
      <c r="S18" s="183" t="s">
        <v>146</v>
      </c>
      <c r="T18" s="183" t="s">
        <v>145</v>
      </c>
      <c r="U18" s="183" t="s">
        <v>145</v>
      </c>
      <c r="V18" s="183" t="s">
        <v>145</v>
      </c>
      <c r="W18" s="183" t="s">
        <v>145</v>
      </c>
      <c r="X18" s="183" t="s">
        <v>145</v>
      </c>
      <c r="Y18" s="183" t="s">
        <v>146</v>
      </c>
      <c r="Z18" s="183" t="s">
        <v>146</v>
      </c>
      <c r="AA18" s="183" t="s">
        <v>146</v>
      </c>
      <c r="AB18" s="183" t="s">
        <v>146</v>
      </c>
      <c r="AC18" s="183" t="s">
        <v>146</v>
      </c>
      <c r="AD18" s="183" t="s">
        <v>146</v>
      </c>
      <c r="AE18" s="183" t="s">
        <v>146</v>
      </c>
      <c r="AF18" s="183" t="s">
        <v>146</v>
      </c>
      <c r="AG18" s="183" t="s">
        <v>146</v>
      </c>
      <c r="AH18" s="183" t="s">
        <v>146</v>
      </c>
      <c r="AI18" s="183" t="s">
        <v>146</v>
      </c>
      <c r="AJ18" s="183" t="s">
        <v>146</v>
      </c>
      <c r="AK18" s="183" t="s">
        <v>146</v>
      </c>
      <c r="AL18" s="183" t="s">
        <v>146</v>
      </c>
      <c r="AM18" s="183" t="s">
        <v>146</v>
      </c>
      <c r="AN18" s="183" t="s">
        <v>146</v>
      </c>
      <c r="AO18" s="183" t="s">
        <v>146</v>
      </c>
      <c r="AP18" s="183" t="s">
        <v>146</v>
      </c>
      <c r="AQ18" s="183" t="s">
        <v>146</v>
      </c>
      <c r="AR18" s="183" t="s">
        <v>146</v>
      </c>
      <c r="AS18" s="183" t="s">
        <v>146</v>
      </c>
      <c r="AT18" s="183" t="s">
        <v>146</v>
      </c>
      <c r="AU18" s="183" t="s">
        <v>145</v>
      </c>
      <c r="AV18" s="183" t="s">
        <v>145</v>
      </c>
      <c r="AW18" s="183" t="s">
        <v>145</v>
      </c>
      <c r="AX18" s="183" t="s">
        <v>145</v>
      </c>
      <c r="AY18" s="183" t="s">
        <v>145</v>
      </c>
      <c r="AZ18" s="183" t="s">
        <v>145</v>
      </c>
      <c r="BA18" s="183" t="s">
        <v>146</v>
      </c>
      <c r="BB18" s="183" t="s">
        <v>146</v>
      </c>
      <c r="BC18" s="183" t="s">
        <v>146</v>
      </c>
      <c r="BD18" s="183" t="s">
        <v>146</v>
      </c>
      <c r="BE18" s="183" t="s">
        <v>146</v>
      </c>
      <c r="BF18" s="183" t="s">
        <v>146</v>
      </c>
    </row>
    <row r="19" spans="1:58" ht="15" customHeight="1" x14ac:dyDescent="0.35">
      <c r="B19" s="146" t="s">
        <v>149</v>
      </c>
      <c r="C19" s="168" t="s">
        <v>25</v>
      </c>
      <c r="D19" s="221"/>
      <c r="E19" s="184">
        <v>45292</v>
      </c>
      <c r="F19" s="184">
        <v>45292</v>
      </c>
      <c r="G19" s="184">
        <v>45292</v>
      </c>
      <c r="H19" s="184">
        <v>45292</v>
      </c>
      <c r="I19" s="184">
        <v>45292</v>
      </c>
      <c r="J19" s="184">
        <v>45292</v>
      </c>
      <c r="K19" s="184">
        <v>45292</v>
      </c>
      <c r="L19" s="184">
        <v>45292</v>
      </c>
      <c r="M19" s="184">
        <v>45292</v>
      </c>
      <c r="N19" s="184">
        <v>45292</v>
      </c>
      <c r="O19" s="184">
        <v>45292</v>
      </c>
      <c r="P19" s="184">
        <v>45292</v>
      </c>
      <c r="Q19" s="184">
        <v>45292</v>
      </c>
      <c r="R19" s="184">
        <v>45292</v>
      </c>
      <c r="S19" s="184">
        <v>45292</v>
      </c>
      <c r="T19" s="184">
        <v>45292</v>
      </c>
      <c r="U19" s="184">
        <v>45292</v>
      </c>
      <c r="V19" s="184">
        <v>45292</v>
      </c>
      <c r="W19" s="184">
        <v>45292</v>
      </c>
      <c r="X19" s="184">
        <v>45292</v>
      </c>
      <c r="Y19" s="184">
        <v>45292</v>
      </c>
      <c r="Z19" s="184">
        <v>45292</v>
      </c>
      <c r="AA19" s="184">
        <v>45292</v>
      </c>
      <c r="AB19" s="184">
        <v>45292</v>
      </c>
      <c r="AC19" s="184">
        <v>45292</v>
      </c>
      <c r="AD19" s="184">
        <v>45292</v>
      </c>
      <c r="AE19" s="184">
        <v>45292</v>
      </c>
      <c r="AF19" s="184">
        <v>45292</v>
      </c>
      <c r="AG19" s="184">
        <v>45292</v>
      </c>
      <c r="AH19" s="184">
        <v>45292</v>
      </c>
      <c r="AI19" s="184">
        <v>45292</v>
      </c>
      <c r="AJ19" s="184">
        <v>45292</v>
      </c>
      <c r="AK19" s="184">
        <v>45292</v>
      </c>
      <c r="AL19" s="184">
        <v>45292</v>
      </c>
      <c r="AM19" s="184">
        <v>45292</v>
      </c>
      <c r="AN19" s="184">
        <v>45292</v>
      </c>
      <c r="AO19" s="184">
        <v>45292</v>
      </c>
      <c r="AP19" s="184">
        <v>45292</v>
      </c>
      <c r="AQ19" s="184">
        <v>45292</v>
      </c>
      <c r="AR19" s="184">
        <v>45292</v>
      </c>
      <c r="AS19" s="184">
        <v>45292</v>
      </c>
      <c r="AT19" s="184">
        <v>45292</v>
      </c>
      <c r="AU19" s="184">
        <v>45292</v>
      </c>
      <c r="AV19" s="184">
        <v>45292</v>
      </c>
      <c r="AW19" s="184">
        <v>45292</v>
      </c>
      <c r="AX19" s="184">
        <v>45292</v>
      </c>
      <c r="AY19" s="184">
        <v>44562</v>
      </c>
      <c r="AZ19" s="184">
        <v>45292</v>
      </c>
      <c r="BA19" s="184">
        <v>45292</v>
      </c>
      <c r="BB19" s="184">
        <v>45292</v>
      </c>
      <c r="BC19" s="184">
        <v>45292</v>
      </c>
      <c r="BD19" s="184">
        <v>45292</v>
      </c>
      <c r="BE19" s="184">
        <v>45292</v>
      </c>
      <c r="BF19" s="184">
        <v>45292</v>
      </c>
    </row>
    <row r="20" spans="1:58" ht="15" customHeight="1" x14ac:dyDescent="0.35">
      <c r="B20" s="146" t="s">
        <v>150</v>
      </c>
      <c r="C20" s="168" t="s">
        <v>109</v>
      </c>
      <c r="D20" s="221"/>
      <c r="E20" s="185">
        <v>0.14119999999999999</v>
      </c>
      <c r="F20" s="185">
        <v>0.14180000000000001</v>
      </c>
      <c r="G20" s="185">
        <v>0.13550000000000001</v>
      </c>
      <c r="H20" s="185">
        <v>0.10100000000000001</v>
      </c>
      <c r="I20" s="185">
        <v>0</v>
      </c>
      <c r="J20" s="185">
        <v>0.1011</v>
      </c>
      <c r="K20" s="185">
        <v>9.0899999999999995E-2</v>
      </c>
      <c r="L20" s="185">
        <v>0.14810000000000001</v>
      </c>
      <c r="M20" s="185">
        <v>0.12640000000000001</v>
      </c>
      <c r="N20" s="185">
        <v>0.13730000000000001</v>
      </c>
      <c r="O20" s="185">
        <v>0.14119999999999999</v>
      </c>
      <c r="P20" s="185">
        <v>0.14180000000000001</v>
      </c>
      <c r="Q20" s="185">
        <v>0.13550000000000001</v>
      </c>
      <c r="R20" s="185">
        <v>0.10100000000000001</v>
      </c>
      <c r="S20" s="185">
        <v>0</v>
      </c>
      <c r="T20" s="185">
        <v>0.10100000000000001</v>
      </c>
      <c r="U20" s="185">
        <v>9.0899999999999995E-2</v>
      </c>
      <c r="V20" s="185">
        <v>0.14810000000000001</v>
      </c>
      <c r="W20" s="185">
        <v>0.12640000000000001</v>
      </c>
      <c r="X20" s="185">
        <v>0.13719999999999999</v>
      </c>
      <c r="Y20" s="185">
        <v>0.1439</v>
      </c>
      <c r="Z20" s="185">
        <v>0.1444</v>
      </c>
      <c r="AA20" s="185">
        <v>0.1381</v>
      </c>
      <c r="AB20" s="185">
        <v>0.1467</v>
      </c>
      <c r="AC20" s="185">
        <v>0</v>
      </c>
      <c r="AD20" s="185">
        <v>0.1467</v>
      </c>
      <c r="AE20" s="185">
        <v>0.13619999999999999</v>
      </c>
      <c r="AF20" s="185">
        <v>0.13600000000000001</v>
      </c>
      <c r="AG20" s="185">
        <v>0.1507</v>
      </c>
      <c r="AH20" s="185">
        <v>0.129</v>
      </c>
      <c r="AI20" s="185">
        <v>0.1399</v>
      </c>
      <c r="AJ20" s="185">
        <v>0.14380000000000001</v>
      </c>
      <c r="AK20" s="185">
        <v>0.1444</v>
      </c>
      <c r="AL20" s="185">
        <v>0.1381</v>
      </c>
      <c r="AM20" s="185">
        <v>0.1467</v>
      </c>
      <c r="AN20" s="185">
        <v>0</v>
      </c>
      <c r="AO20" s="185">
        <v>0.1467</v>
      </c>
      <c r="AP20" s="185">
        <v>0.13619999999999999</v>
      </c>
      <c r="AQ20" s="185">
        <v>0.13600000000000001</v>
      </c>
      <c r="AR20" s="185">
        <v>0.1507</v>
      </c>
      <c r="AS20" s="185">
        <v>0.129</v>
      </c>
      <c r="AT20" s="185">
        <v>0.1399</v>
      </c>
      <c r="AU20" s="185">
        <v>0.16819999999999999</v>
      </c>
      <c r="AV20" s="185">
        <v>9.64E-2</v>
      </c>
      <c r="AW20" s="185">
        <v>0.13880000000000001</v>
      </c>
      <c r="AX20" s="185">
        <v>0.16819999999999999</v>
      </c>
      <c r="AY20" s="185">
        <v>8.48E-2</v>
      </c>
      <c r="AZ20" s="185">
        <v>0.13880000000000001</v>
      </c>
      <c r="BA20" s="185">
        <v>0.1709</v>
      </c>
      <c r="BB20" s="185">
        <v>0.1419</v>
      </c>
      <c r="BC20" s="185">
        <v>0.1414</v>
      </c>
      <c r="BD20" s="185">
        <v>0.1709</v>
      </c>
      <c r="BE20" s="185">
        <v>0.14180000000000001</v>
      </c>
      <c r="BF20" s="185">
        <v>0.1414</v>
      </c>
    </row>
    <row r="21" spans="1:58" ht="15" customHeight="1" x14ac:dyDescent="0.35">
      <c r="B21" s="146" t="s">
        <v>151</v>
      </c>
      <c r="C21" s="168" t="s">
        <v>84</v>
      </c>
      <c r="D21" s="221"/>
      <c r="E21" s="266">
        <f t="array" ref="E21">IF(SUMPRODUCT((E16:X16="Renewing")*((E14:X14="Platinum")+(E14:X14="Gold")+(E14:X14="Silver")+(E14:X14="Bronze")+(E14:X14="Catastrophic")))=0, 0, ROUND(ROUND(SUMPRODUCT(1+E20:X20,E34:X34,E35:X35,--(E16:X16="Renewing")*((E14:X14="Platinum")+(E14:X14="Gold")+(E14:X14="Silver")+(E14:X14="Bronze")+(E14:X14="Catastrophic")))/SUMPRODUCT(E34:X34,E35:X35,--(E16:X16="Renewing")*((E14:X14="Platinum")+(E14:X14="Gold")+(E14:X14="Silver")+(E14:X14="Bronze")+(E14:X14="Catastrophic"))), 4)-1, 4))</f>
        <v>0.11849999999999999</v>
      </c>
      <c r="F21" s="267"/>
      <c r="G21" s="267"/>
      <c r="H21" s="267"/>
      <c r="I21" s="267"/>
      <c r="J21" s="267"/>
      <c r="K21" s="267"/>
      <c r="L21" s="267"/>
      <c r="M21" s="267"/>
      <c r="N21" s="267"/>
      <c r="O21" s="267"/>
      <c r="P21" s="267"/>
      <c r="Q21" s="267"/>
      <c r="R21" s="267"/>
      <c r="S21" s="267"/>
      <c r="T21" s="267"/>
      <c r="U21" s="267"/>
      <c r="V21" s="267"/>
      <c r="W21" s="267"/>
      <c r="X21" s="265"/>
      <c r="Y21" s="266">
        <f t="array" ref="Y21">IF(SUMPRODUCT((Y16:AT16="Renewing")*((Y14:AT14="Platinum")+(Y14:AT14="Gold")+(Y14:AT14="Silver")+(Y14:AT14="Bronze")+(Y14:AT14="Catastrophic")))=0, 0, ROUND(ROUND(SUMPRODUCT(1+Y20:AT20,Y34:AT34,Y35:AT35,--(Y16:AT16="Renewing")*((Y14:AT14="Platinum")+(Y14:AT14="Gold")+(Y14:AT14="Silver")+(Y14:AT14="Bronze")+(Y14:AT14="Catastrophic")))/SUMPRODUCT(Y34:AT34,Y35:AT35,--(Y16:AT16="Renewing")*((Y14:AT14="Platinum")+(Y14:AT14="Gold")+(Y14:AT14="Silver")+(Y14:AT14="Bronze")+(Y14:AT14="Catastrophic"))), 4)-1, 4))</f>
        <v>0.1447</v>
      </c>
      <c r="Z21" s="267"/>
      <c r="AA21" s="267"/>
      <c r="AB21" s="267"/>
      <c r="AC21" s="267"/>
      <c r="AD21" s="267"/>
      <c r="AE21" s="267"/>
      <c r="AF21" s="267"/>
      <c r="AG21" s="267"/>
      <c r="AH21" s="267"/>
      <c r="AI21" s="267"/>
      <c r="AJ21" s="267"/>
      <c r="AK21" s="267"/>
      <c r="AL21" s="267"/>
      <c r="AM21" s="267"/>
      <c r="AN21" s="267"/>
      <c r="AO21" s="267"/>
      <c r="AP21" s="267"/>
      <c r="AQ21" s="267"/>
      <c r="AR21" s="267"/>
      <c r="AS21" s="267"/>
      <c r="AT21" s="265"/>
      <c r="AU21" s="266">
        <f t="array" ref="AU21">IF(SUMPRODUCT((AU16:AZ16="Renewing")*((AU14:AZ14="Platinum")+(AU14:AZ14="Gold")+(AU14:AZ14="Silver")+(AU14:AZ14="Bronze")+(AU14:AZ14="Catastrophic")))=0, 0, ROUND(ROUND(SUMPRODUCT(1+AU20:AZ20,AU34:AZ34,AU35:AZ35,--(AU16:AZ16="Renewing")*((AU14:AZ14="Platinum")+(AU14:AZ14="Gold")+(AU14:AZ14="Silver")+(AU14:AZ14="Bronze")+(AU14:AZ14="Catastrophic")))/SUMPRODUCT(AU34:AZ34,AU35:AZ35,--(AU16:AZ16="Renewing")*((AU14:AZ14="Platinum")+(AU14:AZ14="Gold")+(AU14:AZ14="Silver")+(AU14:AZ14="Bronze")+(AU14:AZ14="Catastrophic"))), 4)-1, 4))</f>
        <v>9.9299999999999999E-2</v>
      </c>
      <c r="AV21" s="267"/>
      <c r="AW21" s="267"/>
      <c r="AX21" s="267"/>
      <c r="AY21" s="267"/>
      <c r="AZ21" s="265"/>
      <c r="BA21" s="266">
        <f t="array" ref="BA21">IF(SUMPRODUCT((BA16:BF16="Renewing")*((BA14:BF14="Platinum")+(BA14:BF14="Gold")+(BA14:BF14="Silver")+(BA14:BF14="Bronze")+(BA14:BF14="Catastrophic")))=0, 0, ROUND(ROUND(SUMPRODUCT(1+BA20:BF20,BA34:BF34,BA35:BF35,--(BA16:BF16="Renewing")*((BA14:BF14="Platinum")+(BA14:BF14="Gold")+(BA14:BF14="Silver")+(BA14:BF14="Bronze")+(BA14:BF14="Catastrophic")))/SUMPRODUCT(BA34:BF34,BA35:BF35,--(BA16:BF16="Renewing")*((BA14:BF14="Platinum")+(BA14:BF14="Gold")+(BA14:BF14="Silver")+(BA14:BF14="Bronze")+(BA14:BF14="Catastrophic"))), 4)-1, 4))</f>
        <v>0.14829999999999999</v>
      </c>
      <c r="BB21" s="267"/>
      <c r="BC21" s="267"/>
      <c r="BD21" s="267"/>
      <c r="BE21" s="267"/>
      <c r="BF21" s="265"/>
    </row>
    <row r="22" spans="1:58" ht="15" customHeight="1" x14ac:dyDescent="0.35">
      <c r="B22" s="148" t="s">
        <v>152</v>
      </c>
      <c r="C22" s="139" t="s">
        <v>212</v>
      </c>
      <c r="D22" s="222"/>
      <c r="E22" s="266">
        <f t="array" ref="E22">IF(SUMPRODUCT((E16:BF16="Renewing")*((E14:BF14="Platinum")+(E14:BF14="Gold")+(E14:BF14="Silver")+(E14:BF14="Bronze")+(E14:BF14="Catastrophic")))=0, 0, ROUND(ROUND(SUMPRODUCT(1+E20:BF20,E34:BF34,E35:BF35,--(E16:BF16="Renewing")*((E14:BF14="Platinum")+(E14:BF14="Gold")+(E14:BF14="Silver")+(E14:BF14="Bronze")+(E14:BF14="Catastrophic")))/SUMPRODUCT(E34:BF34,E35:BF35,--(E16:BF16="Renewing")*((E14:BF14="Platinum")+(E14:BF14="Gold")+(E14:BF14="Silver")+(E14:BF14="Bronze")+(E14:BF14="Catastrophic"))), 4)-1, 4))</f>
        <v>0.11600000000000001</v>
      </c>
      <c r="F22" s="267"/>
      <c r="G22" s="267"/>
      <c r="H22" s="267"/>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c r="AG22" s="267"/>
      <c r="AH22" s="267"/>
      <c r="AI22" s="267"/>
      <c r="AJ22" s="267"/>
      <c r="AK22" s="267"/>
      <c r="AL22" s="267"/>
      <c r="AM22" s="267"/>
      <c r="AN22" s="267"/>
      <c r="AO22" s="267"/>
      <c r="AP22" s="267"/>
      <c r="AQ22" s="267"/>
      <c r="AR22" s="267"/>
      <c r="AS22" s="267"/>
      <c r="AT22" s="267"/>
      <c r="AU22" s="267"/>
      <c r="AV22" s="267"/>
      <c r="AW22" s="267"/>
      <c r="AX22" s="267"/>
      <c r="AY22" s="267"/>
      <c r="AZ22" s="267"/>
      <c r="BA22" s="267"/>
      <c r="BB22" s="267"/>
      <c r="BC22" s="267"/>
      <c r="BD22" s="267"/>
      <c r="BE22" s="267"/>
      <c r="BF22" s="265"/>
    </row>
    <row r="23" spans="1:58" ht="15" customHeight="1" x14ac:dyDescent="0.35">
      <c r="E23" s="73"/>
      <c r="F23" s="73"/>
      <c r="G23" s="73"/>
      <c r="H23" s="73"/>
      <c r="I23" s="73"/>
      <c r="J23" s="73"/>
      <c r="K23" s="73"/>
      <c r="L23" s="73"/>
      <c r="M23" s="73"/>
      <c r="N23" s="73"/>
      <c r="O23" s="73"/>
      <c r="P23" s="73"/>
      <c r="Q23" s="73"/>
      <c r="R23" s="73"/>
      <c r="S23" s="73"/>
      <c r="T23" s="73"/>
      <c r="U23" s="73"/>
      <c r="V23" s="73"/>
      <c r="W23" s="73"/>
      <c r="X23" s="73"/>
      <c r="Y23" s="73"/>
      <c r="Z23" s="73"/>
      <c r="AA23" s="73"/>
      <c r="AB23" s="73"/>
      <c r="AC23" s="73"/>
      <c r="AD23" s="73"/>
      <c r="AE23" s="73"/>
      <c r="AF23" s="73"/>
      <c r="AG23" s="73"/>
      <c r="AH23" s="73"/>
      <c r="AI23" s="73"/>
      <c r="AJ23" s="73"/>
      <c r="AK23" s="73"/>
      <c r="AL23" s="73"/>
      <c r="AM23" s="73"/>
      <c r="AN23" s="73"/>
      <c r="AO23" s="73"/>
      <c r="AP23" s="73"/>
      <c r="AQ23" s="73"/>
      <c r="AR23" s="73"/>
      <c r="AS23" s="73"/>
      <c r="AT23" s="73"/>
      <c r="AU23" s="73"/>
      <c r="AV23" s="73"/>
      <c r="AW23" s="73"/>
      <c r="AX23" s="73"/>
      <c r="AY23" s="73"/>
      <c r="AZ23" s="73"/>
      <c r="BA23" s="73"/>
      <c r="BB23" s="73"/>
      <c r="BC23" s="73"/>
      <c r="BD23" s="73"/>
      <c r="BE23" s="73"/>
      <c r="BF23" s="73"/>
    </row>
    <row r="24" spans="1:58" ht="15" customHeight="1" x14ac:dyDescent="0.35">
      <c r="A24" s="71" t="s">
        <v>119</v>
      </c>
      <c r="C24" s="19" t="s">
        <v>110</v>
      </c>
      <c r="D24" s="19"/>
      <c r="E24" s="17"/>
      <c r="F24" s="17"/>
      <c r="G24" s="17"/>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row>
    <row r="25" spans="1:58" ht="15" customHeight="1" x14ac:dyDescent="0.35">
      <c r="A25" s="149"/>
      <c r="B25" s="146" t="s">
        <v>162</v>
      </c>
      <c r="C25" s="152" t="s">
        <v>106</v>
      </c>
      <c r="D25" s="150" t="s">
        <v>2</v>
      </c>
      <c r="E25" s="90" t="str">
        <f>IF(E13&lt;&gt;"",E13,"")</f>
        <v>89942GA0050002</v>
      </c>
      <c r="F25" s="90" t="str">
        <f>IF(F13&lt;&gt;"",F13,"")</f>
        <v>89942GA0050012</v>
      </c>
      <c r="G25" s="90" t="str">
        <f>IF(G13&lt;&gt;"",G13,"")</f>
        <v>89942GA0050026</v>
      </c>
      <c r="H25" s="90" t="str">
        <f>IF(H13&lt;&gt;"",H13,"")</f>
        <v>89942GA0050005</v>
      </c>
      <c r="I25" s="90" t="str">
        <f>IF(I13&lt;&gt;"",I13,"")</f>
        <v>89942GA0050006</v>
      </c>
      <c r="J25" s="90" t="str">
        <f>IF(J13&lt;&gt;"",J13,"")</f>
        <v>89942GA0050024</v>
      </c>
      <c r="K25" s="90" t="str">
        <f>IF(K13&lt;&gt;"",K13,"")</f>
        <v>89942GA0050030</v>
      </c>
      <c r="L25" s="90" t="str">
        <f>IF(L13&lt;&gt;"",L13,"")</f>
        <v>89942GA0050007</v>
      </c>
      <c r="M25" s="90" t="str">
        <f>IF(M13&lt;&gt;"",M13,"")</f>
        <v>89942GA0050009</v>
      </c>
      <c r="N25" s="90" t="str">
        <f>IF(N13&lt;&gt;"",N13,"")</f>
        <v>89942GA0050010</v>
      </c>
      <c r="O25" s="90" t="str">
        <f>IF(O13&lt;&gt;"",O13,"")</f>
        <v>89942GA0050016</v>
      </c>
      <c r="P25" s="90" t="str">
        <f>IF(P13&lt;&gt;"",P13,"")</f>
        <v>89942GA0050022</v>
      </c>
      <c r="Q25" s="90" t="str">
        <f>IF(Q13&lt;&gt;"",Q13,"")</f>
        <v>89942GA0050027</v>
      </c>
      <c r="R25" s="90" t="str">
        <f>IF(R13&lt;&gt;"",R13,"")</f>
        <v>89942GA0050017</v>
      </c>
      <c r="S25" s="90" t="str">
        <f>IF(S13&lt;&gt;"",S13,"")</f>
        <v>89942GA0050018</v>
      </c>
      <c r="T25" s="90" t="str">
        <f>IF(T13&lt;&gt;"",T13,"")</f>
        <v>89942GA0050025</v>
      </c>
      <c r="U25" s="90" t="str">
        <f>IF(U13&lt;&gt;"",U13,"")</f>
        <v>89942GA0050031</v>
      </c>
      <c r="V25" s="90" t="str">
        <f>IF(V13&lt;&gt;"",V13,"")</f>
        <v>89942GA0050019</v>
      </c>
      <c r="W25" s="90" t="str">
        <f>IF(W13&lt;&gt;"",W13,"")</f>
        <v>89942GA0050020</v>
      </c>
      <c r="X25" s="90" t="str">
        <f>IF(X13&lt;&gt;"",X13,"")</f>
        <v>89942GA0050021</v>
      </c>
      <c r="Y25" s="90" t="str">
        <f>IF(Y13&lt;&gt;"",Y13,"")</f>
        <v>89942GA0070002</v>
      </c>
      <c r="Z25" s="90" t="str">
        <f>IF(Z13&lt;&gt;"",Z13,"")</f>
        <v>89942GA0070012</v>
      </c>
      <c r="AA25" s="90" t="str">
        <f>IF(AA13&lt;&gt;"",AA13,"")</f>
        <v>89942GA0070026</v>
      </c>
      <c r="AB25" s="90" t="str">
        <f>IF(AB13&lt;&gt;"",AB13,"")</f>
        <v>89942GA0070005</v>
      </c>
      <c r="AC25" s="90" t="str">
        <f>IF(AC13&lt;&gt;"",AC13,"")</f>
        <v>89942GA0070006</v>
      </c>
      <c r="AD25" s="90" t="str">
        <f>IF(AD13&lt;&gt;"",AD13,"")</f>
        <v>89942GA0070024</v>
      </c>
      <c r="AE25" s="90" t="str">
        <f>IF(AE13&lt;&gt;"",AE13,"")</f>
        <v>89942GA0070030</v>
      </c>
      <c r="AF25" s="90" t="str">
        <f>IF(AF13&lt;&gt;"",AF13,"")</f>
        <v>89942GA0070032</v>
      </c>
      <c r="AG25" s="90" t="str">
        <f>IF(AG13&lt;&gt;"",AG13,"")</f>
        <v>89942GA0070007</v>
      </c>
      <c r="AH25" s="90" t="str">
        <f>IF(AH13&lt;&gt;"",AH13,"")</f>
        <v>89942GA0070009</v>
      </c>
      <c r="AI25" s="90" t="str">
        <f>IF(AI13&lt;&gt;"",AI13,"")</f>
        <v>89942GA0070010</v>
      </c>
      <c r="AJ25" s="90" t="str">
        <f>IF(AJ13&lt;&gt;"",AJ13,"")</f>
        <v>89942GA0070016</v>
      </c>
      <c r="AK25" s="90" t="str">
        <f>IF(AK13&lt;&gt;"",AK13,"")</f>
        <v>89942GA0070022</v>
      </c>
      <c r="AL25" s="90" t="str">
        <f>IF(AL13&lt;&gt;"",AL13,"")</f>
        <v>89942GA0070027</v>
      </c>
      <c r="AM25" s="90" t="str">
        <f>IF(AM13&lt;&gt;"",AM13,"")</f>
        <v>89942GA0070017</v>
      </c>
      <c r="AN25" s="90" t="str">
        <f>IF(AN13&lt;&gt;"",AN13,"")</f>
        <v>89942GA0070018</v>
      </c>
      <c r="AO25" s="90" t="str">
        <f>IF(AO13&lt;&gt;"",AO13,"")</f>
        <v>89942GA0070025</v>
      </c>
      <c r="AP25" s="90" t="str">
        <f>IF(AP13&lt;&gt;"",AP13,"")</f>
        <v>89942GA0070031</v>
      </c>
      <c r="AQ25" s="90" t="str">
        <f>IF(AQ13&lt;&gt;"",AQ13,"")</f>
        <v>89942GA0070033</v>
      </c>
      <c r="AR25" s="90" t="str">
        <f>IF(AR13&lt;&gt;"",AR13,"")</f>
        <v>89942GA0070019</v>
      </c>
      <c r="AS25" s="90" t="str">
        <f>IF(AS13&lt;&gt;"",AS13,"")</f>
        <v>89942GA0070020</v>
      </c>
      <c r="AT25" s="90" t="str">
        <f>IF(AT13&lt;&gt;"",AT13,"")</f>
        <v>89942GA0070021</v>
      </c>
      <c r="AU25" s="90" t="str">
        <f>IF(AU13&lt;&gt;"",AU13,"")</f>
        <v>89942GA0130001</v>
      </c>
      <c r="AV25" s="90" t="str">
        <f>IF(AV13&lt;&gt;"",AV13,"")</f>
        <v>89942GA0130003</v>
      </c>
      <c r="AW25" s="90" t="str">
        <f>IF(AW13&lt;&gt;"",AW13,"")</f>
        <v>89942GA0130005</v>
      </c>
      <c r="AX25" s="90" t="str">
        <f>IF(AX13&lt;&gt;"",AX13,"")</f>
        <v>89942GA0130002</v>
      </c>
      <c r="AY25" s="90" t="str">
        <f>IF(AY13&lt;&gt;"",AY13,"")</f>
        <v>89942GA0130004</v>
      </c>
      <c r="AZ25" s="90" t="str">
        <f>IF(AZ13&lt;&gt;"",AZ13,"")</f>
        <v>89942GA0130006</v>
      </c>
      <c r="BA25" s="90" t="str">
        <f>IF(BA13&lt;&gt;"",BA13,"")</f>
        <v>89942GA0150001</v>
      </c>
      <c r="BB25" s="90" t="str">
        <f>IF(BB13&lt;&gt;"",BB13,"")</f>
        <v>89942GA0150003</v>
      </c>
      <c r="BC25" s="90" t="str">
        <f>IF(BC13&lt;&gt;"",BC13,"")</f>
        <v>89942GA0150005</v>
      </c>
      <c r="BD25" s="90" t="str">
        <f>IF(BD13&lt;&gt;"",BD13,"")</f>
        <v>89942GA0150002</v>
      </c>
      <c r="BE25" s="90" t="str">
        <f>IF(BE13&lt;&gt;"",BE13,"")</f>
        <v>89942GA0150004</v>
      </c>
      <c r="BF25" s="90" t="str">
        <f>IF(BF13&lt;&gt;"",BF13,"")</f>
        <v>89942GA0150006</v>
      </c>
    </row>
    <row r="26" spans="1:58" ht="15" customHeight="1" x14ac:dyDescent="0.35">
      <c r="A26" s="151">
        <f>'Wksh 1 - Market Experience'!E14</f>
        <v>380449776.14999998</v>
      </c>
      <c r="B26" s="146" t="s">
        <v>163</v>
      </c>
      <c r="C26" s="200" t="s">
        <v>86</v>
      </c>
      <c r="D26" s="198">
        <f>SUM(E26:BF26)</f>
        <v>364413843</v>
      </c>
      <c r="E26" s="187">
        <v>8749561</v>
      </c>
      <c r="F26" s="187">
        <v>3691507</v>
      </c>
      <c r="G26" s="187">
        <v>3194274</v>
      </c>
      <c r="H26" s="187">
        <v>3156701</v>
      </c>
      <c r="I26" s="187">
        <v>1467037</v>
      </c>
      <c r="J26" s="187">
        <v>13464674</v>
      </c>
      <c r="K26" s="187">
        <v>6461185</v>
      </c>
      <c r="L26" s="187">
        <v>7546959</v>
      </c>
      <c r="M26" s="187">
        <v>2818958</v>
      </c>
      <c r="N26" s="187">
        <v>490201</v>
      </c>
      <c r="O26" s="187">
        <v>27704860</v>
      </c>
      <c r="P26" s="187">
        <v>17596252</v>
      </c>
      <c r="Q26" s="187">
        <v>18391575</v>
      </c>
      <c r="R26" s="187">
        <v>16009044</v>
      </c>
      <c r="S26" s="187">
        <v>7438111</v>
      </c>
      <c r="T26" s="187">
        <v>89105676</v>
      </c>
      <c r="U26" s="187">
        <v>43303118</v>
      </c>
      <c r="V26" s="187">
        <v>26161164</v>
      </c>
      <c r="W26" s="187">
        <v>15693856</v>
      </c>
      <c r="X26" s="187">
        <v>1071281</v>
      </c>
      <c r="Y26" s="187">
        <v>2362200</v>
      </c>
      <c r="Z26" s="187">
        <v>1244882</v>
      </c>
      <c r="AA26" s="187">
        <v>109225</v>
      </c>
      <c r="AB26" s="187">
        <v>1500403</v>
      </c>
      <c r="AC26" s="187">
        <v>618287</v>
      </c>
      <c r="AD26" s="187">
        <v>1066345</v>
      </c>
      <c r="AE26" s="187">
        <v>408221</v>
      </c>
      <c r="AF26" s="187">
        <v>0</v>
      </c>
      <c r="AG26" s="187">
        <v>2199521</v>
      </c>
      <c r="AH26" s="187">
        <v>343797</v>
      </c>
      <c r="AI26" s="187">
        <v>31241</v>
      </c>
      <c r="AJ26" s="187">
        <v>12960329</v>
      </c>
      <c r="AK26" s="187">
        <v>4586672</v>
      </c>
      <c r="AL26" s="187">
        <v>983812</v>
      </c>
      <c r="AM26" s="187">
        <v>4169182</v>
      </c>
      <c r="AN26" s="187">
        <v>765785</v>
      </c>
      <c r="AO26" s="187">
        <v>5410408</v>
      </c>
      <c r="AP26" s="187">
        <v>311711</v>
      </c>
      <c r="AQ26" s="187">
        <v>0</v>
      </c>
      <c r="AR26" s="187">
        <v>9223462</v>
      </c>
      <c r="AS26" s="187">
        <v>2481155</v>
      </c>
      <c r="AT26" s="187">
        <v>121211</v>
      </c>
      <c r="AU26" s="187">
        <v>0</v>
      </c>
      <c r="AV26" s="187">
        <v>0</v>
      </c>
      <c r="AW26" s="187">
        <v>0</v>
      </c>
      <c r="AX26" s="187">
        <v>0</v>
      </c>
      <c r="AY26" s="187">
        <v>0</v>
      </c>
      <c r="AZ26" s="187">
        <v>0</v>
      </c>
      <c r="BA26" s="187">
        <v>0</v>
      </c>
      <c r="BB26" s="187">
        <v>0</v>
      </c>
      <c r="BC26" s="187">
        <v>0</v>
      </c>
      <c r="BD26" s="187">
        <v>0</v>
      </c>
      <c r="BE26" s="187">
        <v>0</v>
      </c>
      <c r="BF26" s="187">
        <v>0</v>
      </c>
    </row>
    <row r="27" spans="1:58" ht="15" customHeight="1" x14ac:dyDescent="0.35">
      <c r="A27" s="153">
        <f>'Wksh 1 - Market Experience'!E15</f>
        <v>-8416979</v>
      </c>
      <c r="B27" s="146" t="s">
        <v>164</v>
      </c>
      <c r="C27" s="200" t="s">
        <v>87</v>
      </c>
      <c r="D27" s="198">
        <f>SUM(E27:BF27)</f>
        <v>8416979</v>
      </c>
      <c r="E27" s="187">
        <v>565836</v>
      </c>
      <c r="F27" s="187">
        <v>192805</v>
      </c>
      <c r="G27" s="187">
        <v>146843</v>
      </c>
      <c r="H27" s="187">
        <v>87038</v>
      </c>
      <c r="I27" s="187">
        <v>18563</v>
      </c>
      <c r="J27" s="187">
        <v>50125</v>
      </c>
      <c r="K27" s="187">
        <v>0</v>
      </c>
      <c r="L27" s="187">
        <v>356144</v>
      </c>
      <c r="M27" s="187">
        <v>60628</v>
      </c>
      <c r="N27" s="187">
        <v>37465</v>
      </c>
      <c r="O27" s="187">
        <v>1101175</v>
      </c>
      <c r="P27" s="187">
        <v>857209</v>
      </c>
      <c r="Q27" s="187">
        <v>634706</v>
      </c>
      <c r="R27" s="187">
        <v>145910</v>
      </c>
      <c r="S27" s="187">
        <v>50383</v>
      </c>
      <c r="T27" s="187">
        <v>344584</v>
      </c>
      <c r="U27" s="187">
        <v>15329</v>
      </c>
      <c r="V27" s="187">
        <v>759482</v>
      </c>
      <c r="W27" s="187">
        <v>635970</v>
      </c>
      <c r="X27" s="187">
        <v>26662</v>
      </c>
      <c r="Y27" s="187">
        <v>81709</v>
      </c>
      <c r="Z27" s="187">
        <v>104721</v>
      </c>
      <c r="AA27" s="187">
        <v>0</v>
      </c>
      <c r="AB27" s="187">
        <v>90365</v>
      </c>
      <c r="AC27" s="187">
        <v>62784</v>
      </c>
      <c r="AD27" s="187">
        <v>25684</v>
      </c>
      <c r="AE27" s="187">
        <v>31020</v>
      </c>
      <c r="AF27" s="187">
        <v>0</v>
      </c>
      <c r="AG27" s="187">
        <v>133055</v>
      </c>
      <c r="AH27" s="187">
        <v>985</v>
      </c>
      <c r="AI27" s="187">
        <v>0</v>
      </c>
      <c r="AJ27" s="187">
        <v>576827</v>
      </c>
      <c r="AK27" s="187">
        <v>353262</v>
      </c>
      <c r="AL27" s="187">
        <v>63965</v>
      </c>
      <c r="AM27" s="187">
        <v>165765</v>
      </c>
      <c r="AN27" s="187">
        <v>10165</v>
      </c>
      <c r="AO27" s="187">
        <v>183152</v>
      </c>
      <c r="AP27" s="187">
        <v>0</v>
      </c>
      <c r="AQ27" s="187">
        <v>0</v>
      </c>
      <c r="AR27" s="187">
        <v>392363</v>
      </c>
      <c r="AS27" s="187">
        <v>54300</v>
      </c>
      <c r="AT27" s="187">
        <v>0</v>
      </c>
      <c r="AU27" s="187">
        <v>0</v>
      </c>
      <c r="AV27" s="187">
        <v>0</v>
      </c>
      <c r="AW27" s="187">
        <v>0</v>
      </c>
      <c r="AX27" s="187">
        <v>0</v>
      </c>
      <c r="AY27" s="187">
        <v>0</v>
      </c>
      <c r="AZ27" s="187">
        <v>0</v>
      </c>
      <c r="BA27" s="187">
        <v>0</v>
      </c>
      <c r="BB27" s="187">
        <v>0</v>
      </c>
      <c r="BC27" s="187">
        <v>0</v>
      </c>
      <c r="BD27" s="187">
        <v>0</v>
      </c>
      <c r="BE27" s="187">
        <v>0</v>
      </c>
      <c r="BF27" s="187">
        <v>0</v>
      </c>
    </row>
    <row r="28" spans="1:58" ht="15" customHeight="1" x14ac:dyDescent="0.35">
      <c r="A28" s="154"/>
      <c r="B28" s="146" t="s">
        <v>165</v>
      </c>
      <c r="C28" s="147" t="s">
        <v>111</v>
      </c>
      <c r="D28" s="201">
        <f>SUM(E28:BF28)</f>
        <v>59790227</v>
      </c>
      <c r="E28" s="187">
        <v>653343</v>
      </c>
      <c r="F28" s="187">
        <v>411230</v>
      </c>
      <c r="G28" s="187">
        <v>445354</v>
      </c>
      <c r="H28" s="187">
        <v>299467</v>
      </c>
      <c r="I28" s="187">
        <v>218670</v>
      </c>
      <c r="J28" s="187">
        <v>2252852</v>
      </c>
      <c r="K28" s="187">
        <v>0</v>
      </c>
      <c r="L28" s="187">
        <v>2466294</v>
      </c>
      <c r="M28" s="187">
        <v>918299</v>
      </c>
      <c r="N28" s="187">
        <v>182569</v>
      </c>
      <c r="O28" s="187">
        <v>2018654</v>
      </c>
      <c r="P28" s="187">
        <v>1953428</v>
      </c>
      <c r="Q28" s="187">
        <v>2535112</v>
      </c>
      <c r="R28" s="187">
        <v>1467933</v>
      </c>
      <c r="S28" s="187">
        <v>1005242</v>
      </c>
      <c r="T28" s="187">
        <v>13526594</v>
      </c>
      <c r="U28" s="187">
        <v>5597335</v>
      </c>
      <c r="V28" s="187">
        <v>8397275</v>
      </c>
      <c r="W28" s="187">
        <v>5211821</v>
      </c>
      <c r="X28" s="187">
        <v>379226</v>
      </c>
      <c r="Y28" s="187">
        <v>171233</v>
      </c>
      <c r="Z28" s="187">
        <v>143029</v>
      </c>
      <c r="AA28" s="187">
        <v>14535</v>
      </c>
      <c r="AB28" s="187">
        <v>297309</v>
      </c>
      <c r="AC28" s="187">
        <v>156967</v>
      </c>
      <c r="AD28" s="187">
        <v>254787</v>
      </c>
      <c r="AE28" s="187">
        <v>121006</v>
      </c>
      <c r="AF28" s="187">
        <v>0</v>
      </c>
      <c r="AG28" s="187">
        <v>728241</v>
      </c>
      <c r="AH28" s="187">
        <v>109877</v>
      </c>
      <c r="AI28" s="187">
        <v>10781</v>
      </c>
      <c r="AJ28" s="187">
        <v>948803</v>
      </c>
      <c r="AK28" s="187">
        <v>523411</v>
      </c>
      <c r="AL28" s="187">
        <v>139751</v>
      </c>
      <c r="AM28" s="187">
        <v>809632</v>
      </c>
      <c r="AN28" s="187">
        <v>178312</v>
      </c>
      <c r="AO28" s="187">
        <v>1305507</v>
      </c>
      <c r="AP28" s="187">
        <v>85649</v>
      </c>
      <c r="AQ28" s="187">
        <v>0</v>
      </c>
      <c r="AR28" s="187">
        <v>3000304</v>
      </c>
      <c r="AS28" s="187">
        <v>808567</v>
      </c>
      <c r="AT28" s="187">
        <v>41828</v>
      </c>
      <c r="AU28" s="187">
        <v>0</v>
      </c>
      <c r="AV28" s="187">
        <v>0</v>
      </c>
      <c r="AW28" s="187">
        <v>0</v>
      </c>
      <c r="AX28" s="187">
        <v>0</v>
      </c>
      <c r="AY28" s="187">
        <v>0</v>
      </c>
      <c r="AZ28" s="187">
        <v>0</v>
      </c>
      <c r="BA28" s="187">
        <v>0</v>
      </c>
      <c r="BB28" s="187">
        <v>0</v>
      </c>
      <c r="BC28" s="187">
        <v>0</v>
      </c>
      <c r="BD28" s="187">
        <v>0</v>
      </c>
      <c r="BE28" s="187">
        <v>0</v>
      </c>
      <c r="BF28" s="187">
        <v>0</v>
      </c>
    </row>
    <row r="29" spans="1:58" ht="15" customHeight="1" x14ac:dyDescent="0.35">
      <c r="A29" s="154"/>
      <c r="B29" s="146" t="s">
        <v>166</v>
      </c>
      <c r="C29" s="156" t="s">
        <v>112</v>
      </c>
      <c r="D29" s="201">
        <f>SUM(E29:BF29)</f>
        <v>0</v>
      </c>
      <c r="E29" s="187">
        <v>0</v>
      </c>
      <c r="F29" s="187">
        <v>0</v>
      </c>
      <c r="G29" s="187">
        <v>0</v>
      </c>
      <c r="H29" s="187">
        <v>0</v>
      </c>
      <c r="I29" s="187">
        <v>0</v>
      </c>
      <c r="J29" s="187">
        <v>0</v>
      </c>
      <c r="K29" s="187">
        <v>0</v>
      </c>
      <c r="L29" s="187">
        <v>0</v>
      </c>
      <c r="M29" s="187">
        <v>0</v>
      </c>
      <c r="N29" s="187">
        <v>0</v>
      </c>
      <c r="O29" s="187">
        <v>0</v>
      </c>
      <c r="P29" s="187">
        <v>0</v>
      </c>
      <c r="Q29" s="187">
        <v>0</v>
      </c>
      <c r="R29" s="187">
        <v>0</v>
      </c>
      <c r="S29" s="187">
        <v>0</v>
      </c>
      <c r="T29" s="187">
        <v>0</v>
      </c>
      <c r="U29" s="187">
        <v>0</v>
      </c>
      <c r="V29" s="187">
        <v>0</v>
      </c>
      <c r="W29" s="187">
        <v>0</v>
      </c>
      <c r="X29" s="187">
        <v>0</v>
      </c>
      <c r="Y29" s="187">
        <v>0</v>
      </c>
      <c r="Z29" s="187">
        <v>0</v>
      </c>
      <c r="AA29" s="187">
        <v>0</v>
      </c>
      <c r="AB29" s="187">
        <v>0</v>
      </c>
      <c r="AC29" s="187">
        <v>0</v>
      </c>
      <c r="AD29" s="187">
        <v>0</v>
      </c>
      <c r="AE29" s="187">
        <v>0</v>
      </c>
      <c r="AF29" s="187">
        <v>0</v>
      </c>
      <c r="AG29" s="187">
        <v>0</v>
      </c>
      <c r="AH29" s="187">
        <v>0</v>
      </c>
      <c r="AI29" s="187">
        <v>0</v>
      </c>
      <c r="AJ29" s="187">
        <v>0</v>
      </c>
      <c r="AK29" s="187">
        <v>0</v>
      </c>
      <c r="AL29" s="187">
        <v>0</v>
      </c>
      <c r="AM29" s="187">
        <v>0</v>
      </c>
      <c r="AN29" s="187">
        <v>0</v>
      </c>
      <c r="AO29" s="187">
        <v>0</v>
      </c>
      <c r="AP29" s="187">
        <v>0</v>
      </c>
      <c r="AQ29" s="187">
        <v>0</v>
      </c>
      <c r="AR29" s="187">
        <v>0</v>
      </c>
      <c r="AS29" s="187">
        <v>0</v>
      </c>
      <c r="AT29" s="187">
        <v>0</v>
      </c>
      <c r="AU29" s="187">
        <v>0</v>
      </c>
      <c r="AV29" s="187">
        <v>0</v>
      </c>
      <c r="AW29" s="187">
        <v>0</v>
      </c>
      <c r="AX29" s="187">
        <v>0</v>
      </c>
      <c r="AY29" s="187">
        <v>0</v>
      </c>
      <c r="AZ29" s="187">
        <v>0</v>
      </c>
      <c r="BA29" s="187">
        <v>0</v>
      </c>
      <c r="BB29" s="187">
        <v>0</v>
      </c>
      <c r="BC29" s="187">
        <v>0</v>
      </c>
      <c r="BD29" s="187">
        <v>0</v>
      </c>
      <c r="BE29" s="187">
        <v>0</v>
      </c>
      <c r="BF29" s="187">
        <v>0</v>
      </c>
    </row>
    <row r="30" spans="1:58" ht="15" customHeight="1" x14ac:dyDescent="0.35">
      <c r="A30" s="153">
        <f>'Wksh 1 - Market Experience'!E16</f>
        <v>303743701.77999997</v>
      </c>
      <c r="B30" s="146" t="s">
        <v>167</v>
      </c>
      <c r="C30" s="147" t="s">
        <v>113</v>
      </c>
      <c r="D30" s="201">
        <f>D26-D27-D28-D29</f>
        <v>296206637</v>
      </c>
      <c r="E30" s="217">
        <f>E26-E27-E28-E29</f>
        <v>7530382</v>
      </c>
      <c r="F30" s="217">
        <f>F26-F27-F28-F29</f>
        <v>3087472</v>
      </c>
      <c r="G30" s="217">
        <f>G26-G27-G28-G29</f>
        <v>2602077</v>
      </c>
      <c r="H30" s="217">
        <f>H26-H27-H28-H29</f>
        <v>2770196</v>
      </c>
      <c r="I30" s="217">
        <f>I26-I27-I28-I29</f>
        <v>1229804</v>
      </c>
      <c r="J30" s="217">
        <f>J26-J27-J28-J29</f>
        <v>11161697</v>
      </c>
      <c r="K30" s="217">
        <f>K26-K27-K28-K29</f>
        <v>6461185</v>
      </c>
      <c r="L30" s="217">
        <f>L26-L27-L28-L29</f>
        <v>4724521</v>
      </c>
      <c r="M30" s="217">
        <f>M26-M27-M28-M29</f>
        <v>1840031</v>
      </c>
      <c r="N30" s="217">
        <f>N26-N27-N28-N29</f>
        <v>270167</v>
      </c>
      <c r="O30" s="217">
        <f>O26-O27-O28-O29</f>
        <v>24585031</v>
      </c>
      <c r="P30" s="217">
        <f>P26-P27-P28-P29</f>
        <v>14785615</v>
      </c>
      <c r="Q30" s="217">
        <f>Q26-Q27-Q28-Q29</f>
        <v>15221757</v>
      </c>
      <c r="R30" s="217">
        <f>R26-R27-R28-R29</f>
        <v>14395201</v>
      </c>
      <c r="S30" s="217">
        <f>S26-S27-S28-S29</f>
        <v>6382486</v>
      </c>
      <c r="T30" s="217">
        <f>T26-T27-T28-T29</f>
        <v>75234498</v>
      </c>
      <c r="U30" s="217">
        <f>U26-U27-U28-U29</f>
        <v>37690454</v>
      </c>
      <c r="V30" s="217">
        <f>V26-V27-V28-V29</f>
        <v>17004407</v>
      </c>
      <c r="W30" s="217">
        <f>W26-W27-W28-W29</f>
        <v>9846065</v>
      </c>
      <c r="X30" s="217">
        <f>X26-X27-X28-X29</f>
        <v>665393</v>
      </c>
      <c r="Y30" s="217">
        <f>Y26-Y27-Y28-Y29</f>
        <v>2109258</v>
      </c>
      <c r="Z30" s="217">
        <f>Z26-Z27-Z28-Z29</f>
        <v>997132</v>
      </c>
      <c r="AA30" s="217">
        <f>AA26-AA27-AA28-AA29</f>
        <v>94690</v>
      </c>
      <c r="AB30" s="217">
        <f>AB26-AB27-AB28-AB29</f>
        <v>1112729</v>
      </c>
      <c r="AC30" s="217">
        <f>AC26-AC27-AC28-AC29</f>
        <v>398536</v>
      </c>
      <c r="AD30" s="217">
        <f>AD26-AD27-AD28-AD29</f>
        <v>785874</v>
      </c>
      <c r="AE30" s="217">
        <f>AE26-AE27-AE28-AE29</f>
        <v>256195</v>
      </c>
      <c r="AF30" s="217">
        <f>AF26-AF27-AF28-AF29</f>
        <v>0</v>
      </c>
      <c r="AG30" s="217">
        <f>AG26-AG27-AG28-AG29</f>
        <v>1338225</v>
      </c>
      <c r="AH30" s="217">
        <f>AH26-AH27-AH28-AH29</f>
        <v>232935</v>
      </c>
      <c r="AI30" s="217">
        <f>AI26-AI27-AI28-AI29</f>
        <v>20460</v>
      </c>
      <c r="AJ30" s="217">
        <f>AJ26-AJ27-AJ28-AJ29</f>
        <v>11434699</v>
      </c>
      <c r="AK30" s="217">
        <f>AK26-AK27-AK28-AK29</f>
        <v>3709999</v>
      </c>
      <c r="AL30" s="217">
        <f>AL26-AL27-AL28-AL29</f>
        <v>780096</v>
      </c>
      <c r="AM30" s="217">
        <f>AM26-AM27-AM28-AM29</f>
        <v>3193785</v>
      </c>
      <c r="AN30" s="217">
        <f>AN26-AN27-AN28-AN29</f>
        <v>577308</v>
      </c>
      <c r="AO30" s="217">
        <f>AO26-AO27-AO28-AO29</f>
        <v>3921749</v>
      </c>
      <c r="AP30" s="217">
        <f>AP26-AP27-AP28-AP29</f>
        <v>226062</v>
      </c>
      <c r="AQ30" s="217">
        <f>AQ26-AQ27-AQ28-AQ29</f>
        <v>0</v>
      </c>
      <c r="AR30" s="217">
        <f>AR26-AR27-AR28-AR29</f>
        <v>5830795</v>
      </c>
      <c r="AS30" s="217">
        <f>AS26-AS27-AS28-AS29</f>
        <v>1618288</v>
      </c>
      <c r="AT30" s="217">
        <f>AT26-AT27-AT28-AT29</f>
        <v>79383</v>
      </c>
      <c r="AU30" s="217">
        <f>AU26-AU27-AU28-AU29</f>
        <v>0</v>
      </c>
      <c r="AV30" s="217">
        <f>AV26-AV27-AV28-AV29</f>
        <v>0</v>
      </c>
      <c r="AW30" s="217">
        <f>AW26-AW27-AW28-AW29</f>
        <v>0</v>
      </c>
      <c r="AX30" s="217">
        <f>AX26-AX27-AX28-AX29</f>
        <v>0</v>
      </c>
      <c r="AY30" s="217">
        <f>AY26-AY27-AY28-AY29</f>
        <v>0</v>
      </c>
      <c r="AZ30" s="217">
        <f>AZ26-AZ27-AZ28-AZ29</f>
        <v>0</v>
      </c>
      <c r="BA30" s="217">
        <f>BA26-BA27-BA28-BA29</f>
        <v>0</v>
      </c>
      <c r="BB30" s="217">
        <f>BB26-BB27-BB28-BB29</f>
        <v>0</v>
      </c>
      <c r="BC30" s="217">
        <f>BC26-BC27-BC28-BC29</f>
        <v>0</v>
      </c>
      <c r="BD30" s="217">
        <f>BD26-BD27-BD28-BD29</f>
        <v>0</v>
      </c>
      <c r="BE30" s="217">
        <f>BE26-BE27-BE28-BE29</f>
        <v>0</v>
      </c>
      <c r="BF30" s="217">
        <f>BF26-BF27-BF28-BF29</f>
        <v>0</v>
      </c>
    </row>
    <row r="31" spans="1:58" ht="15" customHeight="1" x14ac:dyDescent="0.35">
      <c r="A31" s="153">
        <f>'Wksh 1 - Market Experience'!E17</f>
        <v>-29270000</v>
      </c>
      <c r="B31" s="146" t="s">
        <v>168</v>
      </c>
      <c r="C31" s="156" t="s">
        <v>114</v>
      </c>
      <c r="D31" s="201">
        <f>SUM(E31:BF31)</f>
        <v>-29270004</v>
      </c>
      <c r="E31" s="187">
        <v>-418200</v>
      </c>
      <c r="F31" s="187">
        <v>-209517</v>
      </c>
      <c r="G31" s="187">
        <v>-257486</v>
      </c>
      <c r="H31" s="187">
        <v>-116450</v>
      </c>
      <c r="I31" s="187">
        <v>-119922</v>
      </c>
      <c r="J31" s="187">
        <v>-663972</v>
      </c>
      <c r="K31" s="187">
        <v>-396855</v>
      </c>
      <c r="L31" s="187">
        <v>-585953</v>
      </c>
      <c r="M31" s="187">
        <v>-317308</v>
      </c>
      <c r="N31" s="187">
        <v>-26114</v>
      </c>
      <c r="O31" s="187">
        <v>-2062156</v>
      </c>
      <c r="P31" s="187">
        <v>-1068930</v>
      </c>
      <c r="Q31" s="187">
        <v>-1797447</v>
      </c>
      <c r="R31" s="187">
        <v>-953175</v>
      </c>
      <c r="S31" s="187">
        <v>-631329</v>
      </c>
      <c r="T31" s="187">
        <v>-7268084</v>
      </c>
      <c r="U31" s="187">
        <v>-3849926</v>
      </c>
      <c r="V31" s="187">
        <v>-2729693</v>
      </c>
      <c r="W31" s="187">
        <v>-1798373</v>
      </c>
      <c r="X31" s="187">
        <v>-151408</v>
      </c>
      <c r="Y31" s="187">
        <v>-165715</v>
      </c>
      <c r="Z31" s="187">
        <v>-37644</v>
      </c>
      <c r="AA31" s="187">
        <v>-13891</v>
      </c>
      <c r="AB31" s="187">
        <v>-73250</v>
      </c>
      <c r="AC31" s="187">
        <v>-26624</v>
      </c>
      <c r="AD31" s="187">
        <v>-119459</v>
      </c>
      <c r="AE31" s="187">
        <v>-4769</v>
      </c>
      <c r="AF31" s="187">
        <v>0</v>
      </c>
      <c r="AG31" s="187">
        <v>-162381</v>
      </c>
      <c r="AH31" s="187">
        <v>-50145</v>
      </c>
      <c r="AI31" s="187">
        <v>-5927</v>
      </c>
      <c r="AJ31" s="187">
        <v>-836818</v>
      </c>
      <c r="AK31" s="187">
        <v>-164882</v>
      </c>
      <c r="AL31" s="187">
        <v>-75797</v>
      </c>
      <c r="AM31" s="187">
        <v>-395744</v>
      </c>
      <c r="AN31" s="187">
        <v>-101170</v>
      </c>
      <c r="AO31" s="187">
        <v>-478301</v>
      </c>
      <c r="AP31" s="187">
        <v>-44682</v>
      </c>
      <c r="AQ31" s="187">
        <v>0</v>
      </c>
      <c r="AR31" s="187">
        <v>-766531</v>
      </c>
      <c r="AS31" s="187">
        <v>-284156</v>
      </c>
      <c r="AT31" s="187">
        <v>-39820</v>
      </c>
      <c r="AU31" s="187">
        <v>0</v>
      </c>
      <c r="AV31" s="187">
        <v>0</v>
      </c>
      <c r="AW31" s="187">
        <v>0</v>
      </c>
      <c r="AX31" s="187">
        <v>0</v>
      </c>
      <c r="AY31" s="187">
        <v>0</v>
      </c>
      <c r="AZ31" s="187">
        <v>0</v>
      </c>
      <c r="BA31" s="187">
        <v>0</v>
      </c>
      <c r="BB31" s="187">
        <v>0</v>
      </c>
      <c r="BC31" s="187">
        <v>0</v>
      </c>
      <c r="BD31" s="187">
        <v>0</v>
      </c>
      <c r="BE31" s="187">
        <v>0</v>
      </c>
      <c r="BF31" s="187">
        <v>0</v>
      </c>
    </row>
    <row r="32" spans="1:58" ht="15" customHeight="1" x14ac:dyDescent="0.35">
      <c r="A32" s="153">
        <f>'Wksh 1 - Market Experience'!E18</f>
        <v>309226575.34999996</v>
      </c>
      <c r="B32" s="146" t="s">
        <v>169</v>
      </c>
      <c r="C32" s="156" t="s">
        <v>115</v>
      </c>
      <c r="D32" s="201">
        <f>SUM(E32:BF32)</f>
        <v>309226575.3499999</v>
      </c>
      <c r="E32" s="187">
        <v>4961968.5599999996</v>
      </c>
      <c r="F32" s="187">
        <v>2590431.98</v>
      </c>
      <c r="G32" s="187">
        <v>3077762.79</v>
      </c>
      <c r="H32" s="187">
        <v>1510757.49</v>
      </c>
      <c r="I32" s="187">
        <v>1543845.06</v>
      </c>
      <c r="J32" s="187">
        <v>8401329.6899999995</v>
      </c>
      <c r="K32" s="187">
        <v>4967484.78</v>
      </c>
      <c r="L32" s="187">
        <v>6221772.0499999998</v>
      </c>
      <c r="M32" s="187">
        <v>3267596.74</v>
      </c>
      <c r="N32" s="187">
        <v>143404.23000000001</v>
      </c>
      <c r="O32" s="187">
        <v>22196071.969999999</v>
      </c>
      <c r="P32" s="187">
        <v>11688089.550000001</v>
      </c>
      <c r="Q32" s="187">
        <v>19545462.109999999</v>
      </c>
      <c r="R32" s="187">
        <v>10758885.73</v>
      </c>
      <c r="S32" s="187">
        <v>7205893.4500000002</v>
      </c>
      <c r="T32" s="187">
        <v>81941976.969999999</v>
      </c>
      <c r="U32" s="187">
        <v>44994558.340000004</v>
      </c>
      <c r="V32" s="187">
        <v>24466653.440000001</v>
      </c>
      <c r="W32" s="187">
        <v>15486090.279999999</v>
      </c>
      <c r="X32" s="187">
        <v>814477.41</v>
      </c>
      <c r="Y32" s="187">
        <v>1168681.1599999999</v>
      </c>
      <c r="Z32" s="187">
        <v>425273.76</v>
      </c>
      <c r="AA32" s="187">
        <v>171940.06</v>
      </c>
      <c r="AB32" s="187">
        <v>788602.26</v>
      </c>
      <c r="AC32" s="187">
        <v>280491.93</v>
      </c>
      <c r="AD32" s="187">
        <v>1230419.04</v>
      </c>
      <c r="AE32" s="187">
        <v>51644.89</v>
      </c>
      <c r="AF32" s="187">
        <v>0</v>
      </c>
      <c r="AG32" s="187">
        <v>1612096.06</v>
      </c>
      <c r="AH32" s="187">
        <v>482273.03</v>
      </c>
      <c r="AI32" s="187">
        <v>29815.42</v>
      </c>
      <c r="AJ32" s="187">
        <v>5172144.9000000004</v>
      </c>
      <c r="AK32" s="187">
        <v>1703215.11</v>
      </c>
      <c r="AL32" s="187">
        <v>654948.25</v>
      </c>
      <c r="AM32" s="187">
        <v>3947269.28</v>
      </c>
      <c r="AN32" s="187">
        <v>1027578.61</v>
      </c>
      <c r="AO32" s="187">
        <v>4595579.76</v>
      </c>
      <c r="AP32" s="187">
        <v>363950.7</v>
      </c>
      <c r="AQ32" s="187">
        <v>0</v>
      </c>
      <c r="AR32" s="187">
        <v>6934918.8399999999</v>
      </c>
      <c r="AS32" s="187">
        <v>2629604.58</v>
      </c>
      <c r="AT32" s="187">
        <v>171615.09</v>
      </c>
      <c r="AU32" s="187">
        <v>0</v>
      </c>
      <c r="AV32" s="187">
        <v>0</v>
      </c>
      <c r="AW32" s="187">
        <v>0</v>
      </c>
      <c r="AX32" s="187">
        <v>0</v>
      </c>
      <c r="AY32" s="187">
        <v>0</v>
      </c>
      <c r="AZ32" s="187">
        <v>0</v>
      </c>
      <c r="BA32" s="187">
        <v>0</v>
      </c>
      <c r="BB32" s="187">
        <v>0</v>
      </c>
      <c r="BC32" s="187">
        <v>0</v>
      </c>
      <c r="BD32" s="187">
        <v>0</v>
      </c>
      <c r="BE32" s="187">
        <v>0</v>
      </c>
      <c r="BF32" s="187">
        <v>0</v>
      </c>
    </row>
    <row r="33" spans="1:62" ht="15" customHeight="1" x14ac:dyDescent="0.35">
      <c r="A33" s="157">
        <f>'Wksh 1 - Market Experience'!E19</f>
        <v>632153</v>
      </c>
      <c r="B33" s="146" t="s">
        <v>170</v>
      </c>
      <c r="C33" s="156" t="s">
        <v>22</v>
      </c>
      <c r="D33" s="202">
        <f>SUM(E33:BF33)</f>
        <v>632153</v>
      </c>
      <c r="E33" s="218">
        <v>9032</v>
      </c>
      <c r="F33" s="218">
        <v>4525</v>
      </c>
      <c r="G33" s="218">
        <v>5561</v>
      </c>
      <c r="H33" s="218">
        <v>2515</v>
      </c>
      <c r="I33" s="218">
        <v>2590</v>
      </c>
      <c r="J33" s="218">
        <v>14340</v>
      </c>
      <c r="K33" s="218">
        <v>8571</v>
      </c>
      <c r="L33" s="218">
        <v>12655</v>
      </c>
      <c r="M33" s="218">
        <v>6853</v>
      </c>
      <c r="N33" s="218">
        <v>564</v>
      </c>
      <c r="O33" s="218">
        <v>44537</v>
      </c>
      <c r="P33" s="218">
        <v>23086</v>
      </c>
      <c r="Q33" s="218">
        <v>38820</v>
      </c>
      <c r="R33" s="218">
        <v>20586</v>
      </c>
      <c r="S33" s="218">
        <v>13635</v>
      </c>
      <c r="T33" s="218">
        <v>156971</v>
      </c>
      <c r="U33" s="218">
        <v>83148</v>
      </c>
      <c r="V33" s="218">
        <v>58954</v>
      </c>
      <c r="W33" s="218">
        <v>38840</v>
      </c>
      <c r="X33" s="218">
        <v>3270</v>
      </c>
      <c r="Y33" s="218">
        <v>3579</v>
      </c>
      <c r="Z33" s="218">
        <v>813</v>
      </c>
      <c r="AA33" s="218">
        <v>300</v>
      </c>
      <c r="AB33" s="218">
        <v>1582</v>
      </c>
      <c r="AC33" s="218">
        <v>575</v>
      </c>
      <c r="AD33" s="218">
        <v>2580</v>
      </c>
      <c r="AE33" s="218">
        <v>103</v>
      </c>
      <c r="AF33" s="218">
        <v>0</v>
      </c>
      <c r="AG33" s="218">
        <v>3507</v>
      </c>
      <c r="AH33" s="218">
        <v>1083</v>
      </c>
      <c r="AI33" s="218">
        <v>128</v>
      </c>
      <c r="AJ33" s="218">
        <v>18073</v>
      </c>
      <c r="AK33" s="218">
        <v>3561</v>
      </c>
      <c r="AL33" s="218">
        <v>1637</v>
      </c>
      <c r="AM33" s="218">
        <v>8547</v>
      </c>
      <c r="AN33" s="218">
        <v>2185</v>
      </c>
      <c r="AO33" s="218">
        <v>10330</v>
      </c>
      <c r="AP33" s="218">
        <v>965</v>
      </c>
      <c r="AQ33" s="218">
        <v>0</v>
      </c>
      <c r="AR33" s="218">
        <v>16555</v>
      </c>
      <c r="AS33" s="218">
        <v>6137</v>
      </c>
      <c r="AT33" s="218">
        <v>860</v>
      </c>
      <c r="AU33" s="218">
        <v>0</v>
      </c>
      <c r="AV33" s="218">
        <v>0</v>
      </c>
      <c r="AW33" s="218">
        <v>0</v>
      </c>
      <c r="AX33" s="218">
        <v>0</v>
      </c>
      <c r="AY33" s="218">
        <v>0</v>
      </c>
      <c r="AZ33" s="218">
        <v>0</v>
      </c>
      <c r="BA33" s="218">
        <v>0</v>
      </c>
      <c r="BB33" s="218">
        <v>0</v>
      </c>
      <c r="BC33" s="218">
        <v>0</v>
      </c>
      <c r="BD33" s="218">
        <v>0</v>
      </c>
      <c r="BE33" s="218">
        <v>0</v>
      </c>
      <c r="BF33" s="218">
        <v>0</v>
      </c>
    </row>
    <row r="34" spans="1:62" ht="15" customHeight="1" x14ac:dyDescent="0.35">
      <c r="A34" s="154"/>
      <c r="B34" s="146" t="s">
        <v>171</v>
      </c>
      <c r="C34" s="156" t="s">
        <v>116</v>
      </c>
      <c r="D34" s="202">
        <f>SUM(E34:BF34)</f>
        <v>59404</v>
      </c>
      <c r="E34" s="218">
        <v>722</v>
      </c>
      <c r="F34" s="218">
        <v>342</v>
      </c>
      <c r="G34" s="218">
        <v>580</v>
      </c>
      <c r="H34" s="218">
        <v>144</v>
      </c>
      <c r="I34" s="218">
        <v>143</v>
      </c>
      <c r="J34" s="218">
        <v>647</v>
      </c>
      <c r="K34" s="218">
        <v>869</v>
      </c>
      <c r="L34" s="218">
        <v>954</v>
      </c>
      <c r="M34" s="218">
        <v>565</v>
      </c>
      <c r="N34" s="218">
        <v>52</v>
      </c>
      <c r="O34" s="218">
        <v>3499</v>
      </c>
      <c r="P34" s="218">
        <v>2014</v>
      </c>
      <c r="Q34" s="218">
        <v>3917</v>
      </c>
      <c r="R34" s="218">
        <v>1482</v>
      </c>
      <c r="S34" s="218">
        <v>773</v>
      </c>
      <c r="T34" s="218">
        <v>6605</v>
      </c>
      <c r="U34" s="218">
        <v>7175</v>
      </c>
      <c r="V34" s="218">
        <v>4584</v>
      </c>
      <c r="W34" s="218">
        <v>3430</v>
      </c>
      <c r="X34" s="218">
        <v>449</v>
      </c>
      <c r="Y34" s="218">
        <v>187</v>
      </c>
      <c r="Z34" s="218">
        <v>75</v>
      </c>
      <c r="AA34" s="218">
        <v>49</v>
      </c>
      <c r="AB34" s="218">
        <v>110</v>
      </c>
      <c r="AC34" s="218">
        <v>46</v>
      </c>
      <c r="AD34" s="218">
        <v>175</v>
      </c>
      <c r="AE34" s="218">
        <v>23</v>
      </c>
      <c r="AF34" s="218">
        <v>13</v>
      </c>
      <c r="AG34" s="218">
        <v>297</v>
      </c>
      <c r="AH34" s="218">
        <v>75</v>
      </c>
      <c r="AI34" s="218">
        <v>9</v>
      </c>
      <c r="AJ34" s="218">
        <v>907</v>
      </c>
      <c r="AK34" s="218">
        <v>312</v>
      </c>
      <c r="AL34" s="218">
        <v>210</v>
      </c>
      <c r="AM34" s="218">
        <v>654</v>
      </c>
      <c r="AN34" s="218">
        <v>201</v>
      </c>
      <c r="AO34" s="218">
        <v>761</v>
      </c>
      <c r="AP34" s="218">
        <v>112</v>
      </c>
      <c r="AQ34" s="218">
        <v>56</v>
      </c>
      <c r="AR34" s="218">
        <v>1299</v>
      </c>
      <c r="AS34" s="218">
        <v>451</v>
      </c>
      <c r="AT34" s="218">
        <v>75</v>
      </c>
      <c r="AU34" s="218">
        <v>89</v>
      </c>
      <c r="AV34" s="218">
        <v>599</v>
      </c>
      <c r="AW34" s="218">
        <v>421</v>
      </c>
      <c r="AX34" s="218">
        <v>570</v>
      </c>
      <c r="AY34" s="218">
        <v>9908</v>
      </c>
      <c r="AZ34" s="218">
        <v>2633</v>
      </c>
      <c r="BA34" s="218">
        <v>7</v>
      </c>
      <c r="BB34" s="218">
        <v>17</v>
      </c>
      <c r="BC34" s="218">
        <v>4</v>
      </c>
      <c r="BD34" s="218">
        <v>22</v>
      </c>
      <c r="BE34" s="218">
        <v>34</v>
      </c>
      <c r="BF34" s="218">
        <v>57</v>
      </c>
      <c r="BH34" s="5"/>
      <c r="BI34" s="5"/>
    </row>
    <row r="35" spans="1:62" ht="15" customHeight="1" x14ac:dyDescent="0.35">
      <c r="A35" s="149"/>
      <c r="B35" s="148" t="s">
        <v>172</v>
      </c>
      <c r="C35" s="138" t="s">
        <v>117</v>
      </c>
      <c r="D35" s="203">
        <f>SUMPRODUCT(E35:BF35,E34:BF34)/D34</f>
        <v>525.37661184432022</v>
      </c>
      <c r="E35" s="188">
        <v>592.69000000000005</v>
      </c>
      <c r="F35" s="188">
        <v>641.15</v>
      </c>
      <c r="G35" s="188">
        <v>602.08000000000004</v>
      </c>
      <c r="H35" s="188">
        <v>606.51</v>
      </c>
      <c r="I35" s="188">
        <v>611.03</v>
      </c>
      <c r="J35" s="188">
        <v>649.83000000000004</v>
      </c>
      <c r="K35" s="188">
        <v>628.66999999999996</v>
      </c>
      <c r="L35" s="188">
        <v>523.22</v>
      </c>
      <c r="M35" s="188">
        <v>510.89</v>
      </c>
      <c r="N35" s="188">
        <v>292.11</v>
      </c>
      <c r="O35" s="188">
        <v>547.45000000000005</v>
      </c>
      <c r="P35" s="188">
        <v>533.09</v>
      </c>
      <c r="Q35" s="188">
        <v>546.02</v>
      </c>
      <c r="R35" s="188">
        <v>554.39</v>
      </c>
      <c r="S35" s="188">
        <v>570.82000000000005</v>
      </c>
      <c r="T35" s="188">
        <v>549.24</v>
      </c>
      <c r="U35" s="188">
        <v>582</v>
      </c>
      <c r="V35" s="188">
        <v>438.55</v>
      </c>
      <c r="W35" s="188">
        <v>433.27</v>
      </c>
      <c r="X35" s="188">
        <v>263.41000000000003</v>
      </c>
      <c r="Y35" s="188">
        <v>510.59</v>
      </c>
      <c r="Z35" s="188">
        <v>569.32000000000005</v>
      </c>
      <c r="AA35" s="188">
        <v>534.91</v>
      </c>
      <c r="AB35" s="188">
        <v>518.71</v>
      </c>
      <c r="AC35" s="188">
        <v>505.58</v>
      </c>
      <c r="AD35" s="188">
        <v>522.98</v>
      </c>
      <c r="AE35" s="188">
        <v>465.17</v>
      </c>
      <c r="AF35" s="188">
        <v>399.38</v>
      </c>
      <c r="AG35" s="188">
        <v>491.59</v>
      </c>
      <c r="AH35" s="188">
        <v>470.7</v>
      </c>
      <c r="AI35" s="188">
        <v>182</v>
      </c>
      <c r="AJ35" s="188">
        <v>416.92</v>
      </c>
      <c r="AK35" s="188">
        <v>509.66</v>
      </c>
      <c r="AL35" s="188">
        <v>423.86</v>
      </c>
      <c r="AM35" s="188">
        <v>482.1</v>
      </c>
      <c r="AN35" s="188">
        <v>478.64</v>
      </c>
      <c r="AO35" s="188">
        <v>476.59</v>
      </c>
      <c r="AP35" s="188">
        <v>400.92</v>
      </c>
      <c r="AQ35" s="188">
        <v>377.13</v>
      </c>
      <c r="AR35" s="188">
        <v>431.95</v>
      </c>
      <c r="AS35" s="188">
        <v>452.21</v>
      </c>
      <c r="AT35" s="188">
        <v>212.02</v>
      </c>
      <c r="AU35" s="188">
        <v>680.04</v>
      </c>
      <c r="AV35" s="188">
        <v>599.78</v>
      </c>
      <c r="AW35" s="188">
        <v>513.9</v>
      </c>
      <c r="AX35" s="188">
        <v>552.32000000000005</v>
      </c>
      <c r="AY35" s="188">
        <v>555.01</v>
      </c>
      <c r="AZ35" s="188">
        <v>444.01</v>
      </c>
      <c r="BA35" s="188">
        <v>424.32</v>
      </c>
      <c r="BB35" s="188">
        <v>491.94</v>
      </c>
      <c r="BC35" s="188">
        <v>345.32</v>
      </c>
      <c r="BD35" s="188">
        <v>464.75</v>
      </c>
      <c r="BE35" s="188">
        <v>393.95</v>
      </c>
      <c r="BF35" s="188">
        <v>381.39</v>
      </c>
      <c r="BH35" s="5"/>
      <c r="BI35" s="20"/>
    </row>
    <row r="36" spans="1:62" ht="15" customHeight="1" x14ac:dyDescent="0.35">
      <c r="A36" s="149"/>
      <c r="B36" s="204" t="s">
        <v>173</v>
      </c>
      <c r="C36" s="205" t="s">
        <v>118</v>
      </c>
      <c r="D36" s="158">
        <f>D30/(D31+D32)</f>
        <v>1.0580449516567496</v>
      </c>
      <c r="E36" s="88">
        <f>E30/(E31+E32)</f>
        <v>1.6572987599526858</v>
      </c>
      <c r="F36" s="88">
        <f>F30/(F31+F32)</f>
        <v>1.2967586100029493</v>
      </c>
      <c r="G36" s="88">
        <f>G30/(G31+G32)</f>
        <v>0.92263178182592498</v>
      </c>
      <c r="H36" s="88">
        <f>H30/(H31+H32)</f>
        <v>1.9867898722971071</v>
      </c>
      <c r="I36" s="88">
        <f>I30/(I31+I32)</f>
        <v>0.86367306952666389</v>
      </c>
      <c r="J36" s="88">
        <f>J30/(J31+J32)</f>
        <v>1.4425721864229855</v>
      </c>
      <c r="K36" s="88">
        <f>K30/(K31+K32)</f>
        <v>1.4136312304865786</v>
      </c>
      <c r="L36" s="88">
        <f>L30/(L31+L32)</f>
        <v>0.83830246466128111</v>
      </c>
      <c r="M36" s="88">
        <f>M30/(M31+M32)</f>
        <v>0.62367827767257789</v>
      </c>
      <c r="N36" s="88">
        <f>N30/(N31+N32)</f>
        <v>2.3034058335464085</v>
      </c>
      <c r="O36" s="88">
        <f>O30/(O31+O32)</f>
        <v>1.221075474668329</v>
      </c>
      <c r="P36" s="88">
        <f>P30/(P31+P32)</f>
        <v>1.3923526556298891</v>
      </c>
      <c r="Q36" s="88">
        <f>Q30/(Q31+Q32)</f>
        <v>0.85765968226066047</v>
      </c>
      <c r="R36" s="88">
        <f>R30/(R31+R32)</f>
        <v>1.4680425923598501</v>
      </c>
      <c r="S36" s="88">
        <f>S30/(S31+S32)</f>
        <v>0.97078461220347456</v>
      </c>
      <c r="T36" s="88">
        <f>T30/(T31+T32)</f>
        <v>1.0075073765100906</v>
      </c>
      <c r="U36" s="88">
        <f>U30/(U31+U32)</f>
        <v>0.91604789875247183</v>
      </c>
      <c r="V36" s="88">
        <f>V30/(V31+V32)</f>
        <v>0.78228080908261521</v>
      </c>
      <c r="W36" s="88">
        <f>W30/(W31+W32)</f>
        <v>0.71933579563238903</v>
      </c>
      <c r="X36" s="88">
        <f>X30/(X31+X32)</f>
        <v>1.0035042937661685</v>
      </c>
      <c r="Y36" s="88">
        <f>Y30/(Y31+Y32)</f>
        <v>2.1030201058827349</v>
      </c>
      <c r="Z36" s="88">
        <f>Z30/(Z31+Z32)</f>
        <v>2.5723824713561725</v>
      </c>
      <c r="AA36" s="88">
        <f>AA30/(AA31+AA32)</f>
        <v>0.59911776760962709</v>
      </c>
      <c r="AB36" s="88">
        <f>AB30/(AB31+AB32)</f>
        <v>1.5554979864046281</v>
      </c>
      <c r="AC36" s="88">
        <f>AC30/(AC31+AC32)</f>
        <v>1.5698556332026656</v>
      </c>
      <c r="AD36" s="88">
        <f>AD30/(AD31+AD32)</f>
        <v>0.70738277859210852</v>
      </c>
      <c r="AE36" s="88">
        <f>AE30/(AE31+AE32)</f>
        <v>5.4653895638034822</v>
      </c>
      <c r="AF36" s="88" t="e">
        <f>AF30/(AF31+AF32)</f>
        <v>#DIV/0!</v>
      </c>
      <c r="AG36" s="88">
        <f>AG30/(AG31+AG32)</f>
        <v>0.92309519085771241</v>
      </c>
      <c r="AH36" s="88">
        <f>AH30/(AH31+AH32)</f>
        <v>0.53904163541531891</v>
      </c>
      <c r="AI36" s="88">
        <f>AI30/(AI31+AI32)</f>
        <v>0.85648192722666472</v>
      </c>
      <c r="AJ36" s="88">
        <f>AJ30/(AJ31+AJ32)</f>
        <v>2.6375632711803116</v>
      </c>
      <c r="AK36" s="88">
        <f>AK30/(AK31+AK32)</f>
        <v>2.4117006751548109</v>
      </c>
      <c r="AL36" s="88">
        <f>AL30/(AL31+AL32)</f>
        <v>1.3469641997664685</v>
      </c>
      <c r="AM36" s="88">
        <f>AM30/(AM31+AM32)</f>
        <v>0.89927136883564573</v>
      </c>
      <c r="AN36" s="88">
        <f>AN30/(AN31+AN32)</f>
        <v>0.62316778338232415</v>
      </c>
      <c r="AO36" s="88">
        <f>AO30/(AO31+AO32)</f>
        <v>0.95250995344313294</v>
      </c>
      <c r="AP36" s="88">
        <f>AP30/(AP31+AP32)</f>
        <v>0.70806189269414754</v>
      </c>
      <c r="AQ36" s="88" t="e">
        <f>AQ30/(AQ31+AQ32)</f>
        <v>#DIV/0!</v>
      </c>
      <c r="AR36" s="88">
        <f>AR30/(AR31+AR32)</f>
        <v>0.94527049064411617</v>
      </c>
      <c r="AS36" s="88">
        <f>AS30/(AS31+AS32)</f>
        <v>0.68996950681391611</v>
      </c>
      <c r="AT36" s="88">
        <f>AT30/(AT31+AT32)</f>
        <v>0.60232137631227389</v>
      </c>
      <c r="AU36" s="88" t="e">
        <f>AU30/(AU31+AU32)</f>
        <v>#DIV/0!</v>
      </c>
      <c r="AV36" s="88" t="e">
        <f>AV30/(AV31+AV32)</f>
        <v>#DIV/0!</v>
      </c>
      <c r="AW36" s="88" t="e">
        <f>AW30/(AW31+AW32)</f>
        <v>#DIV/0!</v>
      </c>
      <c r="AX36" s="88" t="e">
        <f>AX30/(AX31+AX32)</f>
        <v>#DIV/0!</v>
      </c>
      <c r="AY36" s="88" t="e">
        <f>AY30/(AY31+AY32)</f>
        <v>#DIV/0!</v>
      </c>
      <c r="AZ36" s="88" t="e">
        <f>AZ30/(AZ31+AZ32)</f>
        <v>#DIV/0!</v>
      </c>
      <c r="BA36" s="88" t="e">
        <f>BA30/(BA31+BA32)</f>
        <v>#DIV/0!</v>
      </c>
      <c r="BB36" s="88" t="e">
        <f>BB30/(BB31+BB32)</f>
        <v>#DIV/0!</v>
      </c>
      <c r="BC36" s="88" t="e">
        <f>BC30/(BC31+BC32)</f>
        <v>#DIV/0!</v>
      </c>
      <c r="BD36" s="88" t="e">
        <f>BD30/(BD31+BD32)</f>
        <v>#DIV/0!</v>
      </c>
      <c r="BE36" s="88" t="e">
        <f>BE30/(BE31+BE32)</f>
        <v>#DIV/0!</v>
      </c>
      <c r="BF36" s="88" t="e">
        <f>BF30/(BF31+BF32)</f>
        <v>#DIV/0!</v>
      </c>
    </row>
    <row r="37" spans="1:62" ht="15" customHeight="1" x14ac:dyDescent="0.35">
      <c r="A37" s="72"/>
      <c r="C37" s="76" t="s">
        <v>120</v>
      </c>
      <c r="D37" s="25"/>
      <c r="BH37" s="5"/>
      <c r="BI37" s="5"/>
      <c r="BJ37" s="5"/>
    </row>
    <row r="38" spans="1:62" ht="15" customHeight="1" x14ac:dyDescent="0.35">
      <c r="A38" s="149"/>
      <c r="B38" s="146" t="s">
        <v>174</v>
      </c>
      <c r="C38" s="156" t="s">
        <v>86</v>
      </c>
      <c r="D38" s="86">
        <f>D26/D33</f>
        <v>576.46462644328187</v>
      </c>
      <c r="E38" s="86">
        <f>E26/E33</f>
        <v>968.72907440212578</v>
      </c>
      <c r="F38" s="86">
        <f>F26/F33</f>
        <v>815.80265193370167</v>
      </c>
      <c r="G38" s="86">
        <f>G26/G33</f>
        <v>574.40640172630822</v>
      </c>
      <c r="H38" s="86">
        <f>H26/H33</f>
        <v>1255.1495029821074</v>
      </c>
      <c r="I38" s="86">
        <f>I26/I33</f>
        <v>566.4235521235521</v>
      </c>
      <c r="J38" s="86">
        <f>J26/J33</f>
        <v>938.95913528591348</v>
      </c>
      <c r="K38" s="86">
        <f>K26/K33</f>
        <v>753.84260879710655</v>
      </c>
      <c r="L38" s="86">
        <f>L26/L33</f>
        <v>596.36183326748323</v>
      </c>
      <c r="M38" s="86">
        <f>M26/M33</f>
        <v>411.34656354881076</v>
      </c>
      <c r="N38" s="86">
        <f>N26/N33</f>
        <v>869.15070921985819</v>
      </c>
      <c r="O38" s="86">
        <f>O26/O33</f>
        <v>622.06390192424271</v>
      </c>
      <c r="P38" s="86">
        <f>P26/P33</f>
        <v>762.20445291518672</v>
      </c>
      <c r="Q38" s="86">
        <f>Q26/Q33</f>
        <v>473.76545595054097</v>
      </c>
      <c r="R38" s="86">
        <f>R26/R33</f>
        <v>777.66656951326149</v>
      </c>
      <c r="S38" s="86">
        <f>S26/S33</f>
        <v>545.51602493582686</v>
      </c>
      <c r="T38" s="86">
        <f>T26/T33</f>
        <v>567.65693026100359</v>
      </c>
      <c r="U38" s="86">
        <f>U26/U33</f>
        <v>520.79566556020586</v>
      </c>
      <c r="V38" s="86">
        <f>V26/V33</f>
        <v>443.7555382162364</v>
      </c>
      <c r="W38" s="86">
        <f>W26/W33</f>
        <v>404.06426364572604</v>
      </c>
      <c r="X38" s="86">
        <f>X26/X33</f>
        <v>327.60886850152906</v>
      </c>
      <c r="Y38" s="86">
        <f>Y26/Y33</f>
        <v>660.01676445934618</v>
      </c>
      <c r="Z38" s="86">
        <f>Z26/Z33</f>
        <v>1531.2201722017221</v>
      </c>
      <c r="AA38" s="86">
        <f>AA26/AA33</f>
        <v>364.08333333333331</v>
      </c>
      <c r="AB38" s="86">
        <f>AB26/AB33</f>
        <v>948.42161820480408</v>
      </c>
      <c r="AC38" s="86">
        <f>AC26/AC33</f>
        <v>1075.2817391304347</v>
      </c>
      <c r="AD38" s="86">
        <f>AD26/AD33</f>
        <v>413.31201550387595</v>
      </c>
      <c r="AE38" s="86">
        <f>AE26/AE33</f>
        <v>3963.3106796116504</v>
      </c>
      <c r="AF38" s="86" t="e">
        <f>AF26/AF33</f>
        <v>#DIV/0!</v>
      </c>
      <c r="AG38" s="86">
        <f>AG26/AG33</f>
        <v>627.18021100655835</v>
      </c>
      <c r="AH38" s="86">
        <f>AH26/AH33</f>
        <v>317.44875346260386</v>
      </c>
      <c r="AI38" s="86">
        <f>AI26/AI33</f>
        <v>244.0703125</v>
      </c>
      <c r="AJ38" s="86">
        <f>AJ26/AJ33</f>
        <v>717.10999834006532</v>
      </c>
      <c r="AK38" s="86">
        <f>AK26/AK33</f>
        <v>1288.0292052794159</v>
      </c>
      <c r="AL38" s="86">
        <f>AL26/AL33</f>
        <v>600.9847281612706</v>
      </c>
      <c r="AM38" s="86">
        <f>AM26/AM33</f>
        <v>487.79478179478178</v>
      </c>
      <c r="AN38" s="86">
        <f>AN26/AN33</f>
        <v>350.4736842105263</v>
      </c>
      <c r="AO38" s="86">
        <f>AO26/AO33</f>
        <v>523.75682478218778</v>
      </c>
      <c r="AP38" s="86">
        <f>AP26/AP33</f>
        <v>323.01658031088084</v>
      </c>
      <c r="AQ38" s="86" t="e">
        <f>AQ26/AQ33</f>
        <v>#DIV/0!</v>
      </c>
      <c r="AR38" s="86">
        <f>AR26/AR33</f>
        <v>557.14056176381757</v>
      </c>
      <c r="AS38" s="86">
        <f>AS26/AS33</f>
        <v>404.29444353918853</v>
      </c>
      <c r="AT38" s="86">
        <f>AT26/AT33</f>
        <v>140.94302325581396</v>
      </c>
      <c r="AU38" s="86" t="e">
        <f>AU26/AU33</f>
        <v>#DIV/0!</v>
      </c>
      <c r="AV38" s="86" t="e">
        <f>AV26/AV33</f>
        <v>#DIV/0!</v>
      </c>
      <c r="AW38" s="86" t="e">
        <f>AW26/AW33</f>
        <v>#DIV/0!</v>
      </c>
      <c r="AX38" s="86" t="e">
        <f>AX26/AX33</f>
        <v>#DIV/0!</v>
      </c>
      <c r="AY38" s="86" t="e">
        <f>AY26/AY33</f>
        <v>#DIV/0!</v>
      </c>
      <c r="AZ38" s="86" t="e">
        <f>AZ26/AZ33</f>
        <v>#DIV/0!</v>
      </c>
      <c r="BA38" s="86" t="e">
        <f>BA26/BA33</f>
        <v>#DIV/0!</v>
      </c>
      <c r="BB38" s="86" t="e">
        <f>BB26/BB33</f>
        <v>#DIV/0!</v>
      </c>
      <c r="BC38" s="86" t="e">
        <f>BC26/BC33</f>
        <v>#DIV/0!</v>
      </c>
      <c r="BD38" s="86" t="e">
        <f>BD26/BD33</f>
        <v>#DIV/0!</v>
      </c>
      <c r="BE38" s="86" t="e">
        <f>BE26/BE33</f>
        <v>#DIV/0!</v>
      </c>
      <c r="BF38" s="86" t="e">
        <f>BF26/BF33</f>
        <v>#DIV/0!</v>
      </c>
    </row>
    <row r="39" spans="1:62" ht="15" customHeight="1" x14ac:dyDescent="0.35">
      <c r="A39" s="149"/>
      <c r="B39" s="146" t="s">
        <v>175</v>
      </c>
      <c r="C39" s="156" t="s">
        <v>87</v>
      </c>
      <c r="D39" s="86">
        <f>D27/D33</f>
        <v>13.314781389948319</v>
      </c>
      <c r="E39" s="86">
        <f>E27/E33</f>
        <v>62.647918511957485</v>
      </c>
      <c r="F39" s="86">
        <f>F27/F33</f>
        <v>42.608839779005528</v>
      </c>
      <c r="G39" s="86">
        <f>G27/G33</f>
        <v>26.405862254990108</v>
      </c>
      <c r="H39" s="86">
        <f>H27/H33</f>
        <v>34.607554671968188</v>
      </c>
      <c r="I39" s="86">
        <f>I27/I33</f>
        <v>7.1671814671814671</v>
      </c>
      <c r="J39" s="86">
        <f>J27/J33</f>
        <v>3.4954672245467227</v>
      </c>
      <c r="K39" s="86">
        <f>K27/K33</f>
        <v>0</v>
      </c>
      <c r="L39" s="86">
        <f>L27/L33</f>
        <v>28.142552350849467</v>
      </c>
      <c r="M39" s="86">
        <f>M27/M33</f>
        <v>8.84692835254633</v>
      </c>
      <c r="N39" s="86">
        <f>N27/N33</f>
        <v>66.427304964539005</v>
      </c>
      <c r="O39" s="86">
        <f>O27/O33</f>
        <v>24.724947796214384</v>
      </c>
      <c r="P39" s="86">
        <f>P27/P33</f>
        <v>37.131118426752145</v>
      </c>
      <c r="Q39" s="86">
        <f>Q27/Q33</f>
        <v>16.349974240082432</v>
      </c>
      <c r="R39" s="86">
        <f>R27/R33</f>
        <v>7.087826678325075</v>
      </c>
      <c r="S39" s="86">
        <f>S27/S33</f>
        <v>3.6951228456178953</v>
      </c>
      <c r="T39" s="86">
        <f>T27/T33</f>
        <v>2.1952080320568768</v>
      </c>
      <c r="U39" s="86">
        <f>U27/U33</f>
        <v>0.18435801221917544</v>
      </c>
      <c r="V39" s="86">
        <f>V27/V33</f>
        <v>12.882620348067984</v>
      </c>
      <c r="W39" s="86">
        <f>W27/W33</f>
        <v>16.374098867147271</v>
      </c>
      <c r="X39" s="86">
        <f>X27/X33</f>
        <v>8.1535168195718661</v>
      </c>
      <c r="Y39" s="86">
        <f>Y27/Y33</f>
        <v>22.830120145291982</v>
      </c>
      <c r="Z39" s="86">
        <f>Z27/Z33</f>
        <v>128.80811808118082</v>
      </c>
      <c r="AA39" s="86">
        <f>AA27/AA33</f>
        <v>0</v>
      </c>
      <c r="AB39" s="86">
        <f>AB27/AB33</f>
        <v>57.120733249051831</v>
      </c>
      <c r="AC39" s="86">
        <f>AC27/AC33</f>
        <v>109.1895652173913</v>
      </c>
      <c r="AD39" s="86">
        <f>AD27/AD33</f>
        <v>9.9550387596899217</v>
      </c>
      <c r="AE39" s="86">
        <f>AE27/AE33</f>
        <v>301.1650485436893</v>
      </c>
      <c r="AF39" s="86" t="e">
        <f>AF27/AF33</f>
        <v>#DIV/0!</v>
      </c>
      <c r="AG39" s="86">
        <f>AG27/AG33</f>
        <v>37.93983461648132</v>
      </c>
      <c r="AH39" s="86">
        <f>AH27/AH33</f>
        <v>0.90951061865189287</v>
      </c>
      <c r="AI39" s="86">
        <f>AI27/AI33</f>
        <v>0</v>
      </c>
      <c r="AJ39" s="86">
        <f>AJ27/AJ33</f>
        <v>31.916505284125492</v>
      </c>
      <c r="AK39" s="86">
        <f>AK27/AK33</f>
        <v>99.203032855939341</v>
      </c>
      <c r="AL39" s="86">
        <f>AL27/AL33</f>
        <v>39.074526572999389</v>
      </c>
      <c r="AM39" s="86">
        <f>AM27/AM33</f>
        <v>19.394524394524396</v>
      </c>
      <c r="AN39" s="86">
        <f>AN27/AN33</f>
        <v>4.6521739130434785</v>
      </c>
      <c r="AO39" s="86">
        <f>AO27/AO33</f>
        <v>17.730106485963216</v>
      </c>
      <c r="AP39" s="86">
        <f>AP27/AP33</f>
        <v>0</v>
      </c>
      <c r="AQ39" s="86" t="e">
        <f>AQ27/AQ33</f>
        <v>#DIV/0!</v>
      </c>
      <c r="AR39" s="86">
        <f>AR27/AR33</f>
        <v>23.700573844759891</v>
      </c>
      <c r="AS39" s="86">
        <f>AS27/AS33</f>
        <v>8.8479713214925866</v>
      </c>
      <c r="AT39" s="86">
        <f>AT27/AT33</f>
        <v>0</v>
      </c>
      <c r="AU39" s="86" t="e">
        <f>AU27/AU33</f>
        <v>#DIV/0!</v>
      </c>
      <c r="AV39" s="86" t="e">
        <f>AV27/AV33</f>
        <v>#DIV/0!</v>
      </c>
      <c r="AW39" s="86" t="e">
        <f>AW27/AW33</f>
        <v>#DIV/0!</v>
      </c>
      <c r="AX39" s="86" t="e">
        <f>AX27/AX33</f>
        <v>#DIV/0!</v>
      </c>
      <c r="AY39" s="86" t="e">
        <f>AY27/AY33</f>
        <v>#DIV/0!</v>
      </c>
      <c r="AZ39" s="86" t="e">
        <f>AZ27/AZ33</f>
        <v>#DIV/0!</v>
      </c>
      <c r="BA39" s="86" t="e">
        <f>BA27/BA33</f>
        <v>#DIV/0!</v>
      </c>
      <c r="BB39" s="86" t="e">
        <f>BB27/BB33</f>
        <v>#DIV/0!</v>
      </c>
      <c r="BC39" s="86" t="e">
        <f>BC27/BC33</f>
        <v>#DIV/0!</v>
      </c>
      <c r="BD39" s="86" t="e">
        <f>BD27/BD33</f>
        <v>#DIV/0!</v>
      </c>
      <c r="BE39" s="86" t="e">
        <f>BE27/BE33</f>
        <v>#DIV/0!</v>
      </c>
      <c r="BF39" s="86" t="e">
        <f>BF27/BF33</f>
        <v>#DIV/0!</v>
      </c>
    </row>
    <row r="40" spans="1:62" ht="15" customHeight="1" x14ac:dyDescent="0.35">
      <c r="A40" s="149"/>
      <c r="B40" s="146" t="s">
        <v>176</v>
      </c>
      <c r="C40" s="156" t="s">
        <v>111</v>
      </c>
      <c r="D40" s="86">
        <f>D28/D33</f>
        <v>94.581892358337299</v>
      </c>
      <c r="E40" s="86">
        <f>E28/E33</f>
        <v>72.336470327723646</v>
      </c>
      <c r="F40" s="86">
        <f>F28/F33</f>
        <v>90.879558011049724</v>
      </c>
      <c r="G40" s="86">
        <f>G28/G33</f>
        <v>80.085236468261101</v>
      </c>
      <c r="H40" s="86">
        <f>H28/H33</f>
        <v>119.07236580516899</v>
      </c>
      <c r="I40" s="86">
        <f>I28/I33</f>
        <v>84.428571428571431</v>
      </c>
      <c r="J40" s="86">
        <f>J28/J33</f>
        <v>157.10264993026499</v>
      </c>
      <c r="K40" s="86">
        <f>K28/K33</f>
        <v>0</v>
      </c>
      <c r="L40" s="86">
        <f>L28/L33</f>
        <v>194.8869221651521</v>
      </c>
      <c r="M40" s="86">
        <f>M28/M33</f>
        <v>133.99956223551729</v>
      </c>
      <c r="N40" s="86">
        <f>N28/N33</f>
        <v>323.70390070921985</v>
      </c>
      <c r="O40" s="86">
        <f>O28/O33</f>
        <v>45.325325010665289</v>
      </c>
      <c r="P40" s="86">
        <f>P28/P33</f>
        <v>84.615264662566062</v>
      </c>
      <c r="Q40" s="86">
        <f>Q28/Q33</f>
        <v>65.304276146316326</v>
      </c>
      <c r="R40" s="86">
        <f>R28/R33</f>
        <v>71.30734479743515</v>
      </c>
      <c r="S40" s="86">
        <f>S28/S33</f>
        <v>73.725119178584521</v>
      </c>
      <c r="T40" s="86">
        <f>T28/T33</f>
        <v>86.172566907263132</v>
      </c>
      <c r="U40" s="86">
        <f>U28/U33</f>
        <v>67.317734641843458</v>
      </c>
      <c r="V40" s="86">
        <f>V28/V33</f>
        <v>142.43774807477016</v>
      </c>
      <c r="W40" s="86">
        <f>W28/W33</f>
        <v>134.18694644696188</v>
      </c>
      <c r="X40" s="86">
        <f>X28/X33</f>
        <v>115.97125382262998</v>
      </c>
      <c r="Y40" s="86">
        <f>Y28/Y33</f>
        <v>47.843811120424697</v>
      </c>
      <c r="Z40" s="86">
        <f>Z28/Z33</f>
        <v>175.92742927429273</v>
      </c>
      <c r="AA40" s="86">
        <f>AA28/AA33</f>
        <v>48.45</v>
      </c>
      <c r="AB40" s="86">
        <f>AB28/AB33</f>
        <v>187.9323640960809</v>
      </c>
      <c r="AC40" s="86">
        <f>AC28/AC33</f>
        <v>272.98608695652172</v>
      </c>
      <c r="AD40" s="86">
        <f>AD28/AD33</f>
        <v>98.754651162790694</v>
      </c>
      <c r="AE40" s="86">
        <f>AE28/AE33</f>
        <v>1174.8155339805826</v>
      </c>
      <c r="AF40" s="86" t="e">
        <f>AF28/AF33</f>
        <v>#DIV/0!</v>
      </c>
      <c r="AG40" s="86">
        <f>AG28/AG33</f>
        <v>207.6535500427716</v>
      </c>
      <c r="AH40" s="86">
        <f>AH28/AH33</f>
        <v>101.45614035087719</v>
      </c>
      <c r="AI40" s="86">
        <f>AI28/AI33</f>
        <v>84.2265625</v>
      </c>
      <c r="AJ40" s="86">
        <f>AJ28/AJ33</f>
        <v>52.498367730869255</v>
      </c>
      <c r="AK40" s="86">
        <f>AK28/AK33</f>
        <v>146.98427408031452</v>
      </c>
      <c r="AL40" s="86">
        <f>AL28/AL33</f>
        <v>85.370189370800247</v>
      </c>
      <c r="AM40" s="86">
        <f>AM28/AM33</f>
        <v>94.727038727038732</v>
      </c>
      <c r="AN40" s="86">
        <f>AN28/AN33</f>
        <v>81.607322654462237</v>
      </c>
      <c r="AO40" s="86">
        <f>AO28/AO33</f>
        <v>126.38015488867377</v>
      </c>
      <c r="AP40" s="86">
        <f>AP28/AP33</f>
        <v>88.755440414507774</v>
      </c>
      <c r="AQ40" s="86" t="e">
        <f>AQ28/AQ33</f>
        <v>#DIV/0!</v>
      </c>
      <c r="AR40" s="86">
        <f>AR28/AR33</f>
        <v>181.23249773482331</v>
      </c>
      <c r="AS40" s="86">
        <f>AS28/AS33</f>
        <v>131.7528108196187</v>
      </c>
      <c r="AT40" s="86">
        <f>AT28/AT33</f>
        <v>48.63720930232558</v>
      </c>
      <c r="AU40" s="86" t="e">
        <f>AU28/AU33</f>
        <v>#DIV/0!</v>
      </c>
      <c r="AV40" s="86" t="e">
        <f>AV28/AV33</f>
        <v>#DIV/0!</v>
      </c>
      <c r="AW40" s="86" t="e">
        <f>AW28/AW33</f>
        <v>#DIV/0!</v>
      </c>
      <c r="AX40" s="86" t="e">
        <f>AX28/AX33</f>
        <v>#DIV/0!</v>
      </c>
      <c r="AY40" s="86" t="e">
        <f>AY28/AY33</f>
        <v>#DIV/0!</v>
      </c>
      <c r="AZ40" s="86" t="e">
        <f>AZ28/AZ33</f>
        <v>#DIV/0!</v>
      </c>
      <c r="BA40" s="86" t="e">
        <f>BA28/BA33</f>
        <v>#DIV/0!</v>
      </c>
      <c r="BB40" s="86" t="e">
        <f>BB28/BB33</f>
        <v>#DIV/0!</v>
      </c>
      <c r="BC40" s="86" t="e">
        <f>BC28/BC33</f>
        <v>#DIV/0!</v>
      </c>
      <c r="BD40" s="86" t="e">
        <f>BD28/BD33</f>
        <v>#DIV/0!</v>
      </c>
      <c r="BE40" s="86" t="e">
        <f>BE28/BE33</f>
        <v>#DIV/0!</v>
      </c>
      <c r="BF40" s="86" t="e">
        <f>BF28/BF33</f>
        <v>#DIV/0!</v>
      </c>
    </row>
    <row r="41" spans="1:62" ht="15" customHeight="1" x14ac:dyDescent="0.35">
      <c r="A41" s="149"/>
      <c r="B41" s="146" t="s">
        <v>177</v>
      </c>
      <c r="C41" s="156" t="s">
        <v>112</v>
      </c>
      <c r="D41" s="86">
        <f>D29/D33</f>
        <v>0</v>
      </c>
      <c r="E41" s="86">
        <f>E29/E33</f>
        <v>0</v>
      </c>
      <c r="F41" s="86">
        <f>F29/F33</f>
        <v>0</v>
      </c>
      <c r="G41" s="86">
        <f>G29/G33</f>
        <v>0</v>
      </c>
      <c r="H41" s="86">
        <f>H29/H33</f>
        <v>0</v>
      </c>
      <c r="I41" s="86">
        <f>I29/I33</f>
        <v>0</v>
      </c>
      <c r="J41" s="86">
        <f>J29/J33</f>
        <v>0</v>
      </c>
      <c r="K41" s="86">
        <f>K29/K33</f>
        <v>0</v>
      </c>
      <c r="L41" s="86">
        <f>L29/L33</f>
        <v>0</v>
      </c>
      <c r="M41" s="86">
        <f>M29/M33</f>
        <v>0</v>
      </c>
      <c r="N41" s="86">
        <f>N29/N33</f>
        <v>0</v>
      </c>
      <c r="O41" s="86">
        <f>O29/O33</f>
        <v>0</v>
      </c>
      <c r="P41" s="86">
        <f>P29/P33</f>
        <v>0</v>
      </c>
      <c r="Q41" s="86">
        <f>Q29/Q33</f>
        <v>0</v>
      </c>
      <c r="R41" s="86">
        <f>R29/R33</f>
        <v>0</v>
      </c>
      <c r="S41" s="86">
        <f>S29/S33</f>
        <v>0</v>
      </c>
      <c r="T41" s="86">
        <f>T29/T33</f>
        <v>0</v>
      </c>
      <c r="U41" s="86">
        <f>U29/U33</f>
        <v>0</v>
      </c>
      <c r="V41" s="86">
        <f>V29/V33</f>
        <v>0</v>
      </c>
      <c r="W41" s="86">
        <f>W29/W33</f>
        <v>0</v>
      </c>
      <c r="X41" s="86">
        <f>X29/X33</f>
        <v>0</v>
      </c>
      <c r="Y41" s="86">
        <f>Y29/Y33</f>
        <v>0</v>
      </c>
      <c r="Z41" s="86">
        <f>Z29/Z33</f>
        <v>0</v>
      </c>
      <c r="AA41" s="86">
        <f>AA29/AA33</f>
        <v>0</v>
      </c>
      <c r="AB41" s="86">
        <f>AB29/AB33</f>
        <v>0</v>
      </c>
      <c r="AC41" s="86">
        <f>AC29/AC33</f>
        <v>0</v>
      </c>
      <c r="AD41" s="86">
        <f>AD29/AD33</f>
        <v>0</v>
      </c>
      <c r="AE41" s="86">
        <f>AE29/AE33</f>
        <v>0</v>
      </c>
      <c r="AF41" s="86" t="e">
        <f>AF29/AF33</f>
        <v>#DIV/0!</v>
      </c>
      <c r="AG41" s="86">
        <f>AG29/AG33</f>
        <v>0</v>
      </c>
      <c r="AH41" s="86">
        <f>AH29/AH33</f>
        <v>0</v>
      </c>
      <c r="AI41" s="86">
        <f>AI29/AI33</f>
        <v>0</v>
      </c>
      <c r="AJ41" s="86">
        <f>AJ29/AJ33</f>
        <v>0</v>
      </c>
      <c r="AK41" s="86">
        <f>AK29/AK33</f>
        <v>0</v>
      </c>
      <c r="AL41" s="86">
        <f>AL29/AL33</f>
        <v>0</v>
      </c>
      <c r="AM41" s="86">
        <f>AM29/AM33</f>
        <v>0</v>
      </c>
      <c r="AN41" s="86">
        <f>AN29/AN33</f>
        <v>0</v>
      </c>
      <c r="AO41" s="86">
        <f>AO29/AO33</f>
        <v>0</v>
      </c>
      <c r="AP41" s="86">
        <f>AP29/AP33</f>
        <v>0</v>
      </c>
      <c r="AQ41" s="86" t="e">
        <f>AQ29/AQ33</f>
        <v>#DIV/0!</v>
      </c>
      <c r="AR41" s="86">
        <f>AR29/AR33</f>
        <v>0</v>
      </c>
      <c r="AS41" s="86">
        <f>AS29/AS33</f>
        <v>0</v>
      </c>
      <c r="AT41" s="86">
        <f>AT29/AT33</f>
        <v>0</v>
      </c>
      <c r="AU41" s="86" t="e">
        <f>AU29/AU33</f>
        <v>#DIV/0!</v>
      </c>
      <c r="AV41" s="86" t="e">
        <f>AV29/AV33</f>
        <v>#DIV/0!</v>
      </c>
      <c r="AW41" s="86" t="e">
        <f>AW29/AW33</f>
        <v>#DIV/0!</v>
      </c>
      <c r="AX41" s="86" t="e">
        <f>AX29/AX33</f>
        <v>#DIV/0!</v>
      </c>
      <c r="AY41" s="86" t="e">
        <f>AY29/AY33</f>
        <v>#DIV/0!</v>
      </c>
      <c r="AZ41" s="86" t="e">
        <f>AZ29/AZ33</f>
        <v>#DIV/0!</v>
      </c>
      <c r="BA41" s="86" t="e">
        <f>BA29/BA33</f>
        <v>#DIV/0!</v>
      </c>
      <c r="BB41" s="86" t="e">
        <f>BB29/BB33</f>
        <v>#DIV/0!</v>
      </c>
      <c r="BC41" s="86" t="e">
        <f>BC29/BC33</f>
        <v>#DIV/0!</v>
      </c>
      <c r="BD41" s="86" t="e">
        <f>BD29/BD33</f>
        <v>#DIV/0!</v>
      </c>
      <c r="BE41" s="86" t="e">
        <f>BE29/BE33</f>
        <v>#DIV/0!</v>
      </c>
      <c r="BF41" s="86" t="e">
        <f>BF29/BF33</f>
        <v>#DIV/0!</v>
      </c>
    </row>
    <row r="42" spans="1:62" ht="15" customHeight="1" x14ac:dyDescent="0.35">
      <c r="A42" s="149"/>
      <c r="B42" s="146" t="s">
        <v>178</v>
      </c>
      <c r="C42" s="156" t="s">
        <v>113</v>
      </c>
      <c r="D42" s="86">
        <f>D30/D33</f>
        <v>468.56795269499628</v>
      </c>
      <c r="E42" s="86">
        <f>E30/E33</f>
        <v>833.7446855624446</v>
      </c>
      <c r="F42" s="86">
        <f>F30/F33</f>
        <v>682.31425414364639</v>
      </c>
      <c r="G42" s="86">
        <f>G30/G33</f>
        <v>467.91530300305698</v>
      </c>
      <c r="H42" s="86">
        <f>H30/H33</f>
        <v>1101.4695825049703</v>
      </c>
      <c r="I42" s="86">
        <f>I30/I33</f>
        <v>474.82779922779923</v>
      </c>
      <c r="J42" s="86">
        <f>J30/J33</f>
        <v>778.36101813110179</v>
      </c>
      <c r="K42" s="86">
        <f>K30/K33</f>
        <v>753.84260879710655</v>
      </c>
      <c r="L42" s="86">
        <f>L30/L33</f>
        <v>373.33235875148165</v>
      </c>
      <c r="M42" s="86">
        <f>M30/M33</f>
        <v>268.5000729607471</v>
      </c>
      <c r="N42" s="86">
        <f>N30/N33</f>
        <v>479.01950354609932</v>
      </c>
      <c r="O42" s="86">
        <f>O30/O33</f>
        <v>552.01362911736305</v>
      </c>
      <c r="P42" s="86">
        <f>P30/P33</f>
        <v>640.45806982586851</v>
      </c>
      <c r="Q42" s="86">
        <f>Q30/Q33</f>
        <v>392.11120556414221</v>
      </c>
      <c r="R42" s="86">
        <f>R30/R33</f>
        <v>699.27139803750117</v>
      </c>
      <c r="S42" s="86">
        <f>S30/S33</f>
        <v>468.0957829116245</v>
      </c>
      <c r="T42" s="86">
        <f>T30/T33</f>
        <v>479.28915532168361</v>
      </c>
      <c r="U42" s="86">
        <f>U30/U33</f>
        <v>453.29357290614325</v>
      </c>
      <c r="V42" s="86">
        <f>V30/V33</f>
        <v>288.43516979339825</v>
      </c>
      <c r="W42" s="86">
        <f>W30/W33</f>
        <v>253.50321833161689</v>
      </c>
      <c r="X42" s="86">
        <f>X30/X33</f>
        <v>203.48409785932722</v>
      </c>
      <c r="Y42" s="86">
        <f>Y30/Y33</f>
        <v>589.34283319362953</v>
      </c>
      <c r="Z42" s="86">
        <f>Z30/Z33</f>
        <v>1226.4846248462484</v>
      </c>
      <c r="AA42" s="86">
        <f>AA30/AA33</f>
        <v>315.63333333333333</v>
      </c>
      <c r="AB42" s="86">
        <f>AB30/AB33</f>
        <v>703.36852085967132</v>
      </c>
      <c r="AC42" s="86">
        <f>AC30/AC33</f>
        <v>693.10608695652172</v>
      </c>
      <c r="AD42" s="86">
        <f>AD30/AD33</f>
        <v>304.60232558139535</v>
      </c>
      <c r="AE42" s="86">
        <f>AE30/AE33</f>
        <v>2487.3300970873788</v>
      </c>
      <c r="AF42" s="86" t="e">
        <f>AF30/AF33</f>
        <v>#DIV/0!</v>
      </c>
      <c r="AG42" s="86">
        <f>AG30/AG33</f>
        <v>381.58682634730536</v>
      </c>
      <c r="AH42" s="86">
        <f>AH30/AH33</f>
        <v>215.08310249307479</v>
      </c>
      <c r="AI42" s="86">
        <f>AI30/AI33</f>
        <v>159.84375</v>
      </c>
      <c r="AJ42" s="86">
        <f>AJ30/AJ33</f>
        <v>632.69512532507053</v>
      </c>
      <c r="AK42" s="86">
        <f>AK30/AK33</f>
        <v>1041.841898343162</v>
      </c>
      <c r="AL42" s="86">
        <f>AL30/AL33</f>
        <v>476.54001221747097</v>
      </c>
      <c r="AM42" s="86">
        <f>AM30/AM33</f>
        <v>373.67321867321868</v>
      </c>
      <c r="AN42" s="86">
        <f>AN30/AN33</f>
        <v>264.21418764302058</v>
      </c>
      <c r="AO42" s="86">
        <f>AO30/AO33</f>
        <v>379.64656340755084</v>
      </c>
      <c r="AP42" s="86">
        <f>AP30/AP33</f>
        <v>234.26113989637307</v>
      </c>
      <c r="AQ42" s="86" t="e">
        <f>AQ30/AQ33</f>
        <v>#DIV/0!</v>
      </c>
      <c r="AR42" s="86">
        <f>AR30/AR33</f>
        <v>352.20749018423436</v>
      </c>
      <c r="AS42" s="86">
        <f>AS30/AS33</f>
        <v>263.69366139807721</v>
      </c>
      <c r="AT42" s="86">
        <f>AT30/AT33</f>
        <v>92.305813953488368</v>
      </c>
      <c r="AU42" s="86" t="e">
        <f>AU30/AU33</f>
        <v>#DIV/0!</v>
      </c>
      <c r="AV42" s="86" t="e">
        <f>AV30/AV33</f>
        <v>#DIV/0!</v>
      </c>
      <c r="AW42" s="86" t="e">
        <f>AW30/AW33</f>
        <v>#DIV/0!</v>
      </c>
      <c r="AX42" s="86" t="e">
        <f>AX30/AX33</f>
        <v>#DIV/0!</v>
      </c>
      <c r="AY42" s="86" t="e">
        <f>AY30/AY33</f>
        <v>#DIV/0!</v>
      </c>
      <c r="AZ42" s="86" t="e">
        <f>AZ30/AZ33</f>
        <v>#DIV/0!</v>
      </c>
      <c r="BA42" s="86" t="e">
        <f>BA30/BA33</f>
        <v>#DIV/0!</v>
      </c>
      <c r="BB42" s="86" t="e">
        <f>BB30/BB33</f>
        <v>#DIV/0!</v>
      </c>
      <c r="BC42" s="86" t="e">
        <f>BC30/BC33</f>
        <v>#DIV/0!</v>
      </c>
      <c r="BD42" s="86" t="e">
        <f>BD30/BD33</f>
        <v>#DIV/0!</v>
      </c>
      <c r="BE42" s="86" t="e">
        <f>BE30/BE33</f>
        <v>#DIV/0!</v>
      </c>
      <c r="BF42" s="86" t="e">
        <f>BF30/BF33</f>
        <v>#DIV/0!</v>
      </c>
    </row>
    <row r="43" spans="1:62" ht="15" customHeight="1" x14ac:dyDescent="0.35">
      <c r="A43" s="149"/>
      <c r="B43" s="146" t="s">
        <v>179</v>
      </c>
      <c r="C43" s="156" t="s">
        <v>114</v>
      </c>
      <c r="D43" s="86">
        <f>D31/D33</f>
        <v>-46.302088260278765</v>
      </c>
      <c r="E43" s="86">
        <f>E31/E33</f>
        <v>-46.302037201062888</v>
      </c>
      <c r="F43" s="86">
        <f>F31/F33</f>
        <v>-46.302099447513811</v>
      </c>
      <c r="G43" s="86">
        <f>G31/G33</f>
        <v>-46.302103938140625</v>
      </c>
      <c r="H43" s="86">
        <f>H31/H33</f>
        <v>-46.302186878727632</v>
      </c>
      <c r="I43" s="86">
        <f>I31/I33</f>
        <v>-46.301930501930499</v>
      </c>
      <c r="J43" s="86">
        <f>J31/J33</f>
        <v>-46.302092050209204</v>
      </c>
      <c r="K43" s="86">
        <f>K31/K33</f>
        <v>-46.30206510325516</v>
      </c>
      <c r="L43" s="86">
        <f>L31/L33</f>
        <v>-46.302094033978662</v>
      </c>
      <c r="M43" s="86">
        <f>M31/M33</f>
        <v>-46.30205749306873</v>
      </c>
      <c r="N43" s="86">
        <f>N31/N33</f>
        <v>-46.301418439716315</v>
      </c>
      <c r="O43" s="86">
        <f>O31/O33</f>
        <v>-46.302085906100544</v>
      </c>
      <c r="P43" s="86">
        <f>P31/P33</f>
        <v>-46.30208784544746</v>
      </c>
      <c r="Q43" s="86">
        <f>Q31/Q33</f>
        <v>-46.302086553323029</v>
      </c>
      <c r="R43" s="86">
        <f>R31/R33</f>
        <v>-46.302098513552899</v>
      </c>
      <c r="S43" s="86">
        <f>S31/S33</f>
        <v>-46.302090209020903</v>
      </c>
      <c r="T43" s="86">
        <f>T31/T33</f>
        <v>-46.302081276159292</v>
      </c>
      <c r="U43" s="86">
        <f>U31/U33</f>
        <v>-46.302087843363644</v>
      </c>
      <c r="V43" s="86">
        <f>V31/V33</f>
        <v>-46.30208297995047</v>
      </c>
      <c r="W43" s="86">
        <f>W31/W33</f>
        <v>-46.302085478887747</v>
      </c>
      <c r="X43" s="86">
        <f>X31/X33</f>
        <v>-46.302140672782876</v>
      </c>
      <c r="Y43" s="86">
        <f>Y31/Y33</f>
        <v>-46.302039675887116</v>
      </c>
      <c r="Z43" s="86">
        <f>Z31/Z33</f>
        <v>-46.302583025830259</v>
      </c>
      <c r="AA43" s="86">
        <f>AA31/AA33</f>
        <v>-46.303333333333335</v>
      </c>
      <c r="AB43" s="86">
        <f>AB31/AB33</f>
        <v>-46.30214917825537</v>
      </c>
      <c r="AC43" s="86">
        <f>AC31/AC33</f>
        <v>-46.302608695652175</v>
      </c>
      <c r="AD43" s="86">
        <f>AD31/AD33</f>
        <v>-46.301937984496121</v>
      </c>
      <c r="AE43" s="86">
        <f>AE31/AE33</f>
        <v>-46.300970873786405</v>
      </c>
      <c r="AF43" s="86" t="e">
        <f>AF31/AF33</f>
        <v>#DIV/0!</v>
      </c>
      <c r="AG43" s="86">
        <f>AG31/AG33</f>
        <v>-46.301967493584257</v>
      </c>
      <c r="AH43" s="86">
        <f>AH31/AH33</f>
        <v>-46.301939058171747</v>
      </c>
      <c r="AI43" s="86">
        <f>AI31/AI33</f>
        <v>-46.3046875</v>
      </c>
      <c r="AJ43" s="86">
        <f>AJ31/AJ33</f>
        <v>-46.302108117080728</v>
      </c>
      <c r="AK43" s="86">
        <f>AK31/AK33</f>
        <v>-46.302162313956757</v>
      </c>
      <c r="AL43" s="86">
        <f>AL31/AL33</f>
        <v>-46.302382406841787</v>
      </c>
      <c r="AM43" s="86">
        <f>AM31/AM33</f>
        <v>-46.302094302094304</v>
      </c>
      <c r="AN43" s="86">
        <f>AN31/AN33</f>
        <v>-46.302059496567509</v>
      </c>
      <c r="AO43" s="86">
        <f>AO31/AO33</f>
        <v>-46.302129719264279</v>
      </c>
      <c r="AP43" s="86">
        <f>AP31/AP33</f>
        <v>-46.302590673575132</v>
      </c>
      <c r="AQ43" s="86" t="e">
        <f>AQ31/AQ33</f>
        <v>#DIV/0!</v>
      </c>
      <c r="AR43" s="86">
        <f>AR31/AR33</f>
        <v>-46.302083962549077</v>
      </c>
      <c r="AS43" s="86">
        <f>AS31/AS33</f>
        <v>-46.302102004236595</v>
      </c>
      <c r="AT43" s="86">
        <f>AT31/AT33</f>
        <v>-46.302325581395351</v>
      </c>
      <c r="AU43" s="86" t="e">
        <f>AU31/AU33</f>
        <v>#DIV/0!</v>
      </c>
      <c r="AV43" s="86" t="e">
        <f>AV31/AV33</f>
        <v>#DIV/0!</v>
      </c>
      <c r="AW43" s="86" t="e">
        <f>AW31/AW33</f>
        <v>#DIV/0!</v>
      </c>
      <c r="AX43" s="86" t="e">
        <f>AX31/AX33</f>
        <v>#DIV/0!</v>
      </c>
      <c r="AY43" s="86" t="e">
        <f>AY31/AY33</f>
        <v>#DIV/0!</v>
      </c>
      <c r="AZ43" s="86" t="e">
        <f>AZ31/AZ33</f>
        <v>#DIV/0!</v>
      </c>
      <c r="BA43" s="86" t="e">
        <f>BA31/BA33</f>
        <v>#DIV/0!</v>
      </c>
      <c r="BB43" s="86" t="e">
        <f>BB31/BB33</f>
        <v>#DIV/0!</v>
      </c>
      <c r="BC43" s="86" t="e">
        <f>BC31/BC33</f>
        <v>#DIV/0!</v>
      </c>
      <c r="BD43" s="86" t="e">
        <f>BD31/BD33</f>
        <v>#DIV/0!</v>
      </c>
      <c r="BE43" s="86" t="e">
        <f>BE31/BE33</f>
        <v>#DIV/0!</v>
      </c>
      <c r="BF43" s="86" t="e">
        <f>BF31/BF33</f>
        <v>#DIV/0!</v>
      </c>
    </row>
    <row r="44" spans="1:62" ht="15" customHeight="1" x14ac:dyDescent="0.35">
      <c r="A44" s="149"/>
      <c r="B44" s="148" t="s">
        <v>180</v>
      </c>
      <c r="C44" s="155" t="s">
        <v>115</v>
      </c>
      <c r="D44" s="86">
        <f>D32/D33</f>
        <v>489.1641348692483</v>
      </c>
      <c r="E44" s="86">
        <f>E32/E33</f>
        <v>549.37650132860938</v>
      </c>
      <c r="F44" s="86">
        <f>F32/F33</f>
        <v>572.47115580110494</v>
      </c>
      <c r="G44" s="86">
        <f>G32/G33</f>
        <v>553.45491638194574</v>
      </c>
      <c r="H44" s="86">
        <f>H32/H33</f>
        <v>600.69880318091452</v>
      </c>
      <c r="I44" s="86">
        <f>I32/I33</f>
        <v>596.07917374517376</v>
      </c>
      <c r="J44" s="86">
        <f>J32/J33</f>
        <v>585.86678451882847</v>
      </c>
      <c r="K44" s="86">
        <f>K32/K33</f>
        <v>579.56886944347218</v>
      </c>
      <c r="L44" s="86">
        <f>L32/L33</f>
        <v>491.64536151718687</v>
      </c>
      <c r="M44" s="86">
        <f>M32/M33</f>
        <v>476.81259886181238</v>
      </c>
      <c r="N44" s="86">
        <f>N32/N33</f>
        <v>254.26281914893619</v>
      </c>
      <c r="O44" s="86">
        <f>O32/O33</f>
        <v>498.37375597817544</v>
      </c>
      <c r="P44" s="86">
        <f>P32/P33</f>
        <v>506.28474183487833</v>
      </c>
      <c r="Q44" s="86">
        <f>Q32/Q33</f>
        <v>503.48949278722307</v>
      </c>
      <c r="R44" s="86">
        <f>R32/R33</f>
        <v>522.63119255804918</v>
      </c>
      <c r="S44" s="86">
        <f>S32/S33</f>
        <v>528.48503483681702</v>
      </c>
      <c r="T44" s="86">
        <f>T32/T33</f>
        <v>522.01984423874478</v>
      </c>
      <c r="U44" s="86">
        <f>U32/U33</f>
        <v>541.13819141771307</v>
      </c>
      <c r="V44" s="86">
        <f>V32/V33</f>
        <v>415.0126105098891</v>
      </c>
      <c r="W44" s="86">
        <f>W32/W33</f>
        <v>398.71499176107102</v>
      </c>
      <c r="X44" s="86">
        <f>X32/X33</f>
        <v>249.07566055045874</v>
      </c>
      <c r="Y44" s="86">
        <f>Y32/Y33</f>
        <v>326.53846325789323</v>
      </c>
      <c r="Z44" s="86">
        <f>Z32/Z33</f>
        <v>523.09195571955718</v>
      </c>
      <c r="AA44" s="86">
        <f>AA32/AA33</f>
        <v>573.13353333333328</v>
      </c>
      <c r="AB44" s="86">
        <f>AB32/AB33</f>
        <v>498.48436156763591</v>
      </c>
      <c r="AC44" s="86">
        <f>AC32/AC33</f>
        <v>487.81205217391306</v>
      </c>
      <c r="AD44" s="86">
        <f>AD32/AD33</f>
        <v>476.90660465116281</v>
      </c>
      <c r="AE44" s="86">
        <f>AE32/AE33</f>
        <v>501.40669902912623</v>
      </c>
      <c r="AF44" s="86" t="e">
        <f>AF32/AF33</f>
        <v>#DIV/0!</v>
      </c>
      <c r="AG44" s="86">
        <f>AG32/AG33</f>
        <v>459.67951525520391</v>
      </c>
      <c r="AH44" s="86">
        <f>AH32/AH33</f>
        <v>445.31212373037863</v>
      </c>
      <c r="AI44" s="86">
        <f>AI32/AI33</f>
        <v>232.93296874999999</v>
      </c>
      <c r="AJ44" s="86">
        <f>AJ32/AJ33</f>
        <v>286.18076135671998</v>
      </c>
      <c r="AK44" s="86">
        <f>AK32/AK33</f>
        <v>478.29685762426288</v>
      </c>
      <c r="AL44" s="86">
        <f>AL32/AL33</f>
        <v>400.09056200366524</v>
      </c>
      <c r="AM44" s="86">
        <f>AM32/AM33</f>
        <v>461.83096759096759</v>
      </c>
      <c r="AN44" s="86">
        <f>AN32/AN33</f>
        <v>470.28769336384437</v>
      </c>
      <c r="AO44" s="86">
        <f>AO32/AO33</f>
        <v>444.87703388189738</v>
      </c>
      <c r="AP44" s="86">
        <f>AP32/AP33</f>
        <v>377.15098445595856</v>
      </c>
      <c r="AQ44" s="86" t="e">
        <f>AQ32/AQ33</f>
        <v>#DIV/0!</v>
      </c>
      <c r="AR44" s="86">
        <f>AR32/AR33</f>
        <v>418.90177227423737</v>
      </c>
      <c r="AS44" s="86">
        <f>AS32/AS33</f>
        <v>428.48371842919994</v>
      </c>
      <c r="AT44" s="86">
        <f>AT32/AT33</f>
        <v>199.55243023255812</v>
      </c>
      <c r="AU44" s="86" t="e">
        <f>AU32/AU33</f>
        <v>#DIV/0!</v>
      </c>
      <c r="AV44" s="86" t="e">
        <f>AV32/AV33</f>
        <v>#DIV/0!</v>
      </c>
      <c r="AW44" s="86" t="e">
        <f>AW32/AW33</f>
        <v>#DIV/0!</v>
      </c>
      <c r="AX44" s="86" t="e">
        <f>AX32/AX33</f>
        <v>#DIV/0!</v>
      </c>
      <c r="AY44" s="86" t="e">
        <f>AY32/AY33</f>
        <v>#DIV/0!</v>
      </c>
      <c r="AZ44" s="86" t="e">
        <f>AZ32/AZ33</f>
        <v>#DIV/0!</v>
      </c>
      <c r="BA44" s="86" t="e">
        <f>BA32/BA33</f>
        <v>#DIV/0!</v>
      </c>
      <c r="BB44" s="86" t="e">
        <f>BB32/BB33</f>
        <v>#DIV/0!</v>
      </c>
      <c r="BC44" s="86" t="e">
        <f>BC32/BC33</f>
        <v>#DIV/0!</v>
      </c>
      <c r="BD44" s="86" t="e">
        <f>BD32/BD33</f>
        <v>#DIV/0!</v>
      </c>
      <c r="BE44" s="86" t="e">
        <f>BE32/BE33</f>
        <v>#DIV/0!</v>
      </c>
      <c r="BF44" s="86" t="e">
        <f>BF32/BF33</f>
        <v>#DIV/0!</v>
      </c>
    </row>
    <row r="45" spans="1:62" ht="15" customHeight="1" x14ac:dyDescent="0.35"/>
    <row r="46" spans="1:62" ht="15" customHeight="1" x14ac:dyDescent="0.35">
      <c r="C46" s="76" t="s">
        <v>121</v>
      </c>
    </row>
    <row r="47" spans="1:62" ht="15" customHeight="1" x14ac:dyDescent="0.35">
      <c r="B47" s="146" t="s">
        <v>181</v>
      </c>
      <c r="C47" s="163" t="s">
        <v>106</v>
      </c>
      <c r="D47" s="165"/>
      <c r="E47" s="191" t="str">
        <f>IF(E13&lt;&gt;"",E13,"")</f>
        <v>89942GA0050002</v>
      </c>
      <c r="F47" s="191" t="str">
        <f>IF(F13&lt;&gt;"",F13,"")</f>
        <v>89942GA0050012</v>
      </c>
      <c r="G47" s="191" t="str">
        <f>IF(G13&lt;&gt;"",G13,"")</f>
        <v>89942GA0050026</v>
      </c>
      <c r="H47" s="191" t="str">
        <f>IF(H13&lt;&gt;"",H13,"")</f>
        <v>89942GA0050005</v>
      </c>
      <c r="I47" s="191" t="str">
        <f>IF(I13&lt;&gt;"",I13,"")</f>
        <v>89942GA0050006</v>
      </c>
      <c r="J47" s="191" t="str">
        <f>IF(J13&lt;&gt;"",J13,"")</f>
        <v>89942GA0050024</v>
      </c>
      <c r="K47" s="191" t="str">
        <f>IF(K13&lt;&gt;"",K13,"")</f>
        <v>89942GA0050030</v>
      </c>
      <c r="L47" s="191" t="str">
        <f>IF(L13&lt;&gt;"",L13,"")</f>
        <v>89942GA0050007</v>
      </c>
      <c r="M47" s="191" t="str">
        <f>IF(M13&lt;&gt;"",M13,"")</f>
        <v>89942GA0050009</v>
      </c>
      <c r="N47" s="191" t="str">
        <f>IF(N13&lt;&gt;"",N13,"")</f>
        <v>89942GA0050010</v>
      </c>
      <c r="O47" s="191" t="str">
        <f>IF(O13&lt;&gt;"",O13,"")</f>
        <v>89942GA0050016</v>
      </c>
      <c r="P47" s="191" t="str">
        <f>IF(P13&lt;&gt;"",P13,"")</f>
        <v>89942GA0050022</v>
      </c>
      <c r="Q47" s="191" t="str">
        <f>IF(Q13&lt;&gt;"",Q13,"")</f>
        <v>89942GA0050027</v>
      </c>
      <c r="R47" s="191" t="str">
        <f>IF(R13&lt;&gt;"",R13,"")</f>
        <v>89942GA0050017</v>
      </c>
      <c r="S47" s="191" t="str">
        <f>IF(S13&lt;&gt;"",S13,"")</f>
        <v>89942GA0050018</v>
      </c>
      <c r="T47" s="191" t="str">
        <f>IF(T13&lt;&gt;"",T13,"")</f>
        <v>89942GA0050025</v>
      </c>
      <c r="U47" s="191" t="str">
        <f>IF(U13&lt;&gt;"",U13,"")</f>
        <v>89942GA0050031</v>
      </c>
      <c r="V47" s="191" t="str">
        <f>IF(V13&lt;&gt;"",V13,"")</f>
        <v>89942GA0050019</v>
      </c>
      <c r="W47" s="191" t="str">
        <f>IF(W13&lt;&gt;"",W13,"")</f>
        <v>89942GA0050020</v>
      </c>
      <c r="X47" s="191" t="str">
        <f>IF(X13&lt;&gt;"",X13,"")</f>
        <v>89942GA0050021</v>
      </c>
      <c r="Y47" s="191" t="str">
        <f>IF(Y13&lt;&gt;"",Y13,"")</f>
        <v>89942GA0070002</v>
      </c>
      <c r="Z47" s="191" t="str">
        <f>IF(Z13&lt;&gt;"",Z13,"")</f>
        <v>89942GA0070012</v>
      </c>
      <c r="AA47" s="191" t="str">
        <f>IF(AA13&lt;&gt;"",AA13,"")</f>
        <v>89942GA0070026</v>
      </c>
      <c r="AB47" s="191" t="str">
        <f>IF(AB13&lt;&gt;"",AB13,"")</f>
        <v>89942GA0070005</v>
      </c>
      <c r="AC47" s="191" t="str">
        <f>IF(AC13&lt;&gt;"",AC13,"")</f>
        <v>89942GA0070006</v>
      </c>
      <c r="AD47" s="191" t="str">
        <f>IF(AD13&lt;&gt;"",AD13,"")</f>
        <v>89942GA0070024</v>
      </c>
      <c r="AE47" s="191" t="str">
        <f>IF(AE13&lt;&gt;"",AE13,"")</f>
        <v>89942GA0070030</v>
      </c>
      <c r="AF47" s="191" t="str">
        <f>IF(AF13&lt;&gt;"",AF13,"")</f>
        <v>89942GA0070032</v>
      </c>
      <c r="AG47" s="191" t="str">
        <f>IF(AG13&lt;&gt;"",AG13,"")</f>
        <v>89942GA0070007</v>
      </c>
      <c r="AH47" s="191" t="str">
        <f>IF(AH13&lt;&gt;"",AH13,"")</f>
        <v>89942GA0070009</v>
      </c>
      <c r="AI47" s="191" t="str">
        <f>IF(AI13&lt;&gt;"",AI13,"")</f>
        <v>89942GA0070010</v>
      </c>
      <c r="AJ47" s="191" t="str">
        <f>IF(AJ13&lt;&gt;"",AJ13,"")</f>
        <v>89942GA0070016</v>
      </c>
      <c r="AK47" s="191" t="str">
        <f>IF(AK13&lt;&gt;"",AK13,"")</f>
        <v>89942GA0070022</v>
      </c>
      <c r="AL47" s="191" t="str">
        <f>IF(AL13&lt;&gt;"",AL13,"")</f>
        <v>89942GA0070027</v>
      </c>
      <c r="AM47" s="191" t="str">
        <f>IF(AM13&lt;&gt;"",AM13,"")</f>
        <v>89942GA0070017</v>
      </c>
      <c r="AN47" s="191" t="str">
        <f>IF(AN13&lt;&gt;"",AN13,"")</f>
        <v>89942GA0070018</v>
      </c>
      <c r="AO47" s="191" t="str">
        <f>IF(AO13&lt;&gt;"",AO13,"")</f>
        <v>89942GA0070025</v>
      </c>
      <c r="AP47" s="191" t="str">
        <f>IF(AP13&lt;&gt;"",AP13,"")</f>
        <v>89942GA0070031</v>
      </c>
      <c r="AQ47" s="191" t="str">
        <f>IF(AQ13&lt;&gt;"",AQ13,"")</f>
        <v>89942GA0070033</v>
      </c>
      <c r="AR47" s="191" t="str">
        <f>IF(AR13&lt;&gt;"",AR13,"")</f>
        <v>89942GA0070019</v>
      </c>
      <c r="AS47" s="191" t="str">
        <f>IF(AS13&lt;&gt;"",AS13,"")</f>
        <v>89942GA0070020</v>
      </c>
      <c r="AT47" s="191" t="str">
        <f>IF(AT13&lt;&gt;"",AT13,"")</f>
        <v>89942GA0070021</v>
      </c>
      <c r="AU47" s="191" t="str">
        <f>IF(AU13&lt;&gt;"",AU13,"")</f>
        <v>89942GA0130001</v>
      </c>
      <c r="AV47" s="191" t="str">
        <f>IF(AV13&lt;&gt;"",AV13,"")</f>
        <v>89942GA0130003</v>
      </c>
      <c r="AW47" s="191" t="str">
        <f>IF(AW13&lt;&gt;"",AW13,"")</f>
        <v>89942GA0130005</v>
      </c>
      <c r="AX47" s="191" t="str">
        <f>IF(AX13&lt;&gt;"",AX13,"")</f>
        <v>89942GA0130002</v>
      </c>
      <c r="AY47" s="191" t="str">
        <f>IF(AY13&lt;&gt;"",AY13,"")</f>
        <v>89942GA0130004</v>
      </c>
      <c r="AZ47" s="191" t="str">
        <f>IF(AZ13&lt;&gt;"",AZ13,"")</f>
        <v>89942GA0130006</v>
      </c>
      <c r="BA47" s="191" t="str">
        <f>IF(BA13&lt;&gt;"",BA13,"")</f>
        <v>89942GA0150001</v>
      </c>
      <c r="BB47" s="191" t="str">
        <f>IF(BB13&lt;&gt;"",BB13,"")</f>
        <v>89942GA0150003</v>
      </c>
      <c r="BC47" s="191" t="str">
        <f>IF(BC13&lt;&gt;"",BC13,"")</f>
        <v>89942GA0150005</v>
      </c>
      <c r="BD47" s="191" t="str">
        <f>IF(BD13&lt;&gt;"",BD13,"")</f>
        <v>89942GA0150002</v>
      </c>
      <c r="BE47" s="191" t="str">
        <f>IF(BE13&lt;&gt;"",BE13,"")</f>
        <v>89942GA0150004</v>
      </c>
      <c r="BF47" s="191" t="str">
        <f>IF(BF13&lt;&gt;"",BF13,"")</f>
        <v>89942GA0150006</v>
      </c>
    </row>
    <row r="48" spans="1:62" ht="15" customHeight="1" x14ac:dyDescent="0.35">
      <c r="B48" s="146" t="s">
        <v>182</v>
      </c>
      <c r="C48" s="163" t="s">
        <v>122</v>
      </c>
      <c r="D48" s="166"/>
      <c r="E48" s="272">
        <f>'Wksh 1 - Market Experience'!F46</f>
        <v>702.44528922223367</v>
      </c>
      <c r="F48" s="273"/>
      <c r="G48" s="273"/>
      <c r="H48" s="273"/>
      <c r="I48" s="273"/>
      <c r="J48" s="273"/>
      <c r="K48" s="273"/>
      <c r="L48" s="273"/>
      <c r="M48" s="273"/>
      <c r="N48" s="273"/>
      <c r="O48" s="273"/>
      <c r="P48" s="273"/>
      <c r="Q48" s="273"/>
      <c r="R48" s="273"/>
      <c r="S48" s="273"/>
      <c r="T48" s="273"/>
      <c r="U48" s="273"/>
      <c r="V48" s="273"/>
      <c r="W48" s="273"/>
      <c r="X48" s="273"/>
      <c r="Y48" s="273"/>
      <c r="Z48" s="273"/>
      <c r="AA48" s="273"/>
      <c r="AB48" s="273"/>
      <c r="AC48" s="273"/>
      <c r="AD48" s="273"/>
      <c r="AE48" s="273"/>
      <c r="AF48" s="273"/>
      <c r="AG48" s="273"/>
      <c r="AH48" s="273"/>
      <c r="AI48" s="273"/>
      <c r="AJ48" s="273"/>
      <c r="AK48" s="273"/>
      <c r="AL48" s="273"/>
      <c r="AM48" s="273"/>
      <c r="AN48" s="273"/>
      <c r="AO48" s="273"/>
      <c r="AP48" s="273"/>
      <c r="AQ48" s="273"/>
      <c r="AR48" s="273"/>
      <c r="AS48" s="273"/>
      <c r="AT48" s="273"/>
      <c r="AU48" s="273"/>
      <c r="AV48" s="273"/>
      <c r="AW48" s="273"/>
      <c r="AX48" s="273"/>
      <c r="AY48" s="273"/>
      <c r="AZ48" s="273"/>
      <c r="BA48" s="273"/>
      <c r="BB48" s="273"/>
      <c r="BC48" s="273"/>
      <c r="BD48" s="273"/>
      <c r="BE48" s="273"/>
      <c r="BF48" s="271"/>
    </row>
    <row r="49" spans="2:58" ht="15" customHeight="1" x14ac:dyDescent="0.35">
      <c r="B49" s="146" t="s">
        <v>183</v>
      </c>
      <c r="C49" s="163" t="s">
        <v>123</v>
      </c>
      <c r="D49" s="166"/>
      <c r="E49" s="193">
        <v>0.93</v>
      </c>
      <c r="F49" s="193">
        <v>0.89400000000000002</v>
      </c>
      <c r="G49" s="193">
        <v>0.84899999999999998</v>
      </c>
      <c r="H49" s="193">
        <v>0.89980000000000004</v>
      </c>
      <c r="I49" s="193">
        <v>0.77</v>
      </c>
      <c r="J49" s="193">
        <v>0.87250000000000005</v>
      </c>
      <c r="K49" s="193">
        <v>0.81789999999999996</v>
      </c>
      <c r="L49" s="193">
        <v>0.68</v>
      </c>
      <c r="M49" s="193">
        <v>0.67</v>
      </c>
      <c r="N49" s="193">
        <v>0.64300000000000002</v>
      </c>
      <c r="O49" s="193">
        <v>0.93</v>
      </c>
      <c r="P49" s="193">
        <v>0.89400000000000002</v>
      </c>
      <c r="Q49" s="193">
        <v>0.84899999999999998</v>
      </c>
      <c r="R49" s="193">
        <v>0.89980000000000004</v>
      </c>
      <c r="S49" s="193">
        <v>0.77</v>
      </c>
      <c r="T49" s="193">
        <v>0.87250000000000005</v>
      </c>
      <c r="U49" s="193">
        <v>0.81789999999999996</v>
      </c>
      <c r="V49" s="193">
        <v>0.68</v>
      </c>
      <c r="W49" s="193">
        <v>0.67</v>
      </c>
      <c r="X49" s="193">
        <v>0.64300000000000002</v>
      </c>
      <c r="Y49" s="193">
        <v>0.93</v>
      </c>
      <c r="Z49" s="193">
        <v>0.89400000000000002</v>
      </c>
      <c r="AA49" s="193">
        <v>0.84899999999999998</v>
      </c>
      <c r="AB49" s="193">
        <v>0.79100000000000004</v>
      </c>
      <c r="AC49" s="193">
        <v>0.77</v>
      </c>
      <c r="AD49" s="193">
        <v>0.76700000000000002</v>
      </c>
      <c r="AE49" s="193">
        <v>0.71899999999999997</v>
      </c>
      <c r="AF49" s="193">
        <v>0.69699999999999995</v>
      </c>
      <c r="AG49" s="193">
        <v>0.68</v>
      </c>
      <c r="AH49" s="193">
        <v>0.67</v>
      </c>
      <c r="AI49" s="193">
        <v>0.64300000000000002</v>
      </c>
      <c r="AJ49" s="193">
        <v>0.93</v>
      </c>
      <c r="AK49" s="193">
        <v>0.89400000000000002</v>
      </c>
      <c r="AL49" s="193">
        <v>0.84899999999999998</v>
      </c>
      <c r="AM49" s="193">
        <v>0.79100000000000004</v>
      </c>
      <c r="AN49" s="193">
        <v>0.77</v>
      </c>
      <c r="AO49" s="193">
        <v>0.76700000000000002</v>
      </c>
      <c r="AP49" s="193">
        <v>0.71899999999999997</v>
      </c>
      <c r="AQ49" s="193">
        <v>0.69699999999999995</v>
      </c>
      <c r="AR49" s="193">
        <v>0.68</v>
      </c>
      <c r="AS49" s="193">
        <v>0.67</v>
      </c>
      <c r="AT49" s="193">
        <v>0.64300000000000002</v>
      </c>
      <c r="AU49" s="193">
        <v>0.89800000000000002</v>
      </c>
      <c r="AV49" s="193">
        <v>0.83730000000000004</v>
      </c>
      <c r="AW49" s="193">
        <v>0.70699999999999996</v>
      </c>
      <c r="AX49" s="193">
        <v>0.89800000000000002</v>
      </c>
      <c r="AY49" s="193">
        <v>0.83730000000000004</v>
      </c>
      <c r="AZ49" s="193">
        <v>0.70699999999999996</v>
      </c>
      <c r="BA49" s="193">
        <v>0.89800000000000002</v>
      </c>
      <c r="BB49" s="193">
        <v>0.73599999999999999</v>
      </c>
      <c r="BC49" s="193">
        <v>0.70699999999999996</v>
      </c>
      <c r="BD49" s="193">
        <v>0.89800000000000002</v>
      </c>
      <c r="BE49" s="193">
        <v>0.73599999999999999</v>
      </c>
      <c r="BF49" s="193">
        <v>0.70699999999999996</v>
      </c>
    </row>
    <row r="50" spans="2:58" ht="15" customHeight="1" x14ac:dyDescent="0.35">
      <c r="B50" s="146" t="s">
        <v>184</v>
      </c>
      <c r="C50" s="163" t="s">
        <v>124</v>
      </c>
      <c r="D50" s="166"/>
      <c r="E50" s="193">
        <v>1.0859000000000001</v>
      </c>
      <c r="F50" s="193">
        <v>1.0859000000000001</v>
      </c>
      <c r="G50" s="193">
        <v>1.0859000000000001</v>
      </c>
      <c r="H50" s="193">
        <v>1.0859000000000001</v>
      </c>
      <c r="I50" s="193">
        <v>1.0859000000000001</v>
      </c>
      <c r="J50" s="193">
        <v>1.0859000000000001</v>
      </c>
      <c r="K50" s="193">
        <v>1.0859000000000001</v>
      </c>
      <c r="L50" s="193">
        <v>1.0859000000000001</v>
      </c>
      <c r="M50" s="193">
        <v>1.0859000000000001</v>
      </c>
      <c r="N50" s="193">
        <v>1.0859000000000001</v>
      </c>
      <c r="O50" s="193">
        <v>0.98809999999999998</v>
      </c>
      <c r="P50" s="193">
        <v>0.98809999999999998</v>
      </c>
      <c r="Q50" s="193">
        <v>0.98809999999999998</v>
      </c>
      <c r="R50" s="193">
        <v>0.98809999999999998</v>
      </c>
      <c r="S50" s="193">
        <v>0.98809999999999998</v>
      </c>
      <c r="T50" s="193">
        <v>0.98809999999999998</v>
      </c>
      <c r="U50" s="193">
        <v>0.98809999999999998</v>
      </c>
      <c r="V50" s="193">
        <v>0.98809999999999998</v>
      </c>
      <c r="W50" s="193">
        <v>0.98809999999999998</v>
      </c>
      <c r="X50" s="193">
        <v>0.98809999999999998</v>
      </c>
      <c r="Y50" s="193">
        <v>1.0859000000000001</v>
      </c>
      <c r="Z50" s="193">
        <v>1.0859000000000001</v>
      </c>
      <c r="AA50" s="193">
        <v>1.0859000000000001</v>
      </c>
      <c r="AB50" s="193">
        <v>1.0859000000000001</v>
      </c>
      <c r="AC50" s="193">
        <v>1.0859000000000001</v>
      </c>
      <c r="AD50" s="193">
        <v>1.0859000000000001</v>
      </c>
      <c r="AE50" s="193">
        <v>1.0859000000000001</v>
      </c>
      <c r="AF50" s="193">
        <v>1.0859000000000001</v>
      </c>
      <c r="AG50" s="193">
        <v>1.0859000000000001</v>
      </c>
      <c r="AH50" s="193">
        <v>1.0859000000000001</v>
      </c>
      <c r="AI50" s="193">
        <v>1.0859000000000001</v>
      </c>
      <c r="AJ50" s="193">
        <v>0.98809999999999998</v>
      </c>
      <c r="AK50" s="193">
        <v>0.98809999999999998</v>
      </c>
      <c r="AL50" s="193">
        <v>0.98809999999999998</v>
      </c>
      <c r="AM50" s="193">
        <v>0.98809999999999998</v>
      </c>
      <c r="AN50" s="193">
        <v>0.98809999999999998</v>
      </c>
      <c r="AO50" s="193">
        <v>0.98809999999999998</v>
      </c>
      <c r="AP50" s="193">
        <v>0.98809999999999998</v>
      </c>
      <c r="AQ50" s="193">
        <v>0.98809999999999998</v>
      </c>
      <c r="AR50" s="193">
        <v>0.98809999999999998</v>
      </c>
      <c r="AS50" s="193">
        <v>0.98809999999999998</v>
      </c>
      <c r="AT50" s="193">
        <v>0.98809999999999998</v>
      </c>
      <c r="AU50" s="193">
        <v>1.0859000000000001</v>
      </c>
      <c r="AV50" s="193">
        <v>1.0859000000000001</v>
      </c>
      <c r="AW50" s="193">
        <v>1.0859000000000001</v>
      </c>
      <c r="AX50" s="193">
        <v>0.98809999999999998</v>
      </c>
      <c r="AY50" s="193">
        <v>0.98809999999999998</v>
      </c>
      <c r="AZ50" s="193">
        <v>0.98809999999999998</v>
      </c>
      <c r="BA50" s="193">
        <v>1.0859000000000001</v>
      </c>
      <c r="BB50" s="193">
        <v>1.0859000000000001</v>
      </c>
      <c r="BC50" s="193">
        <v>1.0859000000000001</v>
      </c>
      <c r="BD50" s="193">
        <v>0.98809999999999998</v>
      </c>
      <c r="BE50" s="193">
        <v>0.98809999999999998</v>
      </c>
      <c r="BF50" s="193">
        <v>0.98809999999999998</v>
      </c>
    </row>
    <row r="51" spans="2:58" ht="15" customHeight="1" x14ac:dyDescent="0.35">
      <c r="B51" s="148" t="s">
        <v>185</v>
      </c>
      <c r="C51" s="164" t="s">
        <v>125</v>
      </c>
      <c r="D51" s="167"/>
      <c r="E51" s="193">
        <v>1.0005999999999999</v>
      </c>
      <c r="F51" s="193">
        <v>1.0005999999999999</v>
      </c>
      <c r="G51" s="193">
        <v>1.0005999999999999</v>
      </c>
      <c r="H51" s="193">
        <v>1.0005999999999999</v>
      </c>
      <c r="I51" s="193">
        <v>1.0005999999999999</v>
      </c>
      <c r="J51" s="193">
        <v>1.0005999999999999</v>
      </c>
      <c r="K51" s="193">
        <v>1.0005999999999999</v>
      </c>
      <c r="L51" s="193">
        <v>1.0005999999999999</v>
      </c>
      <c r="M51" s="193">
        <v>1.0005999999999999</v>
      </c>
      <c r="N51" s="193">
        <v>1.0005999999999999</v>
      </c>
      <c r="O51" s="193">
        <v>1.0005999999999999</v>
      </c>
      <c r="P51" s="193">
        <v>1.0005999999999999</v>
      </c>
      <c r="Q51" s="193">
        <v>1.0005999999999999</v>
      </c>
      <c r="R51" s="193">
        <v>1.0005999999999999</v>
      </c>
      <c r="S51" s="193">
        <v>1.0005999999999999</v>
      </c>
      <c r="T51" s="193">
        <v>1.0005999999999999</v>
      </c>
      <c r="U51" s="193">
        <v>1.0005999999999999</v>
      </c>
      <c r="V51" s="193">
        <v>1.0005999999999999</v>
      </c>
      <c r="W51" s="193">
        <v>1.0005999999999999</v>
      </c>
      <c r="X51" s="193">
        <v>1.0005999999999999</v>
      </c>
      <c r="Y51" s="193">
        <v>1.0036</v>
      </c>
      <c r="Z51" s="193">
        <v>1.0036</v>
      </c>
      <c r="AA51" s="193">
        <v>1.0036</v>
      </c>
      <c r="AB51" s="193">
        <v>1.0036</v>
      </c>
      <c r="AC51" s="193">
        <v>1.0036</v>
      </c>
      <c r="AD51" s="193">
        <v>1.0036</v>
      </c>
      <c r="AE51" s="193">
        <v>1.0036</v>
      </c>
      <c r="AF51" s="193">
        <v>1.0036</v>
      </c>
      <c r="AG51" s="193">
        <v>1.0036</v>
      </c>
      <c r="AH51" s="193">
        <v>1.0036</v>
      </c>
      <c r="AI51" s="193">
        <v>1.0036</v>
      </c>
      <c r="AJ51" s="193">
        <v>1.0036</v>
      </c>
      <c r="AK51" s="193">
        <v>1.0036</v>
      </c>
      <c r="AL51" s="193">
        <v>1.0036</v>
      </c>
      <c r="AM51" s="193">
        <v>1.0036</v>
      </c>
      <c r="AN51" s="193">
        <v>1.0036</v>
      </c>
      <c r="AO51" s="193">
        <v>1.0036</v>
      </c>
      <c r="AP51" s="193">
        <v>1.0036</v>
      </c>
      <c r="AQ51" s="193">
        <v>1.0036</v>
      </c>
      <c r="AR51" s="193">
        <v>1.0036</v>
      </c>
      <c r="AS51" s="193">
        <v>1.0036</v>
      </c>
      <c r="AT51" s="193">
        <v>1.0036</v>
      </c>
      <c r="AU51" s="193">
        <v>1.0005999999999999</v>
      </c>
      <c r="AV51" s="193">
        <v>1.0005999999999999</v>
      </c>
      <c r="AW51" s="193">
        <v>1.0005999999999999</v>
      </c>
      <c r="AX51" s="193">
        <v>1.0005999999999999</v>
      </c>
      <c r="AY51" s="193">
        <v>1.0005999999999999</v>
      </c>
      <c r="AZ51" s="193">
        <v>1.0005999999999999</v>
      </c>
      <c r="BA51" s="193">
        <v>1.0036</v>
      </c>
      <c r="BB51" s="193">
        <v>1.0036</v>
      </c>
      <c r="BC51" s="193">
        <v>1.0036</v>
      </c>
      <c r="BD51" s="193">
        <v>1.0036</v>
      </c>
      <c r="BE51" s="193">
        <v>1.0036</v>
      </c>
      <c r="BF51" s="193">
        <v>1.0036</v>
      </c>
    </row>
    <row r="52" spans="2:58" ht="15" customHeight="1" x14ac:dyDescent="0.35">
      <c r="C52" s="77" t="s">
        <v>133</v>
      </c>
    </row>
    <row r="53" spans="2:58" ht="15" customHeight="1" x14ac:dyDescent="0.35">
      <c r="B53" s="146" t="s">
        <v>186</v>
      </c>
      <c r="C53" s="172" t="s">
        <v>134</v>
      </c>
      <c r="D53" s="165"/>
      <c r="E53" s="196">
        <v>0.1341</v>
      </c>
      <c r="F53" s="196">
        <v>0.1341</v>
      </c>
      <c r="G53" s="196">
        <v>0.1341</v>
      </c>
      <c r="H53" s="196">
        <v>0.1341</v>
      </c>
      <c r="I53" s="196">
        <v>0.1341</v>
      </c>
      <c r="J53" s="196">
        <v>0.1341</v>
      </c>
      <c r="K53" s="196">
        <v>0.1341</v>
      </c>
      <c r="L53" s="196">
        <v>0.1341</v>
      </c>
      <c r="M53" s="196">
        <v>0.1341</v>
      </c>
      <c r="N53" s="196">
        <v>0.1341</v>
      </c>
      <c r="O53" s="196">
        <v>0.1341</v>
      </c>
      <c r="P53" s="196">
        <v>0.1341</v>
      </c>
      <c r="Q53" s="196">
        <v>0.1341</v>
      </c>
      <c r="R53" s="196">
        <v>0.1341</v>
      </c>
      <c r="S53" s="196">
        <v>0.1341</v>
      </c>
      <c r="T53" s="196">
        <v>0.1341</v>
      </c>
      <c r="U53" s="196">
        <v>0.1341</v>
      </c>
      <c r="V53" s="196">
        <v>0.1341</v>
      </c>
      <c r="W53" s="196">
        <v>0.1341</v>
      </c>
      <c r="X53" s="196">
        <v>0.1341</v>
      </c>
      <c r="Y53" s="196">
        <v>0.1341</v>
      </c>
      <c r="Z53" s="196">
        <v>0.1341</v>
      </c>
      <c r="AA53" s="196">
        <v>0.1341</v>
      </c>
      <c r="AB53" s="196">
        <v>0.1341</v>
      </c>
      <c r="AC53" s="196">
        <v>0.1341</v>
      </c>
      <c r="AD53" s="196">
        <v>0.1341</v>
      </c>
      <c r="AE53" s="196">
        <v>0.1341</v>
      </c>
      <c r="AF53" s="196">
        <v>0.1341</v>
      </c>
      <c r="AG53" s="196">
        <v>0.1341</v>
      </c>
      <c r="AH53" s="196">
        <v>0.1341</v>
      </c>
      <c r="AI53" s="196">
        <v>0.1341</v>
      </c>
      <c r="AJ53" s="196">
        <v>0.1341</v>
      </c>
      <c r="AK53" s="196">
        <v>0.1341</v>
      </c>
      <c r="AL53" s="196">
        <v>0.1341</v>
      </c>
      <c r="AM53" s="196">
        <v>0.1341</v>
      </c>
      <c r="AN53" s="196">
        <v>0.1341</v>
      </c>
      <c r="AO53" s="196">
        <v>0.1341</v>
      </c>
      <c r="AP53" s="196">
        <v>0.1341</v>
      </c>
      <c r="AQ53" s="196">
        <v>0.1341</v>
      </c>
      <c r="AR53" s="196">
        <v>0.1341</v>
      </c>
      <c r="AS53" s="196">
        <v>0.1341</v>
      </c>
      <c r="AT53" s="196">
        <v>0.1341</v>
      </c>
      <c r="AU53" s="196">
        <v>0.1341</v>
      </c>
      <c r="AV53" s="196">
        <v>0.1341</v>
      </c>
      <c r="AW53" s="196">
        <v>0.1341</v>
      </c>
      <c r="AX53" s="196">
        <v>0.1341</v>
      </c>
      <c r="AY53" s="196">
        <v>0.1341</v>
      </c>
      <c r="AZ53" s="196">
        <v>0.1341</v>
      </c>
      <c r="BA53" s="196">
        <v>0.1341</v>
      </c>
      <c r="BB53" s="196">
        <v>0.1341</v>
      </c>
      <c r="BC53" s="196">
        <v>0.1341</v>
      </c>
      <c r="BD53" s="196">
        <v>0.1341</v>
      </c>
      <c r="BE53" s="196">
        <v>0.1341</v>
      </c>
      <c r="BF53" s="196">
        <v>0.1341</v>
      </c>
    </row>
    <row r="54" spans="2:58" ht="15" customHeight="1" x14ac:dyDescent="0.35">
      <c r="B54" s="146" t="s">
        <v>187</v>
      </c>
      <c r="C54" s="172" t="s">
        <v>135</v>
      </c>
      <c r="D54" s="166"/>
      <c r="E54" s="196">
        <v>5.7999999999999996E-3</v>
      </c>
      <c r="F54" s="196">
        <v>5.7999999999999996E-3</v>
      </c>
      <c r="G54" s="196">
        <v>5.7999999999999996E-3</v>
      </c>
      <c r="H54" s="196">
        <v>5.7999999999999996E-3</v>
      </c>
      <c r="I54" s="196">
        <v>5.7999999999999996E-3</v>
      </c>
      <c r="J54" s="196">
        <v>5.7999999999999996E-3</v>
      </c>
      <c r="K54" s="196">
        <v>5.7999999999999996E-3</v>
      </c>
      <c r="L54" s="196">
        <v>5.7999999999999996E-3</v>
      </c>
      <c r="M54" s="196">
        <v>5.7999999999999996E-3</v>
      </c>
      <c r="N54" s="196">
        <v>5.7999999999999996E-3</v>
      </c>
      <c r="O54" s="196">
        <v>5.7999999999999996E-3</v>
      </c>
      <c r="P54" s="196">
        <v>5.7999999999999996E-3</v>
      </c>
      <c r="Q54" s="196">
        <v>5.7999999999999996E-3</v>
      </c>
      <c r="R54" s="196">
        <v>5.7999999999999996E-3</v>
      </c>
      <c r="S54" s="196">
        <v>5.7999999999999996E-3</v>
      </c>
      <c r="T54" s="196">
        <v>5.7999999999999996E-3</v>
      </c>
      <c r="U54" s="196">
        <v>5.7999999999999996E-3</v>
      </c>
      <c r="V54" s="196">
        <v>5.7999999999999996E-3</v>
      </c>
      <c r="W54" s="196">
        <v>5.7999999999999996E-3</v>
      </c>
      <c r="X54" s="196">
        <v>5.7999999999999996E-3</v>
      </c>
      <c r="Y54" s="196">
        <v>5.7999999999999996E-3</v>
      </c>
      <c r="Z54" s="196">
        <v>5.7999999999999996E-3</v>
      </c>
      <c r="AA54" s="196">
        <v>5.7999999999999996E-3</v>
      </c>
      <c r="AB54" s="196">
        <v>5.7999999999999996E-3</v>
      </c>
      <c r="AC54" s="196">
        <v>5.7999999999999996E-3</v>
      </c>
      <c r="AD54" s="196">
        <v>5.7999999999999996E-3</v>
      </c>
      <c r="AE54" s="196">
        <v>5.7999999999999996E-3</v>
      </c>
      <c r="AF54" s="196">
        <v>5.7999999999999996E-3</v>
      </c>
      <c r="AG54" s="196">
        <v>5.7999999999999996E-3</v>
      </c>
      <c r="AH54" s="196">
        <v>5.7999999999999996E-3</v>
      </c>
      <c r="AI54" s="196">
        <v>5.7999999999999996E-3</v>
      </c>
      <c r="AJ54" s="196">
        <v>5.7999999999999996E-3</v>
      </c>
      <c r="AK54" s="196">
        <v>5.7999999999999996E-3</v>
      </c>
      <c r="AL54" s="196">
        <v>5.7999999999999996E-3</v>
      </c>
      <c r="AM54" s="196">
        <v>5.7999999999999996E-3</v>
      </c>
      <c r="AN54" s="196">
        <v>5.7999999999999996E-3</v>
      </c>
      <c r="AO54" s="196">
        <v>5.7999999999999996E-3</v>
      </c>
      <c r="AP54" s="196">
        <v>5.7999999999999996E-3</v>
      </c>
      <c r="AQ54" s="196">
        <v>5.7999999999999996E-3</v>
      </c>
      <c r="AR54" s="196">
        <v>5.7999999999999996E-3</v>
      </c>
      <c r="AS54" s="196">
        <v>5.7999999999999996E-3</v>
      </c>
      <c r="AT54" s="196">
        <v>5.7999999999999996E-3</v>
      </c>
      <c r="AU54" s="196">
        <v>5.7999999999999996E-3</v>
      </c>
      <c r="AV54" s="196">
        <v>5.7999999999999996E-3</v>
      </c>
      <c r="AW54" s="196">
        <v>5.7999999999999996E-3</v>
      </c>
      <c r="AX54" s="196">
        <v>5.7999999999999996E-3</v>
      </c>
      <c r="AY54" s="196">
        <v>5.7999999999999996E-3</v>
      </c>
      <c r="AZ54" s="196">
        <v>5.7999999999999996E-3</v>
      </c>
      <c r="BA54" s="196">
        <v>5.7999999999999996E-3</v>
      </c>
      <c r="BB54" s="196">
        <v>5.7999999999999996E-3</v>
      </c>
      <c r="BC54" s="196">
        <v>5.7999999999999996E-3</v>
      </c>
      <c r="BD54" s="196">
        <v>5.7999999999999996E-3</v>
      </c>
      <c r="BE54" s="196">
        <v>5.7999999999999996E-3</v>
      </c>
      <c r="BF54" s="196">
        <v>5.7999999999999996E-3</v>
      </c>
    </row>
    <row r="55" spans="2:58" ht="15" customHeight="1" x14ac:dyDescent="0.35">
      <c r="B55" s="146" t="s">
        <v>188</v>
      </c>
      <c r="C55" s="172" t="s">
        <v>12</v>
      </c>
      <c r="D55" s="166"/>
      <c r="E55" s="196">
        <v>-6.4699999999999994E-2</v>
      </c>
      <c r="F55" s="196">
        <v>-6.4699999999999994E-2</v>
      </c>
      <c r="G55" s="196">
        <v>-6.4699999999999994E-2</v>
      </c>
      <c r="H55" s="196">
        <v>-6.4699999999999994E-2</v>
      </c>
      <c r="I55" s="196">
        <v>-6.4699999999999994E-2</v>
      </c>
      <c r="J55" s="196">
        <v>-6.4699999999999994E-2</v>
      </c>
      <c r="K55" s="196">
        <v>-6.4699999999999994E-2</v>
      </c>
      <c r="L55" s="196">
        <v>-6.4699999999999994E-2</v>
      </c>
      <c r="M55" s="196">
        <v>-6.4699999999999994E-2</v>
      </c>
      <c r="N55" s="196">
        <v>-6.4699999999999994E-2</v>
      </c>
      <c r="O55" s="196">
        <v>-6.4699999999999994E-2</v>
      </c>
      <c r="P55" s="196">
        <v>-6.4699999999999994E-2</v>
      </c>
      <c r="Q55" s="196">
        <v>-6.4699999999999994E-2</v>
      </c>
      <c r="R55" s="196">
        <v>-6.4699999999999994E-2</v>
      </c>
      <c r="S55" s="196">
        <v>-6.4699999999999994E-2</v>
      </c>
      <c r="T55" s="196">
        <v>-6.4699999999999994E-2</v>
      </c>
      <c r="U55" s="196">
        <v>-6.4699999999999994E-2</v>
      </c>
      <c r="V55" s="196">
        <v>-6.4699999999999994E-2</v>
      </c>
      <c r="W55" s="196">
        <v>-6.4699999999999994E-2</v>
      </c>
      <c r="X55" s="196">
        <v>-6.4699999999999994E-2</v>
      </c>
      <c r="Y55" s="196">
        <v>-6.4699999999999994E-2</v>
      </c>
      <c r="Z55" s="196">
        <v>-6.4699999999999994E-2</v>
      </c>
      <c r="AA55" s="196">
        <v>-6.4699999999999994E-2</v>
      </c>
      <c r="AB55" s="196">
        <v>-6.4699999999999994E-2</v>
      </c>
      <c r="AC55" s="196">
        <v>-6.4699999999999994E-2</v>
      </c>
      <c r="AD55" s="196">
        <v>-6.4699999999999994E-2</v>
      </c>
      <c r="AE55" s="196">
        <v>-6.4699999999999994E-2</v>
      </c>
      <c r="AF55" s="196">
        <v>-6.4699999999999994E-2</v>
      </c>
      <c r="AG55" s="196">
        <v>-6.4699999999999994E-2</v>
      </c>
      <c r="AH55" s="196">
        <v>-6.4699999999999994E-2</v>
      </c>
      <c r="AI55" s="196">
        <v>-6.4699999999999994E-2</v>
      </c>
      <c r="AJ55" s="196">
        <v>-6.4699999999999994E-2</v>
      </c>
      <c r="AK55" s="196">
        <v>-6.4699999999999994E-2</v>
      </c>
      <c r="AL55" s="196">
        <v>-6.4699999999999994E-2</v>
      </c>
      <c r="AM55" s="196">
        <v>-6.4699999999999994E-2</v>
      </c>
      <c r="AN55" s="196">
        <v>-6.4699999999999994E-2</v>
      </c>
      <c r="AO55" s="196">
        <v>-6.4699999999999994E-2</v>
      </c>
      <c r="AP55" s="196">
        <v>-6.4699999999999994E-2</v>
      </c>
      <c r="AQ55" s="196">
        <v>-6.4699999999999994E-2</v>
      </c>
      <c r="AR55" s="196">
        <v>-6.4699999999999994E-2</v>
      </c>
      <c r="AS55" s="196">
        <v>-6.4699999999999994E-2</v>
      </c>
      <c r="AT55" s="196">
        <v>-6.4699999999999994E-2</v>
      </c>
      <c r="AU55" s="196">
        <v>-6.4699999999999994E-2</v>
      </c>
      <c r="AV55" s="196">
        <v>-6.4699999999999994E-2</v>
      </c>
      <c r="AW55" s="196">
        <v>-6.4699999999999994E-2</v>
      </c>
      <c r="AX55" s="196">
        <v>-6.4699999999999994E-2</v>
      </c>
      <c r="AY55" s="196">
        <v>-6.4699999999999994E-2</v>
      </c>
      <c r="AZ55" s="196">
        <v>-6.4699999999999994E-2</v>
      </c>
      <c r="BA55" s="196">
        <v>-6.4699999999999994E-2</v>
      </c>
      <c r="BB55" s="196">
        <v>-6.4699999999999994E-2</v>
      </c>
      <c r="BC55" s="196">
        <v>-6.4699999999999994E-2</v>
      </c>
      <c r="BD55" s="196">
        <v>-6.4699999999999994E-2</v>
      </c>
      <c r="BE55" s="196">
        <v>-6.4699999999999994E-2</v>
      </c>
      <c r="BF55" s="196">
        <v>-6.4699999999999994E-2</v>
      </c>
    </row>
    <row r="56" spans="2:58" ht="15" customHeight="1" x14ac:dyDescent="0.35">
      <c r="B56" s="146" t="s">
        <v>189</v>
      </c>
      <c r="C56" s="163" t="s">
        <v>126</v>
      </c>
      <c r="D56" s="166"/>
      <c r="E56" s="193">
        <v>1</v>
      </c>
      <c r="F56" s="193">
        <v>1</v>
      </c>
      <c r="G56" s="193">
        <v>1</v>
      </c>
      <c r="H56" s="193">
        <v>1</v>
      </c>
      <c r="I56" s="193">
        <v>1</v>
      </c>
      <c r="J56" s="193">
        <v>1</v>
      </c>
      <c r="K56" s="193">
        <v>1</v>
      </c>
      <c r="L56" s="193">
        <v>1</v>
      </c>
      <c r="M56" s="193">
        <v>1</v>
      </c>
      <c r="N56" s="193">
        <v>0.91100000000000003</v>
      </c>
      <c r="O56" s="193">
        <v>1</v>
      </c>
      <c r="P56" s="193">
        <v>1</v>
      </c>
      <c r="Q56" s="193">
        <v>1</v>
      </c>
      <c r="R56" s="193">
        <v>1</v>
      </c>
      <c r="S56" s="193">
        <v>1</v>
      </c>
      <c r="T56" s="193">
        <v>1</v>
      </c>
      <c r="U56" s="193">
        <v>1</v>
      </c>
      <c r="V56" s="193">
        <v>1</v>
      </c>
      <c r="W56" s="193">
        <v>1</v>
      </c>
      <c r="X56" s="193">
        <v>0.91100000000000003</v>
      </c>
      <c r="Y56" s="193">
        <v>1</v>
      </c>
      <c r="Z56" s="193">
        <v>1</v>
      </c>
      <c r="AA56" s="193">
        <v>1</v>
      </c>
      <c r="AB56" s="193">
        <v>1</v>
      </c>
      <c r="AC56" s="193">
        <v>1</v>
      </c>
      <c r="AD56" s="193">
        <v>1</v>
      </c>
      <c r="AE56" s="193">
        <v>1</v>
      </c>
      <c r="AF56" s="193">
        <v>1</v>
      </c>
      <c r="AG56" s="193">
        <v>1</v>
      </c>
      <c r="AH56" s="193">
        <v>1</v>
      </c>
      <c r="AI56" s="193">
        <v>0.91100000000000003</v>
      </c>
      <c r="AJ56" s="193">
        <v>1</v>
      </c>
      <c r="AK56" s="193">
        <v>1</v>
      </c>
      <c r="AL56" s="193">
        <v>1</v>
      </c>
      <c r="AM56" s="193">
        <v>1</v>
      </c>
      <c r="AN56" s="193">
        <v>1</v>
      </c>
      <c r="AO56" s="193">
        <v>1</v>
      </c>
      <c r="AP56" s="193">
        <v>1</v>
      </c>
      <c r="AQ56" s="193">
        <v>1</v>
      </c>
      <c r="AR56" s="193">
        <v>1</v>
      </c>
      <c r="AS56" s="193">
        <v>1</v>
      </c>
      <c r="AT56" s="193">
        <v>0.91100000000000003</v>
      </c>
      <c r="AU56" s="193">
        <v>1</v>
      </c>
      <c r="AV56" s="193">
        <v>1</v>
      </c>
      <c r="AW56" s="193">
        <v>1</v>
      </c>
      <c r="AX56" s="193">
        <v>1</v>
      </c>
      <c r="AY56" s="193">
        <v>1</v>
      </c>
      <c r="AZ56" s="193">
        <v>1</v>
      </c>
      <c r="BA56" s="193">
        <v>1</v>
      </c>
      <c r="BB56" s="193">
        <v>1</v>
      </c>
      <c r="BC56" s="193">
        <v>1</v>
      </c>
      <c r="BD56" s="193">
        <v>1</v>
      </c>
      <c r="BE56" s="193">
        <v>1</v>
      </c>
      <c r="BF56" s="193">
        <v>1</v>
      </c>
    </row>
    <row r="57" spans="2:58" ht="15" customHeight="1" x14ac:dyDescent="0.35">
      <c r="B57" s="148" t="s">
        <v>190</v>
      </c>
      <c r="C57" s="173" t="s">
        <v>79</v>
      </c>
      <c r="D57" s="167"/>
      <c r="E57" s="195">
        <f>($E$48*PRODUCT(E49:E51)*E56)/(1-SUM(E53:E55))</f>
        <v>767.53460209369814</v>
      </c>
      <c r="F57" s="195">
        <f>($E$48*PRODUCT(F49:F51)*F56)/(1-SUM(F53:F55))</f>
        <v>737.82358523845812</v>
      </c>
      <c r="G57" s="195">
        <f>($E$48*PRODUCT(G49:G51)*G56)/(1-SUM(G53:G55))</f>
        <v>700.68481416940824</v>
      </c>
      <c r="H57" s="195">
        <f>($E$48*PRODUCT(H49:H51)*H56)/(1-SUM(H53:H55))</f>
        <v>742.6103601762469</v>
      </c>
      <c r="I57" s="195">
        <f>($E$48*PRODUCT(I49:I51)*I56)/(1-SUM(I53:I55))</f>
        <v>635.48563829263173</v>
      </c>
      <c r="J57" s="195">
        <f>($E$48*PRODUCT(J49:J51)*J56)/(1-SUM(J53:J55))</f>
        <v>720.07950572768982</v>
      </c>
      <c r="K57" s="195">
        <f>($E$48*PRODUCT(K49:K51)*K56)/(1-SUM(K53:K55))</f>
        <v>675.01779683057589</v>
      </c>
      <c r="L57" s="195">
        <f>($E$48*PRODUCT(L49:L51)*L56)/(1-SUM(L53:L55))</f>
        <v>561.20809615453197</v>
      </c>
      <c r="M57" s="195">
        <f>($E$48*PRODUCT(M49:M51)*M56)/(1-SUM(M53:M55))</f>
        <v>552.95503591696524</v>
      </c>
      <c r="N57" s="195">
        <f>($E$48*PRODUCT(N49:N51)*N56)/(1-SUM(N53:N55))</f>
        <v>483.44198545401281</v>
      </c>
      <c r="O57" s="195">
        <f>($E$48*PRODUCT(O49:O51)*O56)/(1-SUM(O53:O55))</f>
        <v>698.40771740379694</v>
      </c>
      <c r="P57" s="195">
        <f>($E$48*PRODUCT(P49:P51)*P56)/(1-SUM(P53:P55))</f>
        <v>671.3725799559079</v>
      </c>
      <c r="Q57" s="195">
        <f>($E$48*PRODUCT(Q49:Q51)*Q56)/(1-SUM(Q53:Q55))</f>
        <v>637.57865814604668</v>
      </c>
      <c r="R57" s="195">
        <f>($E$48*PRODUCT(R49:R51)*R56)/(1-SUM(R53:R55))</f>
        <v>675.72824098917897</v>
      </c>
      <c r="S57" s="195">
        <f>($E$48*PRODUCT(S49:S51)*S56)/(1-SUM(S53:S55))</f>
        <v>578.25155096873505</v>
      </c>
      <c r="T57" s="195">
        <f>($E$48*PRODUCT(T49:T51)*T56)/(1-SUM(T53:T55))</f>
        <v>655.2265950911966</v>
      </c>
      <c r="U57" s="195">
        <f>($E$48*PRODUCT(U49:U51)*U56)/(1-SUM(U53:U55))</f>
        <v>614.22330329523163</v>
      </c>
      <c r="V57" s="195">
        <f>($E$48*PRODUCT(V49:V51)*V56)/(1-SUM(V53:V55))</f>
        <v>510.66370734901278</v>
      </c>
      <c r="W57" s="195">
        <f>($E$48*PRODUCT(W49:W51)*W56)/(1-SUM(W53:W55))</f>
        <v>503.15394694682146</v>
      </c>
      <c r="X57" s="195">
        <f>($E$48*PRODUCT(X49:X51)*X56)/(1-SUM(X53:X55))</f>
        <v>439.90148800728423</v>
      </c>
      <c r="Y57" s="195">
        <f>($E$48*PRODUCT(Y49:Y51)*Y56)/(1-SUM(Y53:Y55))</f>
        <v>769.83582516613592</v>
      </c>
      <c r="Z57" s="195">
        <f>($E$48*PRODUCT(Z49:Z51)*Z56)/(1-SUM(Z53:Z55))</f>
        <v>740.03572870809194</v>
      </c>
      <c r="AA57" s="195">
        <f>($E$48*PRODUCT(AA49:AA51)*AA56)/(1-SUM(AA53:AA55))</f>
        <v>702.7856081355369</v>
      </c>
      <c r="AB57" s="195">
        <f>($E$48*PRODUCT(AB49:AB51)*AB56)/(1-SUM(AB53:AB55))</f>
        <v>654.77434161979932</v>
      </c>
      <c r="AC57" s="195">
        <f>($E$48*PRODUCT(AC49:AC51)*AC56)/(1-SUM(AC53:AC55))</f>
        <v>637.39095201927375</v>
      </c>
      <c r="AD57" s="195">
        <f>($E$48*PRODUCT(AD49:AD51)*AD56)/(1-SUM(AD53:AD55))</f>
        <v>634.90761064777007</v>
      </c>
      <c r="AE57" s="195">
        <f>($E$48*PRODUCT(AE49:AE51)*AE56)/(1-SUM(AE53:AE55))</f>
        <v>595.17414870371135</v>
      </c>
      <c r="AF57" s="195">
        <f>($E$48*PRODUCT(AF49:AF51)*AF56)/(1-SUM(AF53:AF55))</f>
        <v>576.96297864601786</v>
      </c>
      <c r="AG57" s="195">
        <f>($E$48*PRODUCT(AG49:AG51)*AG56)/(1-SUM(AG53:AG55))</f>
        <v>562.8907108741638</v>
      </c>
      <c r="AH57" s="195">
        <f>($E$48*PRODUCT(AH49:AH51)*AH56)/(1-SUM(AH53:AH55))</f>
        <v>554.61290630248504</v>
      </c>
      <c r="AI57" s="195">
        <f>($E$48*PRODUCT(AI49:AI51)*AI56)/(1-SUM(AI53:AI55))</f>
        <v>484.89144173660526</v>
      </c>
      <c r="AJ57" s="195">
        <f>($E$48*PRODUCT(AJ49:AJ51)*AJ56)/(1-SUM(AJ53:AJ55))</f>
        <v>700.501684175945</v>
      </c>
      <c r="AK57" s="195">
        <f>($E$48*PRODUCT(AK49:AK51)*AK56)/(1-SUM(AK53:AK55))</f>
        <v>673.38548994977941</v>
      </c>
      <c r="AL57" s="195">
        <f>($E$48*PRODUCT(AL49:AL51)*AL56)/(1-SUM(AL53:AL55))</f>
        <v>639.49024716707243</v>
      </c>
      <c r="AM57" s="195">
        <f>($E$48*PRODUCT(AM49:AM51)*AM56)/(1-SUM(AM53:AM55))</f>
        <v>595.80304535825007</v>
      </c>
      <c r="AN57" s="195">
        <f>($E$48*PRODUCT(AN49:AN51)*AN56)/(1-SUM(AN53:AN55))</f>
        <v>579.98526539298666</v>
      </c>
      <c r="AO57" s="195">
        <f>($E$48*PRODUCT(AO49:AO51)*AO56)/(1-SUM(AO53:AO55))</f>
        <v>577.72558254080627</v>
      </c>
      <c r="AP57" s="195">
        <f>($E$48*PRODUCT(AP49:AP51)*AP56)/(1-SUM(AP53:AP55))</f>
        <v>541.57065690591867</v>
      </c>
      <c r="AQ57" s="195">
        <f>($E$48*PRODUCT(AQ49:AQ51)*AQ56)/(1-SUM(AQ53:AQ55))</f>
        <v>524.99964932326202</v>
      </c>
      <c r="AR57" s="195">
        <f>($E$48*PRODUCT(AR49:AR51)*AR56)/(1-SUM(AR53:AR55))</f>
        <v>512.1947798275728</v>
      </c>
      <c r="AS57" s="195">
        <f>($E$48*PRODUCT(AS49:AS51)*AS56)/(1-SUM(AS53:AS55))</f>
        <v>504.66250365363788</v>
      </c>
      <c r="AT57" s="195">
        <f>($E$48*PRODUCT(AT49:AT51)*AT56)/(1-SUM(AT53:AT55))</f>
        <v>441.22040112343649</v>
      </c>
      <c r="AU57" s="195">
        <f>($E$48*PRODUCT(AU49:AU51)*AU56)/(1-SUM(AU53:AU55))</f>
        <v>741.1248093334849</v>
      </c>
      <c r="AV57" s="195">
        <f>($E$48*PRODUCT(AV49:AV51)*AV56)/(1-SUM(AV53:AV55))</f>
        <v>691.02873369145527</v>
      </c>
      <c r="AW57" s="195">
        <f>($E$48*PRODUCT(AW49:AW51)*AW56)/(1-SUM(AW53:AW55))</f>
        <v>583.49135879596179</v>
      </c>
      <c r="AX57" s="195">
        <f>($E$48*PRODUCT(AX49:AX51)*AX56)/(1-SUM(AX53:AX55))</f>
        <v>674.37648411678447</v>
      </c>
      <c r="AY57" s="195">
        <f>($E$48*PRODUCT(AY49:AY51)*AY56)/(1-SUM(AY53:AY55))</f>
        <v>628.79223847548303</v>
      </c>
      <c r="AZ57" s="195">
        <f>($E$48*PRODUCT(AZ49:AZ51)*AZ56)/(1-SUM(AZ53:AZ55))</f>
        <v>530.94006043492936</v>
      </c>
      <c r="BA57" s="195">
        <f>($E$48*PRODUCT(BA49:BA51)*BA56)/(1-SUM(BA53:BA55))</f>
        <v>743.34685053676333</v>
      </c>
      <c r="BB57" s="195">
        <f>($E$48*PRODUCT(BB49:BB51)*BB56)/(1-SUM(BB53:BB55))</f>
        <v>609.24641647556552</v>
      </c>
      <c r="BC57" s="195">
        <f>($E$48*PRODUCT(BC49:BC51)*BC56)/(1-SUM(BC53:BC55))</f>
        <v>585.24078321769673</v>
      </c>
      <c r="BD57" s="195">
        <f>($E$48*PRODUCT(BD49:BD51)*BD56)/(1-SUM(BD53:BD55))</f>
        <v>676.39840041935338</v>
      </c>
      <c r="BE57" s="195">
        <f>($E$48*PRODUCT(BE49:BE51)*BE56)/(1-SUM(BE53:BE55))</f>
        <v>554.375526401608</v>
      </c>
      <c r="BF57" s="195">
        <f>($E$48*PRODUCT(BF49:BF51)*BF56)/(1-SUM(BF53:BF55))</f>
        <v>532.53192549719688</v>
      </c>
    </row>
    <row r="58" spans="2:58" ht="15" customHeight="1" x14ac:dyDescent="0.35"/>
    <row r="59" spans="2:58" ht="15" customHeight="1" x14ac:dyDescent="0.35">
      <c r="B59" s="146" t="s">
        <v>191</v>
      </c>
      <c r="C59" s="156" t="s">
        <v>127</v>
      </c>
      <c r="D59" s="208">
        <v>0.61070000000000002</v>
      </c>
      <c r="E59" s="268">
        <f>IF(D59&lt;&gt;"", D59, "")</f>
        <v>0.61070000000000002</v>
      </c>
      <c r="F59" s="269"/>
      <c r="G59" s="269"/>
      <c r="H59" s="269"/>
      <c r="I59" s="269"/>
      <c r="J59" s="269"/>
      <c r="K59" s="269"/>
      <c r="L59" s="269"/>
      <c r="M59" s="269"/>
      <c r="N59" s="269"/>
      <c r="O59" s="269"/>
      <c r="P59" s="269"/>
      <c r="Q59" s="269"/>
      <c r="R59" s="269"/>
      <c r="S59" s="269"/>
      <c r="T59" s="269"/>
      <c r="U59" s="269"/>
      <c r="V59" s="269"/>
      <c r="W59" s="269"/>
      <c r="X59" s="269"/>
      <c r="Y59" s="269"/>
      <c r="Z59" s="269"/>
      <c r="AA59" s="269"/>
      <c r="AB59" s="269"/>
      <c r="AC59" s="269"/>
      <c r="AD59" s="269"/>
      <c r="AE59" s="269"/>
      <c r="AF59" s="269"/>
      <c r="AG59" s="269"/>
      <c r="AH59" s="269"/>
      <c r="AI59" s="269"/>
      <c r="AJ59" s="269"/>
      <c r="AK59" s="269"/>
      <c r="AL59" s="269"/>
      <c r="AM59" s="269"/>
      <c r="AN59" s="269"/>
      <c r="AO59" s="269"/>
      <c r="AP59" s="269"/>
      <c r="AQ59" s="269"/>
      <c r="AR59" s="269"/>
      <c r="AS59" s="269"/>
      <c r="AT59" s="269"/>
      <c r="AU59" s="269"/>
      <c r="AV59" s="269"/>
      <c r="AW59" s="269"/>
      <c r="AX59" s="269"/>
      <c r="AY59" s="269"/>
      <c r="AZ59" s="269"/>
      <c r="BA59" s="269"/>
      <c r="BB59" s="269"/>
      <c r="BC59" s="269"/>
      <c r="BD59" s="269"/>
      <c r="BE59" s="269"/>
      <c r="BF59" s="270"/>
    </row>
    <row r="60" spans="2:58" ht="15" customHeight="1" x14ac:dyDescent="0.35">
      <c r="B60" s="146" t="s">
        <v>192</v>
      </c>
      <c r="C60" s="156" t="s">
        <v>128</v>
      </c>
      <c r="D60" s="208">
        <v>1</v>
      </c>
      <c r="E60" s="268">
        <f>IF(D60&lt;&gt;"", D60, "")</f>
        <v>1</v>
      </c>
      <c r="F60" s="269"/>
      <c r="G60" s="269"/>
      <c r="H60" s="269"/>
      <c r="I60" s="269"/>
      <c r="J60" s="269"/>
      <c r="K60" s="269"/>
      <c r="L60" s="269"/>
      <c r="M60" s="269"/>
      <c r="N60" s="269"/>
      <c r="O60" s="269"/>
      <c r="P60" s="269"/>
      <c r="Q60" s="269"/>
      <c r="R60" s="269"/>
      <c r="S60" s="269"/>
      <c r="T60" s="269"/>
      <c r="U60" s="269"/>
      <c r="V60" s="269"/>
      <c r="W60" s="269"/>
      <c r="X60" s="269"/>
      <c r="Y60" s="269"/>
      <c r="Z60" s="269"/>
      <c r="AA60" s="269"/>
      <c r="AB60" s="269"/>
      <c r="AC60" s="269"/>
      <c r="AD60" s="269"/>
      <c r="AE60" s="269"/>
      <c r="AF60" s="269"/>
      <c r="AG60" s="269"/>
      <c r="AH60" s="269"/>
      <c r="AI60" s="269"/>
      <c r="AJ60" s="269"/>
      <c r="AK60" s="269"/>
      <c r="AL60" s="269"/>
      <c r="AM60" s="269"/>
      <c r="AN60" s="269"/>
      <c r="AO60" s="269"/>
      <c r="AP60" s="269"/>
      <c r="AQ60" s="269"/>
      <c r="AR60" s="269"/>
      <c r="AS60" s="269"/>
      <c r="AT60" s="269"/>
      <c r="AU60" s="269"/>
      <c r="AV60" s="269"/>
      <c r="AW60" s="269"/>
      <c r="AX60" s="269"/>
      <c r="AY60" s="269"/>
      <c r="AZ60" s="269"/>
      <c r="BA60" s="269"/>
      <c r="BB60" s="269"/>
      <c r="BC60" s="269"/>
      <c r="BD60" s="269"/>
      <c r="BE60" s="269"/>
      <c r="BF60" s="270"/>
    </row>
    <row r="61" spans="2:58" ht="15" customHeight="1" x14ac:dyDescent="0.35">
      <c r="B61" s="146" t="s">
        <v>193</v>
      </c>
      <c r="C61" s="156" t="s">
        <v>129</v>
      </c>
      <c r="D61" s="208">
        <v>0.99780000000000002</v>
      </c>
      <c r="E61" s="268">
        <f>IF(D61&lt;&gt;"", D61, "")</f>
        <v>0.99780000000000002</v>
      </c>
      <c r="F61" s="269"/>
      <c r="G61" s="269"/>
      <c r="H61" s="269"/>
      <c r="I61" s="269"/>
      <c r="J61" s="269"/>
      <c r="K61" s="269"/>
      <c r="L61" s="269"/>
      <c r="M61" s="269"/>
      <c r="N61" s="269"/>
      <c r="O61" s="269"/>
      <c r="P61" s="269"/>
      <c r="Q61" s="269"/>
      <c r="R61" s="269"/>
      <c r="S61" s="269"/>
      <c r="T61" s="269"/>
      <c r="U61" s="269"/>
      <c r="V61" s="269"/>
      <c r="W61" s="269"/>
      <c r="X61" s="269"/>
      <c r="Y61" s="269"/>
      <c r="Z61" s="269"/>
      <c r="AA61" s="269"/>
      <c r="AB61" s="269"/>
      <c r="AC61" s="269"/>
      <c r="AD61" s="269"/>
      <c r="AE61" s="269"/>
      <c r="AF61" s="269"/>
      <c r="AG61" s="269"/>
      <c r="AH61" s="269"/>
      <c r="AI61" s="269"/>
      <c r="AJ61" s="269"/>
      <c r="AK61" s="269"/>
      <c r="AL61" s="269"/>
      <c r="AM61" s="269"/>
      <c r="AN61" s="269"/>
      <c r="AO61" s="269"/>
      <c r="AP61" s="269"/>
      <c r="AQ61" s="269"/>
      <c r="AR61" s="269"/>
      <c r="AS61" s="269"/>
      <c r="AT61" s="269"/>
      <c r="AU61" s="269"/>
      <c r="AV61" s="269"/>
      <c r="AW61" s="269"/>
      <c r="AX61" s="269"/>
      <c r="AY61" s="269"/>
      <c r="AZ61" s="269"/>
      <c r="BA61" s="269"/>
      <c r="BB61" s="269"/>
      <c r="BC61" s="269"/>
      <c r="BD61" s="269"/>
      <c r="BE61" s="269"/>
      <c r="BF61" s="270"/>
    </row>
    <row r="62" spans="2:58" ht="15" customHeight="1" x14ac:dyDescent="0.35">
      <c r="B62" s="148" t="s">
        <v>194</v>
      </c>
      <c r="C62" s="171" t="s">
        <v>136</v>
      </c>
      <c r="D62" s="170"/>
      <c r="E62" s="195">
        <f>E57*(PRODUCT($E$59:$E$61))</f>
        <v>467.70216805932449</v>
      </c>
      <c r="F62" s="195">
        <f>F57*(PRODUCT($E$59:$E$61))</f>
        <v>449.5975680054151</v>
      </c>
      <c r="G62" s="195">
        <f>G57*(PRODUCT($E$59:$E$61))</f>
        <v>426.96681793802844</v>
      </c>
      <c r="H62" s="195">
        <f>H57*(PRODUCT($E$59:$E$61))</f>
        <v>452.51442023632279</v>
      </c>
      <c r="I62" s="195">
        <f>I57*(PRODUCT($E$59:$E$61))</f>
        <v>387.2372789308385</v>
      </c>
      <c r="J62" s="195">
        <f>J57*(PRODUCT($E$59:$E$61))</f>
        <v>438.78509852877477</v>
      </c>
      <c r="K62" s="195">
        <f>K57*(PRODUCT($E$59:$E$61))</f>
        <v>411.32645511367895</v>
      </c>
      <c r="L62" s="195">
        <f>L57*(PRODUCT($E$59:$E$61))</f>
        <v>341.97577879606519</v>
      </c>
      <c r="M62" s="195">
        <f>M57*(PRODUCT($E$59:$E$61))</f>
        <v>336.94672322553481</v>
      </c>
      <c r="N62" s="195">
        <f>N57*(PRODUCT($E$59:$E$61))</f>
        <v>294.58849687162871</v>
      </c>
      <c r="O62" s="195">
        <f>O57*(PRODUCT($E$59:$E$61))</f>
        <v>425.57925431385809</v>
      </c>
      <c r="P62" s="195">
        <f>P57*(PRODUCT($E$59:$E$61))</f>
        <v>409.10521866299899</v>
      </c>
      <c r="Q62" s="195">
        <f>Q57*(PRODUCT($E$59:$E$61))</f>
        <v>388.51267409942517</v>
      </c>
      <c r="R62" s="195">
        <f>R57*(PRODUCT($E$59:$E$61))</f>
        <v>411.75936885119302</v>
      </c>
      <c r="S62" s="195">
        <f>S57*(PRODUCT($E$59:$E$61))</f>
        <v>352.36131808781795</v>
      </c>
      <c r="T62" s="195">
        <f>T57*(PRODUCT($E$59:$E$61))</f>
        <v>399.26655848262493</v>
      </c>
      <c r="U62" s="195">
        <f>U57*(PRODUCT($E$59:$E$61))</f>
        <v>374.2809377454887</v>
      </c>
      <c r="V62" s="195">
        <f>V57*(PRODUCT($E$59:$E$61))</f>
        <v>311.17622896067041</v>
      </c>
      <c r="W62" s="195">
        <f>W57*(PRODUCT($E$59:$E$61))</f>
        <v>306.60010794654295</v>
      </c>
      <c r="X62" s="195">
        <f>X57*(PRODUCT($E$59:$E$61))</f>
        <v>268.05681348085119</v>
      </c>
      <c r="Y62" s="195">
        <f>Y57*(PRODUCT($E$59:$E$61))</f>
        <v>469.1044332044155</v>
      </c>
      <c r="Z62" s="195">
        <f>Z57*(PRODUCT($E$59:$E$61))</f>
        <v>450.94555191908324</v>
      </c>
      <c r="AA62" s="195">
        <f>AA57*(PRODUCT($E$59:$E$61))</f>
        <v>428.24695031241794</v>
      </c>
      <c r="AB62" s="195">
        <f>AB57*(PRODUCT($E$59:$E$61))</f>
        <v>398.9909749082716</v>
      </c>
      <c r="AC62" s="195">
        <f>AC57*(PRODUCT($E$59:$E$61))</f>
        <v>388.39829415849448</v>
      </c>
      <c r="AD62" s="195">
        <f>AD57*(PRODUCT($E$59:$E$61))</f>
        <v>386.88505405138346</v>
      </c>
      <c r="AE62" s="195">
        <f>AE57*(PRODUCT($E$59:$E$61))</f>
        <v>362.67321233760714</v>
      </c>
      <c r="AF62" s="195">
        <f>AF57*(PRODUCT($E$59:$E$61))</f>
        <v>351.57611821879306</v>
      </c>
      <c r="AG62" s="195">
        <f>AG57*(PRODUCT($E$59:$E$61))</f>
        <v>343.00109094516398</v>
      </c>
      <c r="AH62" s="195">
        <f>AH57*(PRODUCT($E$59:$E$61))</f>
        <v>337.95695725479396</v>
      </c>
      <c r="AI62" s="195">
        <f>AI57*(PRODUCT($E$59:$E$61))</f>
        <v>295.47173242091401</v>
      </c>
      <c r="AJ62" s="195">
        <f>AJ57*(PRODUCT($E$59:$E$61))</f>
        <v>426.85522649349184</v>
      </c>
      <c r="AK62" s="195">
        <f>AK57*(PRODUCT($E$59:$E$61))</f>
        <v>410.33179837116313</v>
      </c>
      <c r="AL62" s="195">
        <f>AL57*(PRODUCT($E$59:$E$61))</f>
        <v>389.67751321825227</v>
      </c>
      <c r="AM62" s="195">
        <f>AM57*(PRODUCT($E$59:$E$61))</f>
        <v>363.05643457672267</v>
      </c>
      <c r="AN62" s="195">
        <f>AN57*(PRODUCT($E$59:$E$61))</f>
        <v>353.41776817203083</v>
      </c>
      <c r="AO62" s="195">
        <f>AO57*(PRODUCT($E$59:$E$61))</f>
        <v>352.04081582850353</v>
      </c>
      <c r="AP62" s="195">
        <f>AP57*(PRODUCT($E$59:$E$61))</f>
        <v>330.00957833206513</v>
      </c>
      <c r="AQ62" s="195">
        <f>AQ57*(PRODUCT($E$59:$E$61))</f>
        <v>319.91192781286435</v>
      </c>
      <c r="AR62" s="195">
        <f>AR57*(PRODUCT($E$59:$E$61))</f>
        <v>312.10919786620917</v>
      </c>
      <c r="AS62" s="195">
        <f>AS57*(PRODUCT($E$59:$E$61))</f>
        <v>307.51935672111784</v>
      </c>
      <c r="AT62" s="195">
        <f>AT57*(PRODUCT($E$59:$E$61))</f>
        <v>268.86050170835728</v>
      </c>
      <c r="AU62" s="195">
        <f>AU57*(PRODUCT($E$59:$E$61))</f>
        <v>451.60919023362732</v>
      </c>
      <c r="AV62" s="195">
        <f>AV57*(PRODUCT($E$59:$E$61))</f>
        <v>421.08282292050791</v>
      </c>
      <c r="AW62" s="195">
        <f>AW57*(PRODUCT($E$59:$E$61))</f>
        <v>355.55422883649715</v>
      </c>
      <c r="AX62" s="195">
        <f>AX57*(PRODUCT($E$59:$E$61))</f>
        <v>410.93566706864999</v>
      </c>
      <c r="AY62" s="195">
        <f>AY57*(PRODUCT($E$59:$E$61))</f>
        <v>383.15861251289613</v>
      </c>
      <c r="AZ62" s="195">
        <f>AZ57*(PRODUCT($E$59:$E$61))</f>
        <v>323.53175569881461</v>
      </c>
      <c r="BA62" s="195">
        <f>BA57*(PRODUCT($E$59:$E$61))</f>
        <v>452.96320539523117</v>
      </c>
      <c r="BB62" s="195">
        <f>BB57*(PRODUCT($E$59:$E$61))</f>
        <v>371.24823961123627</v>
      </c>
      <c r="BC62" s="195">
        <f>BC57*(PRODUCT($E$59:$E$61))</f>
        <v>356.62025190916307</v>
      </c>
      <c r="BD62" s="195">
        <f>BD57*(PRODUCT($E$59:$E$61))</f>
        <v>412.16773482919967</v>
      </c>
      <c r="BE62" s="195">
        <f>BE57*(PRODUCT($E$59:$E$61))</f>
        <v>337.81230827872037</v>
      </c>
      <c r="BF62" s="195">
        <f>BF57*(PRODUCT($E$59:$E$61))</f>
        <v>324.50176895795562</v>
      </c>
    </row>
    <row r="63" spans="2:58" ht="15" customHeight="1" x14ac:dyDescent="0.35"/>
    <row r="64" spans="2:58" ht="15" customHeight="1" x14ac:dyDescent="0.35">
      <c r="C64" s="76" t="s">
        <v>130</v>
      </c>
    </row>
    <row r="65" spans="2:58" ht="15" customHeight="1" x14ac:dyDescent="0.35">
      <c r="B65" s="146" t="s">
        <v>195</v>
      </c>
      <c r="C65" s="152" t="s">
        <v>106</v>
      </c>
      <c r="D65" s="174" t="s">
        <v>2</v>
      </c>
      <c r="E65" s="90" t="str">
        <f>IF(E13&lt;&gt;"",E13,"")</f>
        <v>89942GA0050002</v>
      </c>
      <c r="F65" s="90" t="str">
        <f>IF(F13&lt;&gt;"",F13,"")</f>
        <v>89942GA0050012</v>
      </c>
      <c r="G65" s="90" t="str">
        <f>IF(G13&lt;&gt;"",G13,"")</f>
        <v>89942GA0050026</v>
      </c>
      <c r="H65" s="90" t="str">
        <f>IF(H13&lt;&gt;"",H13,"")</f>
        <v>89942GA0050005</v>
      </c>
      <c r="I65" s="90" t="str">
        <f>IF(I13&lt;&gt;"",I13,"")</f>
        <v>89942GA0050006</v>
      </c>
      <c r="J65" s="90" t="str">
        <f>IF(J13&lt;&gt;"",J13,"")</f>
        <v>89942GA0050024</v>
      </c>
      <c r="K65" s="90" t="str">
        <f>IF(K13&lt;&gt;"",K13,"")</f>
        <v>89942GA0050030</v>
      </c>
      <c r="L65" s="90" t="str">
        <f>IF(L13&lt;&gt;"",L13,"")</f>
        <v>89942GA0050007</v>
      </c>
      <c r="M65" s="90" t="str">
        <f>IF(M13&lt;&gt;"",M13,"")</f>
        <v>89942GA0050009</v>
      </c>
      <c r="N65" s="90" t="str">
        <f>IF(N13&lt;&gt;"",N13,"")</f>
        <v>89942GA0050010</v>
      </c>
      <c r="O65" s="90" t="str">
        <f>IF(O13&lt;&gt;"",O13,"")</f>
        <v>89942GA0050016</v>
      </c>
      <c r="P65" s="90" t="str">
        <f>IF(P13&lt;&gt;"",P13,"")</f>
        <v>89942GA0050022</v>
      </c>
      <c r="Q65" s="90" t="str">
        <f>IF(Q13&lt;&gt;"",Q13,"")</f>
        <v>89942GA0050027</v>
      </c>
      <c r="R65" s="90" t="str">
        <f>IF(R13&lt;&gt;"",R13,"")</f>
        <v>89942GA0050017</v>
      </c>
      <c r="S65" s="90" t="str">
        <f>IF(S13&lt;&gt;"",S13,"")</f>
        <v>89942GA0050018</v>
      </c>
      <c r="T65" s="90" t="str">
        <f>IF(T13&lt;&gt;"",T13,"")</f>
        <v>89942GA0050025</v>
      </c>
      <c r="U65" s="90" t="str">
        <f>IF(U13&lt;&gt;"",U13,"")</f>
        <v>89942GA0050031</v>
      </c>
      <c r="V65" s="90" t="str">
        <f>IF(V13&lt;&gt;"",V13,"")</f>
        <v>89942GA0050019</v>
      </c>
      <c r="W65" s="90" t="str">
        <f>IF(W13&lt;&gt;"",W13,"")</f>
        <v>89942GA0050020</v>
      </c>
      <c r="X65" s="90" t="str">
        <f>IF(X13&lt;&gt;"",X13,"")</f>
        <v>89942GA0050021</v>
      </c>
      <c r="Y65" s="90" t="str">
        <f>IF(Y13&lt;&gt;"",Y13,"")</f>
        <v>89942GA0070002</v>
      </c>
      <c r="Z65" s="90" t="str">
        <f>IF(Z13&lt;&gt;"",Z13,"")</f>
        <v>89942GA0070012</v>
      </c>
      <c r="AA65" s="90" t="str">
        <f>IF(AA13&lt;&gt;"",AA13,"")</f>
        <v>89942GA0070026</v>
      </c>
      <c r="AB65" s="90" t="str">
        <f>IF(AB13&lt;&gt;"",AB13,"")</f>
        <v>89942GA0070005</v>
      </c>
      <c r="AC65" s="90" t="str">
        <f>IF(AC13&lt;&gt;"",AC13,"")</f>
        <v>89942GA0070006</v>
      </c>
      <c r="AD65" s="90" t="str">
        <f>IF(AD13&lt;&gt;"",AD13,"")</f>
        <v>89942GA0070024</v>
      </c>
      <c r="AE65" s="90" t="str">
        <f>IF(AE13&lt;&gt;"",AE13,"")</f>
        <v>89942GA0070030</v>
      </c>
      <c r="AF65" s="90" t="str">
        <f>IF(AF13&lt;&gt;"",AF13,"")</f>
        <v>89942GA0070032</v>
      </c>
      <c r="AG65" s="90" t="str">
        <f>IF(AG13&lt;&gt;"",AG13,"")</f>
        <v>89942GA0070007</v>
      </c>
      <c r="AH65" s="90" t="str">
        <f>IF(AH13&lt;&gt;"",AH13,"")</f>
        <v>89942GA0070009</v>
      </c>
      <c r="AI65" s="90" t="str">
        <f>IF(AI13&lt;&gt;"",AI13,"")</f>
        <v>89942GA0070010</v>
      </c>
      <c r="AJ65" s="90" t="str">
        <f>IF(AJ13&lt;&gt;"",AJ13,"")</f>
        <v>89942GA0070016</v>
      </c>
      <c r="AK65" s="90" t="str">
        <f>IF(AK13&lt;&gt;"",AK13,"")</f>
        <v>89942GA0070022</v>
      </c>
      <c r="AL65" s="90" t="str">
        <f>IF(AL13&lt;&gt;"",AL13,"")</f>
        <v>89942GA0070027</v>
      </c>
      <c r="AM65" s="90" t="str">
        <f>IF(AM13&lt;&gt;"",AM13,"")</f>
        <v>89942GA0070017</v>
      </c>
      <c r="AN65" s="90" t="str">
        <f>IF(AN13&lt;&gt;"",AN13,"")</f>
        <v>89942GA0070018</v>
      </c>
      <c r="AO65" s="90" t="str">
        <f>IF(AO13&lt;&gt;"",AO13,"")</f>
        <v>89942GA0070025</v>
      </c>
      <c r="AP65" s="90" t="str">
        <f>IF(AP13&lt;&gt;"",AP13,"")</f>
        <v>89942GA0070031</v>
      </c>
      <c r="AQ65" s="90" t="str">
        <f>IF(AQ13&lt;&gt;"",AQ13,"")</f>
        <v>89942GA0070033</v>
      </c>
      <c r="AR65" s="90" t="str">
        <f>IF(AR13&lt;&gt;"",AR13,"")</f>
        <v>89942GA0070019</v>
      </c>
      <c r="AS65" s="90" t="str">
        <f>IF(AS13&lt;&gt;"",AS13,"")</f>
        <v>89942GA0070020</v>
      </c>
      <c r="AT65" s="90" t="str">
        <f>IF(AT13&lt;&gt;"",AT13,"")</f>
        <v>89942GA0070021</v>
      </c>
      <c r="AU65" s="90" t="str">
        <f>IF(AU13&lt;&gt;"",AU13,"")</f>
        <v>89942GA0130001</v>
      </c>
      <c r="AV65" s="90" t="str">
        <f>IF(AV13&lt;&gt;"",AV13,"")</f>
        <v>89942GA0130003</v>
      </c>
      <c r="AW65" s="90" t="str">
        <f>IF(AW13&lt;&gt;"",AW13,"")</f>
        <v>89942GA0130005</v>
      </c>
      <c r="AX65" s="90" t="str">
        <f>IF(AX13&lt;&gt;"",AX13,"")</f>
        <v>89942GA0130002</v>
      </c>
      <c r="AY65" s="90" t="str">
        <f>IF(AY13&lt;&gt;"",AY13,"")</f>
        <v>89942GA0130004</v>
      </c>
      <c r="AZ65" s="90" t="str">
        <f>IF(AZ13&lt;&gt;"",AZ13,"")</f>
        <v>89942GA0130006</v>
      </c>
      <c r="BA65" s="90" t="str">
        <f>IF(BA13&lt;&gt;"",BA13,"")</f>
        <v>89942GA0150001</v>
      </c>
      <c r="BB65" s="90" t="str">
        <f>IF(BB13&lt;&gt;"",BB13,"")</f>
        <v>89942GA0150003</v>
      </c>
      <c r="BC65" s="90" t="str">
        <f>IF(BC13&lt;&gt;"",BC13,"")</f>
        <v>89942GA0150005</v>
      </c>
      <c r="BD65" s="90" t="str">
        <f>IF(BD13&lt;&gt;"",BD13,"")</f>
        <v>89942GA0150002</v>
      </c>
      <c r="BE65" s="90" t="str">
        <f>IF(BE13&lt;&gt;"",BE13,"")</f>
        <v>89942GA0150004</v>
      </c>
      <c r="BF65" s="90" t="str">
        <f>IF(BF13&lt;&gt;"",BF13,"")</f>
        <v>89942GA0150006</v>
      </c>
    </row>
    <row r="66" spans="2:58" ht="15" customHeight="1" x14ac:dyDescent="0.35">
      <c r="B66" s="146" t="s">
        <v>196</v>
      </c>
      <c r="C66" s="152" t="s">
        <v>86</v>
      </c>
      <c r="D66" s="159">
        <f>SUM(E66:BF66)</f>
        <v>393974322.54000008</v>
      </c>
      <c r="E66" s="187">
        <v>5626604.4699999997</v>
      </c>
      <c r="F66" s="187">
        <v>2605114.6800000002</v>
      </c>
      <c r="G66" s="187">
        <v>4349943.2300000004</v>
      </c>
      <c r="H66" s="187">
        <v>2091816.94</v>
      </c>
      <c r="I66" s="187">
        <v>0</v>
      </c>
      <c r="J66" s="187">
        <v>4549656.3899999997</v>
      </c>
      <c r="K66" s="187">
        <v>6030204.1399999997</v>
      </c>
      <c r="L66" s="187">
        <v>6604232.4100000001</v>
      </c>
      <c r="M66" s="187">
        <v>3921815.32</v>
      </c>
      <c r="N66" s="187">
        <v>359116.06</v>
      </c>
      <c r="O66" s="187">
        <v>24813498.719999999</v>
      </c>
      <c r="P66" s="187">
        <v>13959683.279999999</v>
      </c>
      <c r="Q66" s="187">
        <v>26731567.629999999</v>
      </c>
      <c r="R66" s="187">
        <v>14955871.08</v>
      </c>
      <c r="S66" s="187">
        <v>0</v>
      </c>
      <c r="T66" s="187">
        <v>42263299.920000002</v>
      </c>
      <c r="U66" s="187">
        <v>45306917.380000003</v>
      </c>
      <c r="V66" s="187">
        <v>28876307.489999998</v>
      </c>
      <c r="W66" s="187">
        <v>21662799.010000002</v>
      </c>
      <c r="X66" s="187">
        <v>2819469.93</v>
      </c>
      <c r="Y66" s="187">
        <v>2631987.5099999998</v>
      </c>
      <c r="Z66" s="187">
        <v>542021.18000000005</v>
      </c>
      <c r="AA66" s="187">
        <v>348365</v>
      </c>
      <c r="AB66" s="187">
        <v>1078511.8500000001</v>
      </c>
      <c r="AC66" s="187">
        <v>0</v>
      </c>
      <c r="AD66" s="187">
        <v>1167516.71</v>
      </c>
      <c r="AE66" s="187">
        <v>151503.25</v>
      </c>
      <c r="AF66" s="187">
        <v>84542.33</v>
      </c>
      <c r="AG66" s="187">
        <v>1950513.45</v>
      </c>
      <c r="AH66" s="187">
        <v>493879.26</v>
      </c>
      <c r="AI66" s="187">
        <v>58895.55</v>
      </c>
      <c r="AJ66" s="187">
        <v>11654234.640000001</v>
      </c>
      <c r="AK66" s="187">
        <v>2051283.74</v>
      </c>
      <c r="AL66" s="187">
        <v>1359316.94</v>
      </c>
      <c r="AM66" s="187">
        <v>5379401.2300000004</v>
      </c>
      <c r="AN66" s="187">
        <v>0</v>
      </c>
      <c r="AO66" s="187">
        <v>4619107.66</v>
      </c>
      <c r="AP66" s="187">
        <v>671137.45</v>
      </c>
      <c r="AQ66" s="187">
        <v>331857.93</v>
      </c>
      <c r="AR66" s="187">
        <v>7762675.5899999999</v>
      </c>
      <c r="AS66" s="187">
        <v>2702066.7</v>
      </c>
      <c r="AT66" s="187">
        <v>446781.41</v>
      </c>
      <c r="AU66" s="187">
        <v>678222.38</v>
      </c>
      <c r="AV66" s="187">
        <v>4130789.47</v>
      </c>
      <c r="AW66" s="187">
        <v>2863193.09</v>
      </c>
      <c r="AX66" s="187">
        <v>3950560.52</v>
      </c>
      <c r="AY66" s="187">
        <v>62174893.439999998</v>
      </c>
      <c r="AZ66" s="187">
        <v>16294360.08</v>
      </c>
      <c r="BA66" s="187">
        <v>50642.79</v>
      </c>
      <c r="BB66" s="187">
        <v>110905.97</v>
      </c>
      <c r="BC66" s="187">
        <v>25662.69</v>
      </c>
      <c r="BD66" s="187">
        <v>144472.42000000001</v>
      </c>
      <c r="BE66" s="187">
        <v>202398.55</v>
      </c>
      <c r="BF66" s="187">
        <v>334703.68</v>
      </c>
    </row>
    <row r="67" spans="2:58" ht="15" customHeight="1" x14ac:dyDescent="0.35">
      <c r="B67" s="146" t="s">
        <v>197</v>
      </c>
      <c r="C67" s="152" t="s">
        <v>87</v>
      </c>
      <c r="D67" s="159">
        <f>SUM(E67:BF67)</f>
        <v>13726813</v>
      </c>
      <c r="E67" s="187">
        <v>165155</v>
      </c>
      <c r="F67" s="187">
        <v>78233</v>
      </c>
      <c r="G67" s="187">
        <v>132677</v>
      </c>
      <c r="H67" s="187">
        <v>65652</v>
      </c>
      <c r="I67" s="187">
        <v>0</v>
      </c>
      <c r="J67" s="187">
        <v>148004</v>
      </c>
      <c r="K67" s="187">
        <v>198780</v>
      </c>
      <c r="L67" s="187">
        <v>218226</v>
      </c>
      <c r="M67" s="187">
        <v>129255</v>
      </c>
      <c r="N67" s="187">
        <v>11905</v>
      </c>
      <c r="O67" s="187">
        <v>800428</v>
      </c>
      <c r="P67" s="187">
        <v>460713</v>
      </c>
      <c r="Q67" s="187">
        <v>896037</v>
      </c>
      <c r="R67" s="187">
        <v>515853</v>
      </c>
      <c r="S67" s="187">
        <v>0</v>
      </c>
      <c r="T67" s="187">
        <v>1510942</v>
      </c>
      <c r="U67" s="187">
        <v>1641324</v>
      </c>
      <c r="V67" s="187">
        <v>1048611</v>
      </c>
      <c r="W67" s="187">
        <v>784629</v>
      </c>
      <c r="X67" s="187">
        <v>102720</v>
      </c>
      <c r="Y67" s="187">
        <v>77024</v>
      </c>
      <c r="Z67" s="187">
        <v>16229</v>
      </c>
      <c r="AA67" s="187">
        <v>10594</v>
      </c>
      <c r="AB67" s="187">
        <v>33748</v>
      </c>
      <c r="AC67" s="187">
        <v>0</v>
      </c>
      <c r="AD67" s="187">
        <v>37867</v>
      </c>
      <c r="AE67" s="187">
        <v>4979</v>
      </c>
      <c r="AF67" s="187">
        <v>2807</v>
      </c>
      <c r="AG67" s="187">
        <v>64259</v>
      </c>
      <c r="AH67" s="187">
        <v>16229</v>
      </c>
      <c r="AI67" s="187">
        <v>1947</v>
      </c>
      <c r="AJ67" s="187">
        <v>374816</v>
      </c>
      <c r="AK67" s="187">
        <v>67496</v>
      </c>
      <c r="AL67" s="187">
        <v>45428</v>
      </c>
      <c r="AM67" s="187">
        <v>184990</v>
      </c>
      <c r="AN67" s="187">
        <v>0</v>
      </c>
      <c r="AO67" s="187">
        <v>164643</v>
      </c>
      <c r="AP67" s="187">
        <v>24240</v>
      </c>
      <c r="AQ67" s="187">
        <v>12110</v>
      </c>
      <c r="AR67" s="187">
        <v>281050</v>
      </c>
      <c r="AS67" s="187">
        <v>97577</v>
      </c>
      <c r="AT67" s="187">
        <v>16229</v>
      </c>
      <c r="AU67" s="187">
        <v>20368</v>
      </c>
      <c r="AV67" s="187">
        <v>137021</v>
      </c>
      <c r="AW67" s="187">
        <v>96306</v>
      </c>
      <c r="AX67" s="187">
        <v>130382</v>
      </c>
      <c r="AY67" s="187">
        <v>2266516</v>
      </c>
      <c r="AZ67" s="187">
        <v>602324</v>
      </c>
      <c r="BA67" s="187">
        <v>1516</v>
      </c>
      <c r="BB67" s="187">
        <v>3668</v>
      </c>
      <c r="BC67" s="187">
        <v>861</v>
      </c>
      <c r="BD67" s="187">
        <v>4754</v>
      </c>
      <c r="BE67" s="187">
        <v>7356</v>
      </c>
      <c r="BF67" s="187">
        <v>12335</v>
      </c>
    </row>
    <row r="68" spans="2:58" ht="15" customHeight="1" x14ac:dyDescent="0.35">
      <c r="B68" s="146" t="s">
        <v>198</v>
      </c>
      <c r="C68" s="152" t="s">
        <v>111</v>
      </c>
      <c r="D68" s="159">
        <f>SUM(E68:BF68)</f>
        <v>72549700</v>
      </c>
      <c r="E68" s="187">
        <v>393862</v>
      </c>
      <c r="F68" s="187">
        <v>276142</v>
      </c>
      <c r="G68" s="187">
        <v>656841</v>
      </c>
      <c r="H68" s="187">
        <v>209600</v>
      </c>
      <c r="I68" s="187">
        <v>0</v>
      </c>
      <c r="J68" s="187">
        <v>580081</v>
      </c>
      <c r="K68" s="187">
        <v>1098100</v>
      </c>
      <c r="L68" s="187">
        <v>2113354</v>
      </c>
      <c r="M68" s="187">
        <v>1294199</v>
      </c>
      <c r="N68" s="187">
        <v>128204</v>
      </c>
      <c r="O68" s="187">
        <v>1736945</v>
      </c>
      <c r="P68" s="187">
        <v>1479726</v>
      </c>
      <c r="Q68" s="187">
        <v>4036467</v>
      </c>
      <c r="R68" s="187">
        <v>1498578</v>
      </c>
      <c r="S68" s="187">
        <v>0</v>
      </c>
      <c r="T68" s="187">
        <v>5388571</v>
      </c>
      <c r="U68" s="187">
        <v>8250390</v>
      </c>
      <c r="V68" s="187">
        <v>9240418</v>
      </c>
      <c r="W68" s="187">
        <v>7148724</v>
      </c>
      <c r="X68" s="187">
        <v>1006551</v>
      </c>
      <c r="Y68" s="187">
        <v>184239</v>
      </c>
      <c r="Z68" s="187">
        <v>57454</v>
      </c>
      <c r="AA68" s="187">
        <v>52603</v>
      </c>
      <c r="AB68" s="187">
        <v>225409</v>
      </c>
      <c r="AC68" s="187">
        <v>0</v>
      </c>
      <c r="AD68" s="187">
        <v>272031</v>
      </c>
      <c r="AE68" s="187">
        <v>42572</v>
      </c>
      <c r="AF68" s="187">
        <v>25616</v>
      </c>
      <c r="AG68" s="187">
        <v>624164</v>
      </c>
      <c r="AH68" s="187">
        <v>162980</v>
      </c>
      <c r="AI68" s="187">
        <v>21026</v>
      </c>
      <c r="AJ68" s="187">
        <v>815796</v>
      </c>
      <c r="AK68" s="187">
        <v>217436</v>
      </c>
      <c r="AL68" s="187">
        <v>205257</v>
      </c>
      <c r="AM68" s="187">
        <v>1124295</v>
      </c>
      <c r="AN68" s="187">
        <v>0</v>
      </c>
      <c r="AO68" s="187">
        <v>1076252</v>
      </c>
      <c r="AP68" s="187">
        <v>188590</v>
      </c>
      <c r="AQ68" s="187">
        <v>100553</v>
      </c>
      <c r="AR68" s="187">
        <v>2484056</v>
      </c>
      <c r="AS68" s="187">
        <v>891682</v>
      </c>
      <c r="AT68" s="187">
        <v>159501</v>
      </c>
      <c r="AU68" s="187">
        <v>69179</v>
      </c>
      <c r="AV68" s="187">
        <v>672079</v>
      </c>
      <c r="AW68" s="187">
        <v>838916</v>
      </c>
      <c r="AX68" s="187">
        <v>402957</v>
      </c>
      <c r="AY68" s="187">
        <v>10115855</v>
      </c>
      <c r="AZ68" s="187">
        <v>4774248</v>
      </c>
      <c r="BA68" s="187">
        <v>5166</v>
      </c>
      <c r="BB68" s="187">
        <v>29279</v>
      </c>
      <c r="BC68" s="187">
        <v>7519</v>
      </c>
      <c r="BD68" s="187">
        <v>14736</v>
      </c>
      <c r="BE68" s="187">
        <v>53433</v>
      </c>
      <c r="BF68" s="187">
        <v>98068</v>
      </c>
    </row>
    <row r="69" spans="2:58" ht="15" customHeight="1" x14ac:dyDescent="0.35">
      <c r="B69" s="146" t="s">
        <v>199</v>
      </c>
      <c r="C69" s="152" t="s">
        <v>112</v>
      </c>
      <c r="D69" s="159">
        <f>SUM(E69:BF69)</f>
        <v>0</v>
      </c>
      <c r="E69" s="187">
        <v>0</v>
      </c>
      <c r="F69" s="187">
        <v>0</v>
      </c>
      <c r="G69" s="187">
        <v>0</v>
      </c>
      <c r="H69" s="187">
        <v>0</v>
      </c>
      <c r="I69" s="187">
        <v>0</v>
      </c>
      <c r="J69" s="187">
        <v>0</v>
      </c>
      <c r="K69" s="187">
        <v>0</v>
      </c>
      <c r="L69" s="187">
        <v>0</v>
      </c>
      <c r="M69" s="187">
        <v>0</v>
      </c>
      <c r="N69" s="187">
        <v>0</v>
      </c>
      <c r="O69" s="187">
        <v>0</v>
      </c>
      <c r="P69" s="187">
        <v>0</v>
      </c>
      <c r="Q69" s="187">
        <v>0</v>
      </c>
      <c r="R69" s="187">
        <v>0</v>
      </c>
      <c r="S69" s="187">
        <v>0</v>
      </c>
      <c r="T69" s="187">
        <v>0</v>
      </c>
      <c r="U69" s="187">
        <v>0</v>
      </c>
      <c r="V69" s="187">
        <v>0</v>
      </c>
      <c r="W69" s="187">
        <v>0</v>
      </c>
      <c r="X69" s="187">
        <v>0</v>
      </c>
      <c r="Y69" s="187">
        <v>0</v>
      </c>
      <c r="Z69" s="187">
        <v>0</v>
      </c>
      <c r="AA69" s="187">
        <v>0</v>
      </c>
      <c r="AB69" s="187">
        <v>0</v>
      </c>
      <c r="AC69" s="187">
        <v>0</v>
      </c>
      <c r="AD69" s="187">
        <v>0</v>
      </c>
      <c r="AE69" s="187">
        <v>0</v>
      </c>
      <c r="AF69" s="187">
        <v>0</v>
      </c>
      <c r="AG69" s="187">
        <v>0</v>
      </c>
      <c r="AH69" s="187">
        <v>0</v>
      </c>
      <c r="AI69" s="187">
        <v>0</v>
      </c>
      <c r="AJ69" s="187">
        <v>0</v>
      </c>
      <c r="AK69" s="187">
        <v>0</v>
      </c>
      <c r="AL69" s="187">
        <v>0</v>
      </c>
      <c r="AM69" s="187">
        <v>0</v>
      </c>
      <c r="AN69" s="187">
        <v>0</v>
      </c>
      <c r="AO69" s="187">
        <v>0</v>
      </c>
      <c r="AP69" s="187">
        <v>0</v>
      </c>
      <c r="AQ69" s="187">
        <v>0</v>
      </c>
      <c r="AR69" s="187">
        <v>0</v>
      </c>
      <c r="AS69" s="187">
        <v>0</v>
      </c>
      <c r="AT69" s="187">
        <v>0</v>
      </c>
      <c r="AU69" s="187">
        <v>0</v>
      </c>
      <c r="AV69" s="187">
        <v>0</v>
      </c>
      <c r="AW69" s="187">
        <v>0</v>
      </c>
      <c r="AX69" s="187">
        <v>0</v>
      </c>
      <c r="AY69" s="187">
        <v>0</v>
      </c>
      <c r="AZ69" s="187">
        <v>0</v>
      </c>
      <c r="BA69" s="187">
        <v>0</v>
      </c>
      <c r="BB69" s="187">
        <v>0</v>
      </c>
      <c r="BC69" s="187">
        <v>0</v>
      </c>
      <c r="BD69" s="187">
        <v>0</v>
      </c>
      <c r="BE69" s="187">
        <v>0</v>
      </c>
      <c r="BF69" s="187">
        <v>0</v>
      </c>
    </row>
    <row r="70" spans="2:58" ht="15" customHeight="1" x14ac:dyDescent="0.35">
      <c r="B70" s="146" t="s">
        <v>200</v>
      </c>
      <c r="C70" s="152" t="s">
        <v>113</v>
      </c>
      <c r="D70" s="159">
        <f>D66-D67-D68-D69</f>
        <v>307697809.54000008</v>
      </c>
      <c r="E70" s="159">
        <f>E66-E67-E68-E69</f>
        <v>5067587.47</v>
      </c>
      <c r="F70" s="159">
        <f>F66-F67-F68-F69</f>
        <v>2250739.6800000002</v>
      </c>
      <c r="G70" s="159">
        <f>G66-G67-G68-G69</f>
        <v>3560425.2300000004</v>
      </c>
      <c r="H70" s="159">
        <f>H66-H67-H68-H69</f>
        <v>1816564.94</v>
      </c>
      <c r="I70" s="159">
        <f>I66-I67-I68-I69</f>
        <v>0</v>
      </c>
      <c r="J70" s="159">
        <f>J66-J67-J68-J69</f>
        <v>3821571.3899999997</v>
      </c>
      <c r="K70" s="159">
        <f>K66-K67-K68-K69</f>
        <v>4733324.1399999997</v>
      </c>
      <c r="L70" s="159">
        <f>L66-L67-L68-L69</f>
        <v>4272652.41</v>
      </c>
      <c r="M70" s="159">
        <f>M66-M67-M68-M69</f>
        <v>2498361.3199999998</v>
      </c>
      <c r="N70" s="159">
        <f>N66-N67-N68-N69</f>
        <v>219007.06</v>
      </c>
      <c r="O70" s="159">
        <f>O66-O67-O68-O69</f>
        <v>22276125.719999999</v>
      </c>
      <c r="P70" s="159">
        <f>P66-P67-P68-P69</f>
        <v>12019244.279999999</v>
      </c>
      <c r="Q70" s="159">
        <f>Q66-Q67-Q68-Q69</f>
        <v>21799063.629999999</v>
      </c>
      <c r="R70" s="159">
        <f>R66-R67-R68-R69</f>
        <v>12941440.08</v>
      </c>
      <c r="S70" s="159">
        <f>S66-S67-S68-S69</f>
        <v>0</v>
      </c>
      <c r="T70" s="159">
        <f>T66-T67-T68-T69</f>
        <v>35363786.920000002</v>
      </c>
      <c r="U70" s="159">
        <f>U66-U67-U68-U69</f>
        <v>35415203.380000003</v>
      </c>
      <c r="V70" s="159">
        <f>V66-V67-V68-V69</f>
        <v>18587278.489999998</v>
      </c>
      <c r="W70" s="159">
        <f>W66-W67-W68-W69</f>
        <v>13729446.010000002</v>
      </c>
      <c r="X70" s="159">
        <f>X66-X67-X68-X69</f>
        <v>1710198.9300000002</v>
      </c>
      <c r="Y70" s="159">
        <f>Y66-Y67-Y68-Y69</f>
        <v>2370724.5099999998</v>
      </c>
      <c r="Z70" s="159">
        <f>Z66-Z67-Z68-Z69</f>
        <v>468338.18000000005</v>
      </c>
      <c r="AA70" s="159">
        <f>AA66-AA67-AA68-AA69</f>
        <v>285168</v>
      </c>
      <c r="AB70" s="159">
        <f>AB66-AB67-AB68-AB69</f>
        <v>819354.85000000009</v>
      </c>
      <c r="AC70" s="159">
        <f>AC66-AC67-AC68-AC69</f>
        <v>0</v>
      </c>
      <c r="AD70" s="159">
        <f>AD66-AD67-AD68-AD69</f>
        <v>857618.71</v>
      </c>
      <c r="AE70" s="159">
        <f>AE66-AE67-AE68-AE69</f>
        <v>103952.25</v>
      </c>
      <c r="AF70" s="159">
        <f>AF66-AF67-AF68-AF69</f>
        <v>56119.33</v>
      </c>
      <c r="AG70" s="159">
        <f>AG66-AG67-AG68-AG69</f>
        <v>1262090.45</v>
      </c>
      <c r="AH70" s="159">
        <f>AH66-AH67-AH68-AH69</f>
        <v>314670.26</v>
      </c>
      <c r="AI70" s="159">
        <f>AI66-AI67-AI68-AI69</f>
        <v>35922.550000000003</v>
      </c>
      <c r="AJ70" s="159">
        <f>AJ66-AJ67-AJ68-AJ69</f>
        <v>10463622.640000001</v>
      </c>
      <c r="AK70" s="159">
        <f>AK66-AK67-AK68-AK69</f>
        <v>1766351.74</v>
      </c>
      <c r="AL70" s="159">
        <f>AL66-AL67-AL68-AL69</f>
        <v>1108631.94</v>
      </c>
      <c r="AM70" s="159">
        <f>AM66-AM67-AM68-AM69</f>
        <v>4070116.2300000004</v>
      </c>
      <c r="AN70" s="159">
        <f>AN66-AN67-AN68-AN69</f>
        <v>0</v>
      </c>
      <c r="AO70" s="159">
        <f>AO66-AO67-AO68-AO69</f>
        <v>3378212.66</v>
      </c>
      <c r="AP70" s="159">
        <f>AP66-AP67-AP68-AP69</f>
        <v>458307.44999999995</v>
      </c>
      <c r="AQ70" s="159">
        <f>AQ66-AQ67-AQ68-AQ69</f>
        <v>219194.93</v>
      </c>
      <c r="AR70" s="159">
        <f>AR66-AR67-AR68-AR69</f>
        <v>4997569.59</v>
      </c>
      <c r="AS70" s="159">
        <f>AS66-AS67-AS68-AS69</f>
        <v>1712807.7000000002</v>
      </c>
      <c r="AT70" s="159">
        <f>AT66-AT67-AT68-AT69</f>
        <v>271051.40999999997</v>
      </c>
      <c r="AU70" s="159">
        <f>AU66-AU67-AU68-AU69</f>
        <v>588675.38</v>
      </c>
      <c r="AV70" s="159">
        <f>AV66-AV67-AV68-AV69</f>
        <v>3321689.47</v>
      </c>
      <c r="AW70" s="159">
        <f>AW66-AW67-AW68-AW69</f>
        <v>1927971.0899999999</v>
      </c>
      <c r="AX70" s="159">
        <f>AX66-AX67-AX68-AX69</f>
        <v>3417221.52</v>
      </c>
      <c r="AY70" s="159">
        <f>AY66-AY67-AY68-AY69</f>
        <v>49792522.439999998</v>
      </c>
      <c r="AZ70" s="159">
        <f>AZ66-AZ67-AZ68-AZ69</f>
        <v>10917788.08</v>
      </c>
      <c r="BA70" s="159">
        <f>BA66-BA67-BA68-BA69</f>
        <v>43960.79</v>
      </c>
      <c r="BB70" s="159">
        <f>BB66-BB67-BB68-BB69</f>
        <v>77958.97</v>
      </c>
      <c r="BC70" s="159">
        <f>BC66-BC67-BC68-BC69</f>
        <v>17282.689999999999</v>
      </c>
      <c r="BD70" s="159">
        <f>BD66-BD67-BD68-BD69</f>
        <v>124982.42000000001</v>
      </c>
      <c r="BE70" s="159">
        <f>BE66-BE67-BE68-BE69</f>
        <v>141609.54999999999</v>
      </c>
      <c r="BF70" s="159">
        <f>BF66-BF67-BF68-BF69</f>
        <v>224300.68</v>
      </c>
    </row>
    <row r="71" spans="2:58" ht="15" customHeight="1" x14ac:dyDescent="0.35">
      <c r="B71" s="146" t="s">
        <v>201</v>
      </c>
      <c r="C71" s="152" t="s">
        <v>114</v>
      </c>
      <c r="D71" s="159">
        <f>SUM(E71:BF71)</f>
        <v>-35047508</v>
      </c>
      <c r="E71" s="187">
        <v>407059</v>
      </c>
      <c r="F71" s="187">
        <v>192823</v>
      </c>
      <c r="G71" s="187">
        <v>327011</v>
      </c>
      <c r="H71" s="187">
        <v>-140403</v>
      </c>
      <c r="I71" s="187">
        <v>0</v>
      </c>
      <c r="J71" s="187">
        <v>-316520</v>
      </c>
      <c r="K71" s="187">
        <v>-425109</v>
      </c>
      <c r="L71" s="187">
        <v>-1824819</v>
      </c>
      <c r="M71" s="187">
        <v>-1080841</v>
      </c>
      <c r="N71" s="187">
        <v>-20065</v>
      </c>
      <c r="O71" s="187">
        <v>1972820</v>
      </c>
      <c r="P71" s="187">
        <v>1135522</v>
      </c>
      <c r="Q71" s="187">
        <v>2208470</v>
      </c>
      <c r="R71" s="187">
        <v>-1103198</v>
      </c>
      <c r="S71" s="187">
        <v>0</v>
      </c>
      <c r="T71" s="187">
        <v>-3231286</v>
      </c>
      <c r="U71" s="187">
        <v>-3510120</v>
      </c>
      <c r="V71" s="187">
        <v>-8768557</v>
      </c>
      <c r="W71" s="187">
        <v>-6561126</v>
      </c>
      <c r="X71" s="187">
        <v>-173126</v>
      </c>
      <c r="Y71" s="187">
        <v>189843</v>
      </c>
      <c r="Z71" s="187">
        <v>39999</v>
      </c>
      <c r="AA71" s="187">
        <v>26110</v>
      </c>
      <c r="AB71" s="187">
        <v>-72173</v>
      </c>
      <c r="AC71" s="187">
        <v>0</v>
      </c>
      <c r="AD71" s="187">
        <v>-80982</v>
      </c>
      <c r="AE71" s="187">
        <v>-10649</v>
      </c>
      <c r="AF71" s="187">
        <v>-6004</v>
      </c>
      <c r="AG71" s="187">
        <v>-537337</v>
      </c>
      <c r="AH71" s="187">
        <v>-135705</v>
      </c>
      <c r="AI71" s="187">
        <v>-3281</v>
      </c>
      <c r="AJ71" s="187">
        <v>923811</v>
      </c>
      <c r="AK71" s="187">
        <v>166359</v>
      </c>
      <c r="AL71" s="187">
        <v>111966</v>
      </c>
      <c r="AM71" s="187">
        <v>-395618</v>
      </c>
      <c r="AN71" s="187">
        <v>0</v>
      </c>
      <c r="AO71" s="187">
        <v>-352103</v>
      </c>
      <c r="AP71" s="187">
        <v>-51840</v>
      </c>
      <c r="AQ71" s="187">
        <v>-25898</v>
      </c>
      <c r="AR71" s="187">
        <v>-2350162</v>
      </c>
      <c r="AS71" s="187">
        <v>-815943</v>
      </c>
      <c r="AT71" s="187">
        <v>-27352</v>
      </c>
      <c r="AU71" s="187">
        <v>50201</v>
      </c>
      <c r="AV71" s="187">
        <v>-293032</v>
      </c>
      <c r="AW71" s="187">
        <v>-805319</v>
      </c>
      <c r="AX71" s="187">
        <v>321354</v>
      </c>
      <c r="AY71" s="187">
        <v>-4847148</v>
      </c>
      <c r="AZ71" s="187">
        <v>-5036673</v>
      </c>
      <c r="BA71" s="187">
        <v>3737</v>
      </c>
      <c r="BB71" s="187">
        <v>-7844</v>
      </c>
      <c r="BC71" s="187">
        <v>-7196</v>
      </c>
      <c r="BD71" s="187">
        <v>11717</v>
      </c>
      <c r="BE71" s="187">
        <v>-15732</v>
      </c>
      <c r="BF71" s="187">
        <v>-103149</v>
      </c>
    </row>
    <row r="72" spans="2:58" ht="15" customHeight="1" x14ac:dyDescent="0.35">
      <c r="B72" s="146" t="s">
        <v>202</v>
      </c>
      <c r="C72" s="152" t="s">
        <v>115</v>
      </c>
      <c r="D72" s="159">
        <f>SUM(E72:BF72)</f>
        <v>413389084</v>
      </c>
      <c r="E72" s="187">
        <v>6177344</v>
      </c>
      <c r="F72" s="187">
        <v>2812919</v>
      </c>
      <c r="G72" s="187">
        <v>4530345</v>
      </c>
      <c r="H72" s="187">
        <v>2375968</v>
      </c>
      <c r="I72" s="187">
        <v>0</v>
      </c>
      <c r="J72" s="187">
        <v>5193792</v>
      </c>
      <c r="K72" s="187">
        <v>6539084</v>
      </c>
      <c r="L72" s="187">
        <v>5968186</v>
      </c>
      <c r="M72" s="187">
        <v>3482975</v>
      </c>
      <c r="N72" s="187">
        <v>280472</v>
      </c>
      <c r="O72" s="187">
        <v>27242279</v>
      </c>
      <c r="P72" s="187">
        <v>15073218</v>
      </c>
      <c r="Q72" s="187">
        <v>27840186</v>
      </c>
      <c r="R72" s="187">
        <v>16987465</v>
      </c>
      <c r="S72" s="187">
        <v>0</v>
      </c>
      <c r="T72" s="187">
        <v>48246891</v>
      </c>
      <c r="U72" s="187">
        <v>49130303</v>
      </c>
      <c r="V72" s="187">
        <v>26095262</v>
      </c>
      <c r="W72" s="187">
        <v>19238790</v>
      </c>
      <c r="X72" s="187">
        <v>2202023</v>
      </c>
      <c r="Y72" s="187">
        <v>2889610</v>
      </c>
      <c r="Z72" s="187">
        <v>585257</v>
      </c>
      <c r="AA72" s="187">
        <v>362812</v>
      </c>
      <c r="AB72" s="187">
        <v>1076847</v>
      </c>
      <c r="AC72" s="187">
        <v>0</v>
      </c>
      <c r="AD72" s="187">
        <v>1171605</v>
      </c>
      <c r="AE72" s="187">
        <v>144417</v>
      </c>
      <c r="AF72" s="187">
        <v>78929</v>
      </c>
      <c r="AG72" s="187">
        <v>1762662</v>
      </c>
      <c r="AH72" s="187">
        <v>438615</v>
      </c>
      <c r="AI72" s="187">
        <v>45998</v>
      </c>
      <c r="AJ72" s="187">
        <v>12794967</v>
      </c>
      <c r="AK72" s="187">
        <v>2214910</v>
      </c>
      <c r="AL72" s="187">
        <v>1415691</v>
      </c>
      <c r="AM72" s="187">
        <v>5371098</v>
      </c>
      <c r="AN72" s="187">
        <v>0</v>
      </c>
      <c r="AO72" s="187">
        <v>4635283</v>
      </c>
      <c r="AP72" s="187">
        <v>639748</v>
      </c>
      <c r="AQ72" s="187">
        <v>309824</v>
      </c>
      <c r="AR72" s="187">
        <v>7015061</v>
      </c>
      <c r="AS72" s="187">
        <v>2399713</v>
      </c>
      <c r="AT72" s="187">
        <v>348939</v>
      </c>
      <c r="AU72" s="187">
        <v>735608</v>
      </c>
      <c r="AV72" s="187">
        <v>4614033</v>
      </c>
      <c r="AW72" s="187">
        <v>2738427</v>
      </c>
      <c r="AX72" s="187">
        <v>4284826</v>
      </c>
      <c r="AY72" s="187">
        <v>69448468</v>
      </c>
      <c r="AZ72" s="187">
        <v>15584317</v>
      </c>
      <c r="BA72" s="187">
        <v>54928</v>
      </c>
      <c r="BB72" s="187">
        <v>108897</v>
      </c>
      <c r="BC72" s="187">
        <v>24544</v>
      </c>
      <c r="BD72" s="187">
        <v>156697</v>
      </c>
      <c r="BE72" s="187">
        <v>198732</v>
      </c>
      <c r="BF72" s="187">
        <v>320119</v>
      </c>
    </row>
    <row r="73" spans="2:58" ht="15" customHeight="1" x14ac:dyDescent="0.35">
      <c r="B73" s="146" t="s">
        <v>203</v>
      </c>
      <c r="C73" s="152" t="s">
        <v>4</v>
      </c>
      <c r="D73" s="176">
        <f>SUM(E73:BF73)</f>
        <v>669905</v>
      </c>
      <c r="E73" s="218">
        <v>8060</v>
      </c>
      <c r="F73" s="218">
        <v>3818</v>
      </c>
      <c r="G73" s="218">
        <v>6475</v>
      </c>
      <c r="H73" s="218">
        <v>3204</v>
      </c>
      <c r="I73" s="218">
        <v>0</v>
      </c>
      <c r="J73" s="218">
        <v>7223</v>
      </c>
      <c r="K73" s="218">
        <v>9701</v>
      </c>
      <c r="L73" s="218">
        <v>10650</v>
      </c>
      <c r="M73" s="218">
        <v>6308</v>
      </c>
      <c r="N73" s="218">
        <v>581</v>
      </c>
      <c r="O73" s="218">
        <v>39063</v>
      </c>
      <c r="P73" s="218">
        <v>22484</v>
      </c>
      <c r="Q73" s="218">
        <v>43729</v>
      </c>
      <c r="R73" s="218">
        <v>25175</v>
      </c>
      <c r="S73" s="218">
        <v>0</v>
      </c>
      <c r="T73" s="218">
        <v>73738</v>
      </c>
      <c r="U73" s="218">
        <v>80101</v>
      </c>
      <c r="V73" s="218">
        <v>51175</v>
      </c>
      <c r="W73" s="218">
        <v>38292</v>
      </c>
      <c r="X73" s="218">
        <v>5013</v>
      </c>
      <c r="Y73" s="218">
        <v>3759</v>
      </c>
      <c r="Z73" s="218">
        <v>792</v>
      </c>
      <c r="AA73" s="218">
        <v>517</v>
      </c>
      <c r="AB73" s="218">
        <v>1647</v>
      </c>
      <c r="AC73" s="218">
        <v>0</v>
      </c>
      <c r="AD73" s="218">
        <v>1848</v>
      </c>
      <c r="AE73" s="218">
        <v>243</v>
      </c>
      <c r="AF73" s="218">
        <v>137</v>
      </c>
      <c r="AG73" s="218">
        <v>3136</v>
      </c>
      <c r="AH73" s="218">
        <v>792</v>
      </c>
      <c r="AI73" s="218">
        <v>95</v>
      </c>
      <c r="AJ73" s="218">
        <v>18292</v>
      </c>
      <c r="AK73" s="218">
        <v>3294</v>
      </c>
      <c r="AL73" s="218">
        <v>2217</v>
      </c>
      <c r="AM73" s="218">
        <v>9028</v>
      </c>
      <c r="AN73" s="218">
        <v>0</v>
      </c>
      <c r="AO73" s="218">
        <v>8035</v>
      </c>
      <c r="AP73" s="218">
        <v>1183</v>
      </c>
      <c r="AQ73" s="218">
        <v>591</v>
      </c>
      <c r="AR73" s="218">
        <v>13716</v>
      </c>
      <c r="AS73" s="218">
        <v>4762</v>
      </c>
      <c r="AT73" s="218">
        <v>792</v>
      </c>
      <c r="AU73" s="218">
        <v>994</v>
      </c>
      <c r="AV73" s="218">
        <v>6687</v>
      </c>
      <c r="AW73" s="218">
        <v>4700</v>
      </c>
      <c r="AX73" s="218">
        <v>6363</v>
      </c>
      <c r="AY73" s="218">
        <v>110612</v>
      </c>
      <c r="AZ73" s="218">
        <v>29395</v>
      </c>
      <c r="BA73" s="218">
        <v>74</v>
      </c>
      <c r="BB73" s="218">
        <v>179</v>
      </c>
      <c r="BC73" s="218">
        <v>42</v>
      </c>
      <c r="BD73" s="218">
        <v>232</v>
      </c>
      <c r="BE73" s="218">
        <v>359</v>
      </c>
      <c r="BF73" s="218">
        <v>602</v>
      </c>
    </row>
    <row r="74" spans="2:58" ht="15" customHeight="1" x14ac:dyDescent="0.35">
      <c r="B74" s="148" t="s">
        <v>204</v>
      </c>
      <c r="C74" s="170" t="s">
        <v>118</v>
      </c>
      <c r="D74" s="89">
        <f>D70/(D71+D72)</f>
        <v>0.81328045622984901</v>
      </c>
      <c r="E74" s="89">
        <f>E70/(E71+E72)</f>
        <v>0.76963507093961281</v>
      </c>
      <c r="F74" s="89">
        <f>F70/(F71+F72)</f>
        <v>0.74881333128392258</v>
      </c>
      <c r="G74" s="89">
        <f>G70/(G71+G72)</f>
        <v>0.73299655820985743</v>
      </c>
      <c r="H74" s="89">
        <f>H70/(H71+H72)</f>
        <v>0.81257531764900592</v>
      </c>
      <c r="I74" s="89" t="e">
        <f>I70/(I71+I72)</f>
        <v>#DIV/0!</v>
      </c>
      <c r="J74" s="89">
        <f>J70/(J71+J72)</f>
        <v>0.78354690695946416</v>
      </c>
      <c r="K74" s="89">
        <f>K70/(K71+K72)</f>
        <v>0.77418114074722255</v>
      </c>
      <c r="L74" s="89">
        <f>L70/(L71+L72)</f>
        <v>1.0312029829846114</v>
      </c>
      <c r="M74" s="89">
        <f>M70/(M71+M72)</f>
        <v>1.040059097452515</v>
      </c>
      <c r="N74" s="89">
        <f>N70/(N71+N72)</f>
        <v>0.84101832900037243</v>
      </c>
      <c r="O74" s="89">
        <f>O70/(O71+O72)</f>
        <v>0.76248674426877683</v>
      </c>
      <c r="P74" s="89">
        <f>P70/(P71+P72)</f>
        <v>0.74152860000222098</v>
      </c>
      <c r="Q74" s="89">
        <f>Q70/(Q71+Q72)</f>
        <v>0.72545885679545863</v>
      </c>
      <c r="R74" s="89">
        <f>R70/(R71+R72)</f>
        <v>0.81473322502070755</v>
      </c>
      <c r="S74" s="89" t="e">
        <f>S70/(S71+S72)</f>
        <v>#DIV/0!</v>
      </c>
      <c r="T74" s="89">
        <f>T70/(T71+T72)</f>
        <v>0.78558950657222093</v>
      </c>
      <c r="U74" s="89">
        <f>U70/(U71+U72)</f>
        <v>0.77630559658210929</v>
      </c>
      <c r="V74" s="89">
        <f>V70/(V71+V72)</f>
        <v>1.0727532147629915</v>
      </c>
      <c r="W74" s="89">
        <f>W70/(W71+W72)</f>
        <v>1.0829633921517403</v>
      </c>
      <c r="X74" s="89">
        <f>X70/(X71+X72)</f>
        <v>0.8429205277547358</v>
      </c>
      <c r="Y74" s="89">
        <f>Y70/(Y71+Y72)</f>
        <v>0.76985247379972999</v>
      </c>
      <c r="Z74" s="89">
        <f>Z70/(Z71+Z72)</f>
        <v>0.74903428355745494</v>
      </c>
      <c r="AA74" s="89">
        <f>AA70/(AA71+AA72)</f>
        <v>0.7332267138397931</v>
      </c>
      <c r="AB74" s="89">
        <f>AB70/(AB71+AB72)</f>
        <v>0.81554300200861185</v>
      </c>
      <c r="AC74" s="89" t="e">
        <f>AC70/(AC71+AC72)</f>
        <v>#DIV/0!</v>
      </c>
      <c r="AD74" s="89">
        <f>AD70/(AD71+AD72)</f>
        <v>0.7863567062128709</v>
      </c>
      <c r="AE74" s="89">
        <f>AE70/(AE71+AE72)</f>
        <v>0.77710850128580822</v>
      </c>
      <c r="AF74" s="89">
        <f>AF70/(AF71+AF72)</f>
        <v>0.76954857730545079</v>
      </c>
      <c r="AG74" s="89">
        <f>AG70/(AG71+AG72)</f>
        <v>1.0300046518270662</v>
      </c>
      <c r="AH74" s="89">
        <f>AH70/(AH71+AH72)</f>
        <v>1.0388242712356806</v>
      </c>
      <c r="AI74" s="89">
        <f>AI70/(AI71+AI72)</f>
        <v>0.8409427160147015</v>
      </c>
      <c r="AJ74" s="89">
        <f>AJ70/(AJ71+AJ72)</f>
        <v>0.76272264483031949</v>
      </c>
      <c r="AK74" s="89">
        <f>AK70/(AK71+AK72)</f>
        <v>0.74176909034636573</v>
      </c>
      <c r="AL74" s="89">
        <f>AL70/(AL71+AL72)</f>
        <v>0.72570736755698428</v>
      </c>
      <c r="AM74" s="89">
        <f>AM70/(AM71+AM72)</f>
        <v>0.81803488909612754</v>
      </c>
      <c r="AN74" s="89" t="e">
        <f>AN70/(AN71+AN72)</f>
        <v>#DIV/0!</v>
      </c>
      <c r="AO74" s="89">
        <f>AO70/(AO71+AO72)</f>
        <v>0.78871601473671438</v>
      </c>
      <c r="AP74" s="89">
        <f>AP70/(AP71+AP72)</f>
        <v>0.7795564101866278</v>
      </c>
      <c r="AQ74" s="89">
        <f>AQ70/(AQ71+AQ72)</f>
        <v>0.77201429245648512</v>
      </c>
      <c r="AR74" s="89">
        <f>AR70/(AR71+AR72)</f>
        <v>1.0713135675606267</v>
      </c>
      <c r="AS74" s="89">
        <f>AS70/(AS71+AS72)</f>
        <v>1.081475024782639</v>
      </c>
      <c r="AT74" s="89">
        <f>AT70/(AT71+AT72)</f>
        <v>0.84285561916370988</v>
      </c>
      <c r="AU74" s="89">
        <f>AU70/(AU71+AU72)</f>
        <v>0.74913290634238094</v>
      </c>
      <c r="AV74" s="89">
        <f>AV70/(AV71+AV72)</f>
        <v>0.7687314744893603</v>
      </c>
      <c r="AW74" s="89">
        <f>AW70/(AW71+AW72)</f>
        <v>0.99734266786956538</v>
      </c>
      <c r="AX74" s="89">
        <f>AX70/(AX71+AX72)</f>
        <v>0.74187754712147591</v>
      </c>
      <c r="AY74" s="89">
        <f>AY70/(AY71+AY72)</f>
        <v>0.77076633170963071</v>
      </c>
      <c r="AZ74" s="89">
        <f>AZ70/(AZ71+AZ72)</f>
        <v>1.035092583708741</v>
      </c>
      <c r="BA74" s="89">
        <f>BA70/(BA71+BA72)</f>
        <v>0.74935293616295917</v>
      </c>
      <c r="BB74" s="89">
        <f>BB70/(BB71+BB72)</f>
        <v>0.77146616132128687</v>
      </c>
      <c r="BC74" s="89">
        <f>BC70/(BC71+BC72)</f>
        <v>0.99623530089923906</v>
      </c>
      <c r="BD74" s="89">
        <f>BD70/(BD71+BD72)</f>
        <v>0.74211419478190654</v>
      </c>
      <c r="BE74" s="89">
        <f>BE70/(BE71+BE72)</f>
        <v>0.77382267759562839</v>
      </c>
      <c r="BF74" s="89">
        <f>BF70/(BF71+BF72)</f>
        <v>1.033786606443287</v>
      </c>
    </row>
    <row r="75" spans="2:58" ht="15" customHeight="1" x14ac:dyDescent="0.35">
      <c r="C75" s="78" t="s">
        <v>120</v>
      </c>
    </row>
    <row r="76" spans="2:58" ht="15" customHeight="1" x14ac:dyDescent="0.35">
      <c r="B76" s="146" t="s">
        <v>205</v>
      </c>
      <c r="C76" s="152" t="s">
        <v>86</v>
      </c>
      <c r="D76" s="107">
        <f>D66/D73</f>
        <v>588.1047649144283</v>
      </c>
      <c r="E76" s="107">
        <f>E66/E73</f>
        <v>698.08988461538456</v>
      </c>
      <c r="F76" s="107">
        <f>F66/F73</f>
        <v>682.32443163960193</v>
      </c>
      <c r="G76" s="107">
        <f>G66/G73</f>
        <v>671.80590424710431</v>
      </c>
      <c r="H76" s="107">
        <f>H66/H73</f>
        <v>652.87669787765287</v>
      </c>
      <c r="I76" s="107" t="e">
        <f>I66/I73</f>
        <v>#DIV/0!</v>
      </c>
      <c r="J76" s="107">
        <f>J66/J73</f>
        <v>629.88458950574545</v>
      </c>
      <c r="K76" s="107">
        <f>K66/K73</f>
        <v>621.60644675806611</v>
      </c>
      <c r="L76" s="107">
        <f>L66/L73</f>
        <v>620.11571924882628</v>
      </c>
      <c r="M76" s="107">
        <f>M66/M73</f>
        <v>621.72088142041844</v>
      </c>
      <c r="N76" s="107">
        <f>N66/N73</f>
        <v>618.09993115318412</v>
      </c>
      <c r="O76" s="107">
        <f>O66/O73</f>
        <v>635.21743644881337</v>
      </c>
      <c r="P76" s="107">
        <f>P66/P73</f>
        <v>620.87187689023301</v>
      </c>
      <c r="Q76" s="107">
        <f>Q66/Q73</f>
        <v>611.30068444281824</v>
      </c>
      <c r="R76" s="107">
        <f>R66/R73</f>
        <v>594.07630903674283</v>
      </c>
      <c r="S76" s="107" t="e">
        <f>S66/S73</f>
        <v>#DIV/0!</v>
      </c>
      <c r="T76" s="107">
        <f>T66/T73</f>
        <v>573.15495294149559</v>
      </c>
      <c r="U76" s="107">
        <f>U66/U73</f>
        <v>565.62236900912603</v>
      </c>
      <c r="V76" s="107">
        <f>V66/V73</f>
        <v>564.26590112359543</v>
      </c>
      <c r="W76" s="107">
        <f>W66/W73</f>
        <v>565.72649665726522</v>
      </c>
      <c r="X76" s="107">
        <f>X66/X73</f>
        <v>562.43166367444644</v>
      </c>
      <c r="Y76" s="107">
        <f>Y66/Y73</f>
        <v>700.18289704708695</v>
      </c>
      <c r="Z76" s="107">
        <f>Z66/Z73</f>
        <v>684.37017676767687</v>
      </c>
      <c r="AA76" s="107">
        <f>AA66/AA73</f>
        <v>673.82011605415858</v>
      </c>
      <c r="AB76" s="107">
        <f>AB66/AB73</f>
        <v>654.83415300546449</v>
      </c>
      <c r="AC76" s="107" t="e">
        <f>AC66/AC73</f>
        <v>#DIV/0!</v>
      </c>
      <c r="AD76" s="107">
        <f>AD66/AD73</f>
        <v>631.7731114718614</v>
      </c>
      <c r="AE76" s="107">
        <f>AE66/AE73</f>
        <v>623.47016460905354</v>
      </c>
      <c r="AF76" s="107">
        <f>AF66/AF73</f>
        <v>617.09729927007299</v>
      </c>
      <c r="AG76" s="107">
        <f>AG66/AG73</f>
        <v>621.97495216836728</v>
      </c>
      <c r="AH76" s="107">
        <f>AH66/AH73</f>
        <v>623.58492424242422</v>
      </c>
      <c r="AI76" s="107">
        <f>AI66/AI73</f>
        <v>619.95315789473682</v>
      </c>
      <c r="AJ76" s="107">
        <f>AJ66/AJ73</f>
        <v>637.12194620599178</v>
      </c>
      <c r="AK76" s="107">
        <f>AK66/AK73</f>
        <v>622.73337583485124</v>
      </c>
      <c r="AL76" s="107">
        <f>AL66/AL73</f>
        <v>613.13348669373022</v>
      </c>
      <c r="AM76" s="107">
        <f>AM66/AM73</f>
        <v>595.85746898537889</v>
      </c>
      <c r="AN76" s="107" t="e">
        <f>AN66/AN73</f>
        <v>#DIV/0!</v>
      </c>
      <c r="AO76" s="107">
        <f>AO66/AO73</f>
        <v>574.87338643434975</v>
      </c>
      <c r="AP76" s="107">
        <f>AP66/AP73</f>
        <v>567.31821639898556</v>
      </c>
      <c r="AQ76" s="107">
        <f>AQ66/AQ73</f>
        <v>561.51934010152286</v>
      </c>
      <c r="AR76" s="107">
        <f>AR66/AR73</f>
        <v>565.95768372703412</v>
      </c>
      <c r="AS76" s="107">
        <f>AS66/AS73</f>
        <v>567.4226585468291</v>
      </c>
      <c r="AT76" s="107">
        <f>AT66/AT73</f>
        <v>564.11794191919194</v>
      </c>
      <c r="AU76" s="107">
        <f>AU66/AU73</f>
        <v>682.31627766599593</v>
      </c>
      <c r="AV76" s="107">
        <f>AV66/AV73</f>
        <v>617.73433079108725</v>
      </c>
      <c r="AW76" s="107">
        <f>AW66/AW73</f>
        <v>609.19001914893613</v>
      </c>
      <c r="AX76" s="107">
        <f>AX66/AX73</f>
        <v>620.86445387395884</v>
      </c>
      <c r="AY76" s="107">
        <f>AY66/AY73</f>
        <v>562.09898962137925</v>
      </c>
      <c r="AZ76" s="107">
        <f>AZ66/AZ73</f>
        <v>554.32420751828545</v>
      </c>
      <c r="BA76" s="107">
        <f>BA66/BA73</f>
        <v>684.36202702702701</v>
      </c>
      <c r="BB76" s="107">
        <f>BB66/BB73</f>
        <v>619.58642458100564</v>
      </c>
      <c r="BC76" s="107">
        <f>BC66/BC73</f>
        <v>611.01642857142849</v>
      </c>
      <c r="BD76" s="107">
        <f>BD66/BD73</f>
        <v>622.72594827586215</v>
      </c>
      <c r="BE76" s="107">
        <f>BE66/BE73</f>
        <v>563.7842618384401</v>
      </c>
      <c r="BF76" s="107">
        <f>BF66/BF73</f>
        <v>555.98617940199335</v>
      </c>
    </row>
    <row r="77" spans="2:58" ht="15" customHeight="1" x14ac:dyDescent="0.35">
      <c r="B77" s="146" t="s">
        <v>206</v>
      </c>
      <c r="C77" s="152" t="s">
        <v>87</v>
      </c>
      <c r="D77" s="86">
        <f>D67/D73</f>
        <v>20.490685992790024</v>
      </c>
      <c r="E77" s="86">
        <f>E67/E73</f>
        <v>20.490694789081886</v>
      </c>
      <c r="F77" s="86">
        <f>F67/F73</f>
        <v>20.490570979570457</v>
      </c>
      <c r="G77" s="86">
        <f>G67/G73</f>
        <v>20.490656370656371</v>
      </c>
      <c r="H77" s="86">
        <f>H67/H73</f>
        <v>20.490636704119851</v>
      </c>
      <c r="I77" s="86" t="e">
        <f>I67/I73</f>
        <v>#DIV/0!</v>
      </c>
      <c r="J77" s="86">
        <f>J67/J73</f>
        <v>20.490654852554339</v>
      </c>
      <c r="K77" s="86">
        <f>K67/K73</f>
        <v>20.490671064838676</v>
      </c>
      <c r="L77" s="86">
        <f>L67/L73</f>
        <v>20.490704225352111</v>
      </c>
      <c r="M77" s="86">
        <f>M67/M73</f>
        <v>20.490646797717183</v>
      </c>
      <c r="N77" s="86">
        <f>N67/N73</f>
        <v>20.490533562822719</v>
      </c>
      <c r="O77" s="86">
        <f>O67/O73</f>
        <v>20.490694519110157</v>
      </c>
      <c r="P77" s="86">
        <f>P67/P73</f>
        <v>20.490704500978474</v>
      </c>
      <c r="Q77" s="86">
        <f>Q67/Q73</f>
        <v>20.490681241281528</v>
      </c>
      <c r="R77" s="86">
        <f>R67/R73</f>
        <v>20.490685203574976</v>
      </c>
      <c r="S77" s="86" t="e">
        <f>S67/S73</f>
        <v>#DIV/0!</v>
      </c>
      <c r="T77" s="86">
        <f>T67/T73</f>
        <v>20.490683229813666</v>
      </c>
      <c r="U77" s="86">
        <f>U67/U73</f>
        <v>20.490680515848741</v>
      </c>
      <c r="V77" s="86">
        <f>V67/V73</f>
        <v>20.490688812896924</v>
      </c>
      <c r="W77" s="86">
        <f>W67/W73</f>
        <v>20.490676903791915</v>
      </c>
      <c r="X77" s="86">
        <f>X67/X73</f>
        <v>20.490724117295034</v>
      </c>
      <c r="Y77" s="86">
        <f>Y67/Y73</f>
        <v>20.490555998935886</v>
      </c>
      <c r="Z77" s="86">
        <f>Z67/Z73</f>
        <v>20.491161616161616</v>
      </c>
      <c r="AA77" s="86">
        <f>AA67/AA73</f>
        <v>20.49129593810445</v>
      </c>
      <c r="AB77" s="86">
        <f>AB67/AB73</f>
        <v>20.490588949605343</v>
      </c>
      <c r="AC77" s="86" t="e">
        <f>AC67/AC73</f>
        <v>#DIV/0!</v>
      </c>
      <c r="AD77" s="86">
        <f>AD67/AD73</f>
        <v>20.490800865800868</v>
      </c>
      <c r="AE77" s="86">
        <f>AE67/AE73</f>
        <v>20.489711934156379</v>
      </c>
      <c r="AF77" s="86">
        <f>AF67/AF73</f>
        <v>20.48905109489051</v>
      </c>
      <c r="AG77" s="86">
        <f>AG67/AG73</f>
        <v>20.490752551020407</v>
      </c>
      <c r="AH77" s="86">
        <f>AH67/AH73</f>
        <v>20.491161616161616</v>
      </c>
      <c r="AI77" s="86">
        <f>AI67/AI73</f>
        <v>20.494736842105262</v>
      </c>
      <c r="AJ77" s="86">
        <f>AJ67/AJ73</f>
        <v>20.490706319702603</v>
      </c>
      <c r="AK77" s="86">
        <f>AK67/AK73</f>
        <v>20.490588949605343</v>
      </c>
      <c r="AL77" s="86">
        <f>AL67/AL73</f>
        <v>20.490753270184936</v>
      </c>
      <c r="AM77" s="86">
        <f>AM67/AM73</f>
        <v>20.490695613646434</v>
      </c>
      <c r="AN77" s="86" t="e">
        <f>AN67/AN73</f>
        <v>#DIV/0!</v>
      </c>
      <c r="AO77" s="86">
        <f>AO67/AO73</f>
        <v>20.490728064716865</v>
      </c>
      <c r="AP77" s="86">
        <f>AP67/AP73</f>
        <v>20.490278951817412</v>
      </c>
      <c r="AQ77" s="86">
        <f>AQ67/AQ73</f>
        <v>20.490693739424703</v>
      </c>
      <c r="AR77" s="86">
        <f>AR67/AR73</f>
        <v>20.490667833187519</v>
      </c>
      <c r="AS77" s="86">
        <f>AS67/AS73</f>
        <v>20.490760184796304</v>
      </c>
      <c r="AT77" s="86">
        <f>AT67/AT73</f>
        <v>20.491161616161616</v>
      </c>
      <c r="AU77" s="86">
        <f>AU67/AU73</f>
        <v>20.490945674044266</v>
      </c>
      <c r="AV77" s="86">
        <f>AV67/AV73</f>
        <v>20.490653506804247</v>
      </c>
      <c r="AW77" s="86">
        <f>AW67/AW73</f>
        <v>20.490638297872341</v>
      </c>
      <c r="AX77" s="86">
        <f>AX67/AX73</f>
        <v>20.490649064906492</v>
      </c>
      <c r="AY77" s="86">
        <f>AY67/AY73</f>
        <v>20.490688171265322</v>
      </c>
      <c r="AZ77" s="86">
        <f>AZ67/AZ73</f>
        <v>20.490695696547032</v>
      </c>
      <c r="BA77" s="86">
        <f>BA67/BA73</f>
        <v>20.486486486486488</v>
      </c>
      <c r="BB77" s="86">
        <f>BB67/BB73</f>
        <v>20.491620111731844</v>
      </c>
      <c r="BC77" s="86">
        <f>BC67/BC73</f>
        <v>20.5</v>
      </c>
      <c r="BD77" s="86">
        <f>BD67/BD73</f>
        <v>20.491379310344829</v>
      </c>
      <c r="BE77" s="86">
        <f>BE67/BE73</f>
        <v>20.49025069637883</v>
      </c>
      <c r="BF77" s="86">
        <f>BF67/BF73</f>
        <v>20.490033222591361</v>
      </c>
    </row>
    <row r="78" spans="2:58" ht="15" customHeight="1" x14ac:dyDescent="0.35">
      <c r="B78" s="146" t="s">
        <v>207</v>
      </c>
      <c r="C78" s="152" t="s">
        <v>111</v>
      </c>
      <c r="D78" s="107">
        <f>D68/D73</f>
        <v>108.29849008441495</v>
      </c>
      <c r="E78" s="107">
        <f>E68/E73</f>
        <v>48.866253101736973</v>
      </c>
      <c r="F78" s="107">
        <f>F68/F73</f>
        <v>72.32634887375589</v>
      </c>
      <c r="G78" s="107">
        <f>G68/G73</f>
        <v>101.44262548262549</v>
      </c>
      <c r="H78" s="107">
        <f>H68/H73</f>
        <v>65.418227215980025</v>
      </c>
      <c r="I78" s="107" t="e">
        <f>I68/I73</f>
        <v>#DIV/0!</v>
      </c>
      <c r="J78" s="107">
        <f>J68/J73</f>
        <v>80.310258895195901</v>
      </c>
      <c r="K78" s="107">
        <f>K68/K73</f>
        <v>113.19451602927533</v>
      </c>
      <c r="L78" s="107">
        <f>L68/L73</f>
        <v>198.43699530516432</v>
      </c>
      <c r="M78" s="107">
        <f>M68/M73</f>
        <v>205.16788205453392</v>
      </c>
      <c r="N78" s="107">
        <f>N68/N73</f>
        <v>220.66092943201377</v>
      </c>
      <c r="O78" s="107">
        <f>O68/O73</f>
        <v>44.465222845147579</v>
      </c>
      <c r="P78" s="107">
        <f>P68/P73</f>
        <v>65.812399928838289</v>
      </c>
      <c r="Q78" s="107">
        <f>Q68/Q73</f>
        <v>92.306409933911141</v>
      </c>
      <c r="R78" s="107">
        <f>R68/R73</f>
        <v>59.526434955312808</v>
      </c>
      <c r="S78" s="107" t="e">
        <f>S68/S73</f>
        <v>#DIV/0!</v>
      </c>
      <c r="T78" s="107">
        <f>T68/T73</f>
        <v>73.077260028750445</v>
      </c>
      <c r="U78" s="107">
        <f>U68/U73</f>
        <v>102.99983770489757</v>
      </c>
      <c r="V78" s="107">
        <f>V68/V73</f>
        <v>180.56508060576454</v>
      </c>
      <c r="W78" s="107">
        <f>W68/W73</f>
        <v>186.68975242870573</v>
      </c>
      <c r="X78" s="107">
        <f>X68/X73</f>
        <v>200.78815080789946</v>
      </c>
      <c r="Y78" s="107">
        <f>Y68/Y73</f>
        <v>49.012769353551477</v>
      </c>
      <c r="Z78" s="107">
        <f>Z68/Z73</f>
        <v>72.542929292929287</v>
      </c>
      <c r="AA78" s="107">
        <f>AA68/AA73</f>
        <v>101.74661508704062</v>
      </c>
      <c r="AB78" s="107">
        <f>AB68/AB73</f>
        <v>136.86035215543413</v>
      </c>
      <c r="AC78" s="107" t="e">
        <f>AC68/AC73</f>
        <v>#DIV/0!</v>
      </c>
      <c r="AD78" s="107">
        <f>AD68/AD73</f>
        <v>147.20292207792207</v>
      </c>
      <c r="AE78" s="107">
        <f>AE68/AE73</f>
        <v>175.19341563786008</v>
      </c>
      <c r="AF78" s="107">
        <f>AF68/AF73</f>
        <v>186.97810218978103</v>
      </c>
      <c r="AG78" s="107">
        <f>AG68/AG73</f>
        <v>199.03188775510205</v>
      </c>
      <c r="AH78" s="107">
        <f>AH68/AH73</f>
        <v>205.78282828282829</v>
      </c>
      <c r="AI78" s="107">
        <f>AI68/AI73</f>
        <v>221.32631578947368</v>
      </c>
      <c r="AJ78" s="107">
        <f>AJ68/AJ73</f>
        <v>44.598513011152413</v>
      </c>
      <c r="AK78" s="107">
        <f>AK68/AK73</f>
        <v>66.00971463266545</v>
      </c>
      <c r="AL78" s="107">
        <f>AL68/AL73</f>
        <v>92.583220568335591</v>
      </c>
      <c r="AM78" s="107">
        <f>AM68/AM73</f>
        <v>124.53422684980062</v>
      </c>
      <c r="AN78" s="107" t="e">
        <f>AN68/AN73</f>
        <v>#DIV/0!</v>
      </c>
      <c r="AO78" s="107">
        <f>AO68/AO73</f>
        <v>133.94548848786559</v>
      </c>
      <c r="AP78" s="107">
        <f>AP68/AP73</f>
        <v>159.41673710904479</v>
      </c>
      <c r="AQ78" s="107">
        <f>AQ68/AQ73</f>
        <v>170.14043993231812</v>
      </c>
      <c r="AR78" s="107">
        <f>AR68/AR73</f>
        <v>181.10644502770486</v>
      </c>
      <c r="AS78" s="107">
        <f>AS68/AS73</f>
        <v>187.24947501049979</v>
      </c>
      <c r="AT78" s="107">
        <f>AT68/AT73</f>
        <v>201.3901515151515</v>
      </c>
      <c r="AU78" s="107">
        <f>AU68/AU73</f>
        <v>69.596579476861166</v>
      </c>
      <c r="AV78" s="107">
        <f>AV68/AV73</f>
        <v>100.50530880813518</v>
      </c>
      <c r="AW78" s="107">
        <f>AW68/AW73</f>
        <v>178.49276595744681</v>
      </c>
      <c r="AX78" s="107">
        <f>AX68/AX73</f>
        <v>63.328147100424331</v>
      </c>
      <c r="AY78" s="107">
        <f>AY68/AY73</f>
        <v>91.453504140599577</v>
      </c>
      <c r="AZ78" s="107">
        <f>AZ68/AZ73</f>
        <v>162.41700969552645</v>
      </c>
      <c r="BA78" s="107">
        <f>BA68/BA73</f>
        <v>69.810810810810807</v>
      </c>
      <c r="BB78" s="107">
        <f>BB68/BB73</f>
        <v>163.56983240223462</v>
      </c>
      <c r="BC78" s="107">
        <f>BC68/BC73</f>
        <v>179.02380952380952</v>
      </c>
      <c r="BD78" s="107">
        <f>BD68/BD73</f>
        <v>63.517241379310342</v>
      </c>
      <c r="BE78" s="107">
        <f>BE68/BE73</f>
        <v>148.83844011142062</v>
      </c>
      <c r="BF78" s="107">
        <f>BF68/BF73</f>
        <v>162.90365448504983</v>
      </c>
    </row>
    <row r="79" spans="2:58" ht="15" customHeight="1" x14ac:dyDescent="0.35">
      <c r="B79" s="146" t="s">
        <v>208</v>
      </c>
      <c r="C79" s="152" t="s">
        <v>112</v>
      </c>
      <c r="D79" s="107">
        <f>D69/D73</f>
        <v>0</v>
      </c>
      <c r="E79" s="107">
        <f>E69/E73</f>
        <v>0</v>
      </c>
      <c r="F79" s="107">
        <f>F69/F73</f>
        <v>0</v>
      </c>
      <c r="G79" s="107">
        <f>G69/G73</f>
        <v>0</v>
      </c>
      <c r="H79" s="107">
        <f>H69/H73</f>
        <v>0</v>
      </c>
      <c r="I79" s="107" t="e">
        <f>I69/I73</f>
        <v>#DIV/0!</v>
      </c>
      <c r="J79" s="107">
        <f>J69/J73</f>
        <v>0</v>
      </c>
      <c r="K79" s="107">
        <f>K69/K73</f>
        <v>0</v>
      </c>
      <c r="L79" s="107">
        <f>L69/L73</f>
        <v>0</v>
      </c>
      <c r="M79" s="107">
        <f>M69/M73</f>
        <v>0</v>
      </c>
      <c r="N79" s="107">
        <f>N69/N73</f>
        <v>0</v>
      </c>
      <c r="O79" s="107">
        <f>O69/O73</f>
        <v>0</v>
      </c>
      <c r="P79" s="107">
        <f>P69/P73</f>
        <v>0</v>
      </c>
      <c r="Q79" s="107">
        <f>Q69/Q73</f>
        <v>0</v>
      </c>
      <c r="R79" s="107">
        <f>R69/R73</f>
        <v>0</v>
      </c>
      <c r="S79" s="107" t="e">
        <f>S69/S73</f>
        <v>#DIV/0!</v>
      </c>
      <c r="T79" s="107">
        <f>T69/T73</f>
        <v>0</v>
      </c>
      <c r="U79" s="107">
        <f>U69/U73</f>
        <v>0</v>
      </c>
      <c r="V79" s="107">
        <f>V69/V73</f>
        <v>0</v>
      </c>
      <c r="W79" s="107">
        <f>W69/W73</f>
        <v>0</v>
      </c>
      <c r="X79" s="107">
        <f>X69/X73</f>
        <v>0</v>
      </c>
      <c r="Y79" s="107">
        <f>Y69/Y73</f>
        <v>0</v>
      </c>
      <c r="Z79" s="107">
        <f>Z69/Z73</f>
        <v>0</v>
      </c>
      <c r="AA79" s="107">
        <f>AA69/AA73</f>
        <v>0</v>
      </c>
      <c r="AB79" s="107">
        <f>AB69/AB73</f>
        <v>0</v>
      </c>
      <c r="AC79" s="107" t="e">
        <f>AC69/AC73</f>
        <v>#DIV/0!</v>
      </c>
      <c r="AD79" s="107">
        <f>AD69/AD73</f>
        <v>0</v>
      </c>
      <c r="AE79" s="107">
        <f>AE69/AE73</f>
        <v>0</v>
      </c>
      <c r="AF79" s="107">
        <f>AF69/AF73</f>
        <v>0</v>
      </c>
      <c r="AG79" s="107">
        <f>AG69/AG73</f>
        <v>0</v>
      </c>
      <c r="AH79" s="107">
        <f>AH69/AH73</f>
        <v>0</v>
      </c>
      <c r="AI79" s="107">
        <f>AI69/AI73</f>
        <v>0</v>
      </c>
      <c r="AJ79" s="107">
        <f>AJ69/AJ73</f>
        <v>0</v>
      </c>
      <c r="AK79" s="107">
        <f>AK69/AK73</f>
        <v>0</v>
      </c>
      <c r="AL79" s="107">
        <f>AL69/AL73</f>
        <v>0</v>
      </c>
      <c r="AM79" s="107">
        <f>AM69/AM73</f>
        <v>0</v>
      </c>
      <c r="AN79" s="107" t="e">
        <f>AN69/AN73</f>
        <v>#DIV/0!</v>
      </c>
      <c r="AO79" s="107">
        <f>AO69/AO73</f>
        <v>0</v>
      </c>
      <c r="AP79" s="107">
        <f>AP69/AP73</f>
        <v>0</v>
      </c>
      <c r="AQ79" s="107">
        <f>AQ69/AQ73</f>
        <v>0</v>
      </c>
      <c r="AR79" s="107">
        <f>AR69/AR73</f>
        <v>0</v>
      </c>
      <c r="AS79" s="107">
        <f>AS69/AS73</f>
        <v>0</v>
      </c>
      <c r="AT79" s="107">
        <f>AT69/AT73</f>
        <v>0</v>
      </c>
      <c r="AU79" s="107">
        <f>AU69/AU73</f>
        <v>0</v>
      </c>
      <c r="AV79" s="107">
        <f>AV69/AV73</f>
        <v>0</v>
      </c>
      <c r="AW79" s="107">
        <f>AW69/AW73</f>
        <v>0</v>
      </c>
      <c r="AX79" s="107">
        <f>AX69/AX73</f>
        <v>0</v>
      </c>
      <c r="AY79" s="107">
        <f>AY69/AY73</f>
        <v>0</v>
      </c>
      <c r="AZ79" s="107">
        <f>AZ69/AZ73</f>
        <v>0</v>
      </c>
      <c r="BA79" s="107">
        <f>BA69/BA73</f>
        <v>0</v>
      </c>
      <c r="BB79" s="107">
        <f>BB69/BB73</f>
        <v>0</v>
      </c>
      <c r="BC79" s="107">
        <f>BC69/BC73</f>
        <v>0</v>
      </c>
      <c r="BD79" s="107">
        <f>BD69/BD73</f>
        <v>0</v>
      </c>
      <c r="BE79" s="107">
        <f>BE69/BE73</f>
        <v>0</v>
      </c>
      <c r="BF79" s="107">
        <f>BF69/BF73</f>
        <v>0</v>
      </c>
    </row>
    <row r="80" spans="2:58" ht="15" customHeight="1" x14ac:dyDescent="0.35">
      <c r="B80" s="146" t="s">
        <v>209</v>
      </c>
      <c r="C80" s="152" t="s">
        <v>113</v>
      </c>
      <c r="D80" s="107">
        <f>D70/D73</f>
        <v>459.31558883722329</v>
      </c>
      <c r="E80" s="107">
        <f>E70/E73</f>
        <v>628.73293672456577</v>
      </c>
      <c r="F80" s="107">
        <f>F70/F73</f>
        <v>589.50751178627559</v>
      </c>
      <c r="G80" s="107">
        <f>G70/G73</f>
        <v>549.87262239382244</v>
      </c>
      <c r="H80" s="107">
        <f>H70/H73</f>
        <v>566.96783395755301</v>
      </c>
      <c r="I80" s="107" t="e">
        <f>I70/I73</f>
        <v>#DIV/0!</v>
      </c>
      <c r="J80" s="107">
        <f>J70/J73</f>
        <v>529.08367575799525</v>
      </c>
      <c r="K80" s="107">
        <f>K70/K73</f>
        <v>487.92125966395213</v>
      </c>
      <c r="L80" s="107">
        <f>L70/L73</f>
        <v>401.18801971830987</v>
      </c>
      <c r="M80" s="107">
        <f>M70/M73</f>
        <v>396.0623525681674</v>
      </c>
      <c r="N80" s="107">
        <f>N70/N73</f>
        <v>376.94846815834768</v>
      </c>
      <c r="O80" s="107">
        <f>O70/O73</f>
        <v>570.26151908455574</v>
      </c>
      <c r="P80" s="107">
        <f>P70/P73</f>
        <v>534.56877246041631</v>
      </c>
      <c r="Q80" s="107">
        <f>Q70/Q73</f>
        <v>498.5035932676256</v>
      </c>
      <c r="R80" s="107">
        <f>R70/R73</f>
        <v>514.05918887785504</v>
      </c>
      <c r="S80" s="107" t="e">
        <f>S70/S73</f>
        <v>#DIV/0!</v>
      </c>
      <c r="T80" s="107">
        <f>T70/T73</f>
        <v>479.58700968293147</v>
      </c>
      <c r="U80" s="107">
        <f>U70/U73</f>
        <v>442.13185078837972</v>
      </c>
      <c r="V80" s="107">
        <f>V70/V73</f>
        <v>363.21013170493404</v>
      </c>
      <c r="W80" s="107">
        <f>W70/W73</f>
        <v>358.54606732476759</v>
      </c>
      <c r="X80" s="107">
        <f>X70/X73</f>
        <v>341.15278874925195</v>
      </c>
      <c r="Y80" s="107">
        <f>Y70/Y73</f>
        <v>630.67957169459953</v>
      </c>
      <c r="Z80" s="107">
        <f>Z70/Z73</f>
        <v>591.33608585858588</v>
      </c>
      <c r="AA80" s="107">
        <f>AA70/AA73</f>
        <v>551.58220502901349</v>
      </c>
      <c r="AB80" s="107">
        <f>AB70/AB73</f>
        <v>497.48321190042509</v>
      </c>
      <c r="AC80" s="107" t="e">
        <f>AC70/AC73</f>
        <v>#DIV/0!</v>
      </c>
      <c r="AD80" s="107">
        <f>AD70/AD73</f>
        <v>464.07938852813851</v>
      </c>
      <c r="AE80" s="107">
        <f>AE70/AE73</f>
        <v>427.78703703703701</v>
      </c>
      <c r="AF80" s="107">
        <f>AF70/AF73</f>
        <v>409.6301459854015</v>
      </c>
      <c r="AG80" s="107">
        <f>AG70/AG73</f>
        <v>402.45231186224487</v>
      </c>
      <c r="AH80" s="107">
        <f>AH70/AH73</f>
        <v>397.31093434343438</v>
      </c>
      <c r="AI80" s="107">
        <f>AI70/AI73</f>
        <v>378.13210526315794</v>
      </c>
      <c r="AJ80" s="107">
        <f>AJ70/AJ73</f>
        <v>572.03272687513675</v>
      </c>
      <c r="AK80" s="107">
        <f>AK70/AK73</f>
        <v>536.23307225258043</v>
      </c>
      <c r="AL80" s="107">
        <f>AL70/AL73</f>
        <v>500.05951285520973</v>
      </c>
      <c r="AM80" s="107">
        <f>AM70/AM73</f>
        <v>450.83254652193182</v>
      </c>
      <c r="AN80" s="107" t="e">
        <f>AN70/AN73</f>
        <v>#DIV/0!</v>
      </c>
      <c r="AO80" s="107">
        <f>AO70/AO73</f>
        <v>420.43716988176726</v>
      </c>
      <c r="AP80" s="107">
        <f>AP70/AP73</f>
        <v>387.41120033812336</v>
      </c>
      <c r="AQ80" s="107">
        <f>AQ70/AQ73</f>
        <v>370.88820642978004</v>
      </c>
      <c r="AR80" s="107">
        <f>AR70/AR73</f>
        <v>364.3605708661417</v>
      </c>
      <c r="AS80" s="107">
        <f>AS70/AS73</f>
        <v>359.68242335153303</v>
      </c>
      <c r="AT80" s="107">
        <f>AT70/AT73</f>
        <v>342.23662878787877</v>
      </c>
      <c r="AU80" s="107">
        <f>AU70/AU73</f>
        <v>592.22875251509049</v>
      </c>
      <c r="AV80" s="107">
        <f>AV70/AV73</f>
        <v>496.7383684761478</v>
      </c>
      <c r="AW80" s="107">
        <f>AW70/AW73</f>
        <v>410.20661489361697</v>
      </c>
      <c r="AX80" s="107">
        <f>AX70/AX73</f>
        <v>537.04565770862803</v>
      </c>
      <c r="AY80" s="107">
        <f>AY70/AY73</f>
        <v>450.15479730951432</v>
      </c>
      <c r="AZ80" s="107">
        <f>AZ70/AZ73</f>
        <v>371.41650212621192</v>
      </c>
      <c r="BA80" s="107">
        <f>BA70/BA73</f>
        <v>594.06472972972972</v>
      </c>
      <c r="BB80" s="107">
        <f>BB70/BB73</f>
        <v>435.52497206703913</v>
      </c>
      <c r="BC80" s="107">
        <f>BC70/BC73</f>
        <v>411.49261904761903</v>
      </c>
      <c r="BD80" s="107">
        <f>BD70/BD73</f>
        <v>538.71732758620692</v>
      </c>
      <c r="BE80" s="107">
        <f>BE70/BE73</f>
        <v>394.45557103064061</v>
      </c>
      <c r="BF80" s="107">
        <f>BF70/BF73</f>
        <v>372.59249169435213</v>
      </c>
    </row>
    <row r="81" spans="2:58" ht="15" customHeight="1" x14ac:dyDescent="0.35">
      <c r="B81" s="146" t="s">
        <v>210</v>
      </c>
      <c r="C81" s="152" t="s">
        <v>114</v>
      </c>
      <c r="D81" s="107">
        <f>D71/D73</f>
        <v>-52.317131533575655</v>
      </c>
      <c r="E81" s="107">
        <f>E71/E73</f>
        <v>50.50359801488834</v>
      </c>
      <c r="F81" s="107">
        <f>F71/F73</f>
        <v>50.503666841278154</v>
      </c>
      <c r="G81" s="107">
        <f>G71/G73</f>
        <v>50.503629343629342</v>
      </c>
      <c r="H81" s="107">
        <f>H71/H73</f>
        <v>-43.821161048689142</v>
      </c>
      <c r="I81" s="107" t="e">
        <f>I71/I73</f>
        <v>#DIV/0!</v>
      </c>
      <c r="J81" s="107">
        <f>J71/J73</f>
        <v>-43.821126955558633</v>
      </c>
      <c r="K81" s="107">
        <f>K71/K73</f>
        <v>-43.821152458509431</v>
      </c>
      <c r="L81" s="107">
        <f>L71/L73</f>
        <v>-171.34450704225353</v>
      </c>
      <c r="M81" s="107">
        <f>M71/M73</f>
        <v>-171.34448319594165</v>
      </c>
      <c r="N81" s="107">
        <f>N71/N73</f>
        <v>-34.535283993115321</v>
      </c>
      <c r="O81" s="107">
        <f>O71/O73</f>
        <v>50.503545554616899</v>
      </c>
      <c r="P81" s="107">
        <f>P71/P73</f>
        <v>50.503558085749866</v>
      </c>
      <c r="Q81" s="107">
        <f>Q71/Q73</f>
        <v>50.503555992590726</v>
      </c>
      <c r="R81" s="107">
        <f>R71/R73</f>
        <v>-43.821171797418074</v>
      </c>
      <c r="S81" s="107" t="e">
        <f>S71/S73</f>
        <v>#DIV/0!</v>
      </c>
      <c r="T81" s="107">
        <f>T71/T73</f>
        <v>-43.821177683148441</v>
      </c>
      <c r="U81" s="107">
        <f>U71/U73</f>
        <v>-43.821175765595932</v>
      </c>
      <c r="V81" s="107">
        <f>V71/V73</f>
        <v>-171.34454323400098</v>
      </c>
      <c r="W81" s="107">
        <f>W71/W73</f>
        <v>-171.34456283296771</v>
      </c>
      <c r="X81" s="107">
        <f>X71/X73</f>
        <v>-34.535407939357668</v>
      </c>
      <c r="Y81" s="107">
        <f>Y71/Y73</f>
        <v>50.503591380686352</v>
      </c>
      <c r="Z81" s="107">
        <f>Z71/Z73</f>
        <v>50.503787878787875</v>
      </c>
      <c r="AA81" s="107">
        <f>AA71/AA73</f>
        <v>50.502901353965186</v>
      </c>
      <c r="AB81" s="107">
        <f>AB71/AB73</f>
        <v>-43.820886460230724</v>
      </c>
      <c r="AC81" s="107" t="e">
        <f>AC71/AC73</f>
        <v>#DIV/0!</v>
      </c>
      <c r="AD81" s="107">
        <f>AD71/AD73</f>
        <v>-43.821428571428569</v>
      </c>
      <c r="AE81" s="107">
        <f>AE71/AE73</f>
        <v>-43.823045267489711</v>
      </c>
      <c r="AF81" s="107">
        <f>AF71/AF73</f>
        <v>-43.824817518248175</v>
      </c>
      <c r="AG81" s="107">
        <f>AG71/AG73</f>
        <v>-171.34470663265307</v>
      </c>
      <c r="AH81" s="107">
        <f>AH71/AH73</f>
        <v>-171.34469696969697</v>
      </c>
      <c r="AI81" s="107">
        <f>AI71/AI73</f>
        <v>-34.536842105263155</v>
      </c>
      <c r="AJ81" s="107">
        <f>AJ71/AJ73</f>
        <v>50.503553465996063</v>
      </c>
      <c r="AK81" s="107">
        <f>AK71/AK73</f>
        <v>50.503642987249542</v>
      </c>
      <c r="AL81" s="107">
        <f>AL71/AL73</f>
        <v>50.503382949932337</v>
      </c>
      <c r="AM81" s="107">
        <f>AM71/AM73</f>
        <v>-43.821222862206469</v>
      </c>
      <c r="AN81" s="107" t="e">
        <f>AN71/AN73</f>
        <v>#DIV/0!</v>
      </c>
      <c r="AO81" s="107">
        <f>AO71/AO73</f>
        <v>-43.821157436216552</v>
      </c>
      <c r="AP81" s="107">
        <f>AP71/AP73</f>
        <v>-43.820794590025358</v>
      </c>
      <c r="AQ81" s="107">
        <f>AQ71/AQ73</f>
        <v>-43.820642978003384</v>
      </c>
      <c r="AR81" s="107">
        <f>AR71/AR73</f>
        <v>-171.34456109652959</v>
      </c>
      <c r="AS81" s="107">
        <f>AS71/AS73</f>
        <v>-171.34460310793784</v>
      </c>
      <c r="AT81" s="107">
        <f>AT71/AT73</f>
        <v>-34.535353535353536</v>
      </c>
      <c r="AU81" s="107">
        <f>AU71/AU73</f>
        <v>50.504024144869213</v>
      </c>
      <c r="AV81" s="107">
        <f>AV71/AV73</f>
        <v>-43.821145506206072</v>
      </c>
      <c r="AW81" s="107">
        <f>AW71/AW73</f>
        <v>-171.34446808510637</v>
      </c>
      <c r="AX81" s="107">
        <f>AX71/AX73</f>
        <v>50.503536067892504</v>
      </c>
      <c r="AY81" s="107">
        <f>AY71/AY73</f>
        <v>-43.821176725852531</v>
      </c>
      <c r="AZ81" s="107">
        <f>AZ71/AZ73</f>
        <v>-171.34454839258376</v>
      </c>
      <c r="BA81" s="107">
        <f>BA71/BA73</f>
        <v>50.5</v>
      </c>
      <c r="BB81" s="107">
        <f>BB71/BB73</f>
        <v>-43.821229050279328</v>
      </c>
      <c r="BC81" s="107">
        <f>BC71/BC73</f>
        <v>-171.33333333333334</v>
      </c>
      <c r="BD81" s="107">
        <f>BD71/BD73</f>
        <v>50.504310344827587</v>
      </c>
      <c r="BE81" s="107">
        <f>BE71/BE73</f>
        <v>-43.82172701949861</v>
      </c>
      <c r="BF81" s="107">
        <f>BF71/BF73</f>
        <v>-171.34385382059801</v>
      </c>
    </row>
    <row r="82" spans="2:58" ht="15" customHeight="1" x14ac:dyDescent="0.35">
      <c r="B82" s="148" t="s">
        <v>211</v>
      </c>
      <c r="C82" s="170" t="s">
        <v>115</v>
      </c>
      <c r="D82" s="107">
        <f>D72/D73</f>
        <v>617.0861301229279</v>
      </c>
      <c r="E82" s="107">
        <f>E72/E73</f>
        <v>766.4198511166253</v>
      </c>
      <c r="F82" s="107">
        <f>F72/F73</f>
        <v>736.75196437925615</v>
      </c>
      <c r="G82" s="107">
        <f>G72/G73</f>
        <v>699.66718146718142</v>
      </c>
      <c r="H82" s="107">
        <f>H72/H73</f>
        <v>741.56304619225966</v>
      </c>
      <c r="I82" s="107" t="e">
        <f>I72/I73</f>
        <v>#DIV/0!</v>
      </c>
      <c r="J82" s="107">
        <f>J72/J73</f>
        <v>719.06299321611516</v>
      </c>
      <c r="K82" s="107">
        <f>K72/K73</f>
        <v>674.062880115452</v>
      </c>
      <c r="L82" s="107">
        <f>L72/L73</f>
        <v>560.39305164319251</v>
      </c>
      <c r="M82" s="107">
        <f>M72/M73</f>
        <v>552.15202916930878</v>
      </c>
      <c r="N82" s="107">
        <f>N72/N73</f>
        <v>482.74010327022376</v>
      </c>
      <c r="O82" s="107">
        <f>O72/O73</f>
        <v>697.39341576427819</v>
      </c>
      <c r="P82" s="107">
        <f>P72/P73</f>
        <v>670.39752713040389</v>
      </c>
      <c r="Q82" s="107">
        <f>Q72/Q73</f>
        <v>636.65270186832538</v>
      </c>
      <c r="R82" s="107">
        <f>R72/R73</f>
        <v>674.77517378351536</v>
      </c>
      <c r="S82" s="107" t="e">
        <f>S72/S73</f>
        <v>#DIV/0!</v>
      </c>
      <c r="T82" s="107">
        <f>T72/T73</f>
        <v>654.30159483576983</v>
      </c>
      <c r="U82" s="107">
        <f>U72/U73</f>
        <v>613.35442753523671</v>
      </c>
      <c r="V82" s="107">
        <f>V72/V73</f>
        <v>509.92207132388864</v>
      </c>
      <c r="W82" s="107">
        <f>W72/W73</f>
        <v>502.42322156063932</v>
      </c>
      <c r="X82" s="107">
        <f>X72/X73</f>
        <v>439.26251745461798</v>
      </c>
      <c r="Y82" s="107">
        <f>Y72/Y73</f>
        <v>768.71774408087254</v>
      </c>
      <c r="Z82" s="107">
        <f>Z72/Z73</f>
        <v>738.96085858585855</v>
      </c>
      <c r="AA82" s="107">
        <f>AA72/AA73</f>
        <v>701.76402321083174</v>
      </c>
      <c r="AB82" s="107">
        <f>AB72/AB73</f>
        <v>653.82331511839709</v>
      </c>
      <c r="AC82" s="107" t="e">
        <f>AC72/AC73</f>
        <v>#DIV/0!</v>
      </c>
      <c r="AD82" s="107">
        <f>AD72/AD73</f>
        <v>633.98538961038957</v>
      </c>
      <c r="AE82" s="107">
        <f>AE72/AE73</f>
        <v>594.30864197530866</v>
      </c>
      <c r="AF82" s="107">
        <f>AF72/AF73</f>
        <v>576.12408759124082</v>
      </c>
      <c r="AG82" s="107">
        <f>AG72/AG73</f>
        <v>562.0733418367347</v>
      </c>
      <c r="AH82" s="107">
        <f>AH72/AH73</f>
        <v>553.80681818181813</v>
      </c>
      <c r="AI82" s="107">
        <f>AI72/AI73</f>
        <v>484.18947368421055</v>
      </c>
      <c r="AJ82" s="107">
        <f>AJ72/AJ73</f>
        <v>699.48431008090972</v>
      </c>
      <c r="AK82" s="107">
        <f>AK72/AK73</f>
        <v>672.40740740740739</v>
      </c>
      <c r="AL82" s="107">
        <f>AL72/AL73</f>
        <v>638.5615696887686</v>
      </c>
      <c r="AM82" s="107">
        <f>AM72/AM73</f>
        <v>594.93774922463444</v>
      </c>
      <c r="AN82" s="107" t="e">
        <f>AN72/AN73</f>
        <v>#DIV/0!</v>
      </c>
      <c r="AO82" s="107">
        <f>AO72/AO73</f>
        <v>576.88649657747351</v>
      </c>
      <c r="AP82" s="107">
        <f>AP72/AP73</f>
        <v>540.78444632290791</v>
      </c>
      <c r="AQ82" s="107">
        <f>AQ72/AQ73</f>
        <v>524.23688663282576</v>
      </c>
      <c r="AR82" s="107">
        <f>AR72/AR73</f>
        <v>511.45093321668122</v>
      </c>
      <c r="AS82" s="107">
        <f>AS72/AS73</f>
        <v>503.92965140697186</v>
      </c>
      <c r="AT82" s="107">
        <f>AT72/AT73</f>
        <v>440.57954545454544</v>
      </c>
      <c r="AU82" s="107">
        <f>AU72/AU73</f>
        <v>740.04828973843064</v>
      </c>
      <c r="AV82" s="107">
        <f>AV72/AV73</f>
        <v>690.00044863167341</v>
      </c>
      <c r="AW82" s="107">
        <f>AW72/AW73</f>
        <v>582.64404255319153</v>
      </c>
      <c r="AX82" s="107">
        <f>AX72/AX73</f>
        <v>673.39713971397134</v>
      </c>
      <c r="AY82" s="107">
        <f>AY72/AY73</f>
        <v>627.8565435938234</v>
      </c>
      <c r="AZ82" s="107">
        <f>AZ72/AZ73</f>
        <v>530.16897431535972</v>
      </c>
      <c r="BA82" s="107">
        <f>BA72/BA73</f>
        <v>742.27027027027032</v>
      </c>
      <c r="BB82" s="107">
        <f>BB72/BB73</f>
        <v>608.36312849162016</v>
      </c>
      <c r="BC82" s="107">
        <f>BC72/BC73</f>
        <v>584.38095238095241</v>
      </c>
      <c r="BD82" s="107">
        <f>BD72/BD73</f>
        <v>675.41810344827582</v>
      </c>
      <c r="BE82" s="107">
        <f>BE72/BE73</f>
        <v>553.57103064066848</v>
      </c>
      <c r="BF82" s="107">
        <f>BF72/BF73</f>
        <v>531.75913621262464</v>
      </c>
    </row>
    <row r="83" spans="2:58" ht="15" customHeight="1" x14ac:dyDescent="0.35"/>
  </sheetData>
  <sheetProtection algorithmName="SHA-512" hashValue="PIS0pjl75J1xI8fdjvBpXtbyToEcb4PGH74GnXy9pwIOso+e0/SNgFGQD6X26swttg+x036kRVUw+vTYNMOAKg==" saltValue="ZXdfmoDs9DwP9DIFraxtSw==" spinCount="100000" sheet="1" objects="1"/>
  <mergeCells count="18">
    <mergeCell ref="BA10:BF10"/>
    <mergeCell ref="BA11:BF11"/>
    <mergeCell ref="BA21:BF21"/>
    <mergeCell ref="E22:BF22"/>
    <mergeCell ref="E59:BF59"/>
    <mergeCell ref="E48:BF48"/>
    <mergeCell ref="AU10:AZ10"/>
    <mergeCell ref="AU11:AZ11"/>
    <mergeCell ref="AU21:AZ21"/>
    <mergeCell ref="Y10:AT10"/>
    <mergeCell ref="Y11:AT11"/>
    <mergeCell ref="Y21:AT21"/>
    <mergeCell ref="E60:BF60"/>
    <mergeCell ref="E61:BF61"/>
    <mergeCell ref="C7:V8"/>
    <mergeCell ref="E10:X10"/>
    <mergeCell ref="E11:X11"/>
    <mergeCell ref="E21:X21"/>
  </mergeCells>
  <dataValidations xWindow="756" yWindow="613" count="38">
    <dataValidation allowBlank="1" showInputMessage="1" showErrorMessage="1" promptTitle="Required:" prompt="Enter the Age Calibration Factor as a numeric value greater than or equal to 0 with up to 16 characters including decimal place." sqref="D59" xr:uid="{61DFF92A-2893-4787-A53B-AC90D2CA605E}"/>
    <dataValidation allowBlank="1" showInputMessage="1" showErrorMessage="1" promptTitle="Required:" prompt="Enter the Geographic Calibration Factor as a numeric value greater than or equal to 0 with up to 16 characters including decimal place." sqref="D60" xr:uid="{1245270E-359B-4A7B-9B70-C6347833EC15}"/>
    <dataValidation allowBlank="1" showInputMessage="1" showErrorMessage="1" promptTitle="Required:" prompt="Enter the Tobacco Calibration Factor as a numeric value greater than or equal to 0 with up to 16 characters including decimal place." sqref="D61" xr:uid="{3812A039-BF22-49B8-A06C-3AB2EB0751DF}"/>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BF73" xr:uid="{38D7C87E-BD42-4C0B-B247-7657BF0DF2BA}">
      <formula1>0</formula1>
    </dataValidation>
    <dataValidation allowBlank="1" showInputMessage="1" showErrorMessage="1" promptTitle="Required:" prompt="Enter the Premium for each plan for the projection period as a dollar amount greater than or equal to 0, with up to 16 characters including decimal place." sqref="E72:BF72" xr:uid="{BCE2DA66-DC2D-4AEF-959C-DA1A15A667B5}"/>
    <dataValidation allowBlank="1" showInputMessage="1" showErrorMessage="1" promptTitle="Required:" prompt="Enter the Risk Adjustment Transfer Amount for the benefit plan for the projection period as a dollar value with up to 16 characters including decimal place." sqref="E71:BF71" xr:uid="{1D2E0C17-BDD2-4CEA-ADBD-7DC508ACB099}"/>
    <dataValidation allowBlank="1" showInputMessage="1" showErrorMessage="1" promptTitle="Required:" prompt="Enter the Cost Sharing Reduction for the benefit plan for the projection period as a dollar value with up to 16 characters including decimal place." sqref="E69:BF69" xr:uid="{20CBAF06-B809-4572-9CDA-B9131A0AA55D}"/>
    <dataValidation allowBlank="1" showInputMessage="1" showErrorMessage="1" promptTitle="Required:" prompt="Enter the Member Cost Sharing for the benefit plan for the projection period as a dollar value with up to 16 characters including decimal place." sqref="E68:BF68" xr:uid="{4895EA55-D36D-42AC-BC45-E439AAC47EB9}"/>
    <dataValidation allowBlank="1" showInputMessage="1" showErrorMessage="1" promptTitle="Required:" prompt="Enter the Reinsurance for the benefit plan for the projection period as a dollar value with up to 16 characters including decimal place." sqref="E67:BF67" xr:uid="{8D7545E8-0A4E-45A6-B952-9FBA70BFA075}"/>
    <dataValidation allowBlank="1" showInputMessage="1" showErrorMessage="1" promptTitle="Required:" prompt="Enter the total allowed claims for the benefit plan for the projection period as a dollar value with up to 16 characters including decimal place." sqref="E66:BF66" xr:uid="{B05E459D-1809-4BB7-B9A6-82A76ACA3109}"/>
    <dataValidation allowBlank="1" showInputMessage="1" showErrorMessage="1" promptTitle="Required:" prompt="Enter the Catastrophic Adjustment for each plan as a numeric value greater than or equal to 0 with up to 16 characters including decimal place." sqref="E56:BF56" xr:uid="{F1E312A9-06E5-4C42-8208-74130028D06F}"/>
    <dataValidation allowBlank="1" showInputMessage="1" showErrorMessage="1" promptTitle="Required:" prompt="Enter the Profit and Risk Load as a percentage up to 16 characters including decimal place." sqref="E55:BF55" xr:uid="{C7AADB37-8DFF-45ED-863C-4298F4251FA0}"/>
    <dataValidation allowBlank="1" showInputMessage="1" showErrorMessage="1" promptTitle="Required:" prompt="Enter the Taxes and Fees as a percentage up to 16 characters including decimal place." sqref="E54:BF54" xr:uid="{11177094-965A-4216-982A-93252BF66C77}"/>
    <dataValidation allowBlank="1" showInputMessage="1" showErrorMessage="1" promptTitle="Required:" prompt="Enter the Administrative Expense as a percentage up to 16 characters including decimal place." sqref="E53:BF53" xr:uid="{B41B43FB-BA88-4443-8294-BC42D76C211B}"/>
    <dataValidation allowBlank="1" showInputMessage="1" showErrorMessage="1" promptTitle="Required:" prompt="Enter the Benefits in Addition to EHB as a numeric value up to 16 characters including decimal place." sqref="E51:BF51" xr:uid="{42DE2776-61DC-4B59-81FC-CDB111EEB9CD}"/>
    <dataValidation allowBlank="1" showInputMessage="1" showErrorMessage="1" promptTitle="Required:" prompt="Enter the Provider Network Adjustment as a numeric value up to 16 characters including decimal place." sqref="E50:BF50" xr:uid="{104B5239-3A1B-4B44-811E-9686D080AA8A}"/>
    <dataValidation allowBlank="1" showInputMessage="1" showErrorMessage="1" promptTitle="Required:" prompt="Enter the AV Cost Sharing Design of Plan as a numeric value up to 16 characters including decimal place." sqref="E49:BF49" xr:uid="{65B6ADD7-F2B3-47E2-8729-0C588C380550}"/>
    <dataValidation allowBlank="1" showInputMessage="1" showErrorMessage="1" promptTitle="Required:" prompt="Enter the Current Premium PMPM as a dollar amount greater than or equal to 0, with up to 16 characters including decimal place." sqref="E35:BF35" xr:uid="{25F25328-FB8E-4273-85BF-704A83225A30}"/>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BF34" xr:uid="{6CF647CF-07DB-415A-BFB9-1AD7DEE35231}">
      <formula1>0</formula1>
    </dataValidation>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BF33" xr:uid="{FA710FA9-FB97-44CA-91FE-D83FB3408550}">
      <formula1>0</formula1>
    </dataValidation>
    <dataValidation allowBlank="1" showInputMessage="1" showErrorMessage="1" promptTitle="Required:" prompt="Enter the Premium for each plan during the experience period as a dollar amount greater than or equal to 0, with up to 16 characters including decimal place." sqref="E32:BF32" xr:uid="{1762409B-87A5-44E9-AA45-A2986EBFA183}"/>
    <dataValidation allowBlank="1" showInputMessage="1" showErrorMessage="1" promptTitle="Required:" prompt="Enter the Risk Adjustment Transfer Amount for the benefit plan with service dates within the experience period as a dollar value with up to 16 characters including decimal place." sqref="E31:BF31" xr:uid="{C5888AF0-E7DD-4F50-B149-A9CE012E8ED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BF30" xr:uid="{EEE2B303-FF54-4743-A94A-EFCD65A0FB44}">
      <formula1>AND(ISNUMBER(E30),IF(ISNUMBER(SEARCH(".", E30)),LEN(E30)-SEARCH(".", E30)&lt;3,1))</formula1>
    </dataValidation>
    <dataValidation allowBlank="1" showInputMessage="1" showErrorMessage="1" promptTitle="Required:" prompt="Enter the Cost Sharing Reduction for the benefit plan with service dates within the experience period as a dollar value with up to 16 characters including decimal place." sqref="E29:BF29" xr:uid="{05FB74D8-0885-4F93-B476-4CA474B19E04}"/>
    <dataValidation allowBlank="1" showInputMessage="1" showErrorMessage="1" promptTitle="Required:" prompt="Enter the Member Cost Sharing for the benefit plan with service dates within the experience period as a dollar value with up to 16 characters including decimal place." sqref="E28:BF28" xr:uid="{A8DBDF87-D210-4F38-A5E2-FF0E1A9E09F0}"/>
    <dataValidation allowBlank="1" showInputMessage="1" showErrorMessage="1" promptTitle="Required:" prompt="Enter Reinsurance for the benefit plan with service dates within the experience period as a dollar value with up to 16 characters including decimal place." sqref="E27:BF27" xr:uid="{8F199EF6-821A-4299-9E65-4D885AD8804F}"/>
    <dataValidation allowBlank="1" showInputMessage="1" showErrorMessage="1" promptTitle="Required:" prompt="Enter the total allowed claims for the benefit plan with service dates within the experience period as a dollar value with up to 16 characters including decimal place." sqref="E26:BF26" xr:uid="{95BEA2F6-77C1-4D2B-920F-84F3E89286A5}"/>
    <dataValidation allowBlank="1" showInputMessage="1" showErrorMessage="1" promptTitle="Required:" prompt="Enter the average change in premium rates over the twelve month period prior to the effective date for the plan as a percentage with up to 16 characters including decimal place." sqref="E20:BF20" xr:uid="{11D3BBE8-8612-446D-8D77-5BD37C7403CB}"/>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BF19" xr:uid="{65AEED4F-02FE-4A03-B7C1-CCA5D7EBE7A7}">
      <formula1>40179</formula1>
    </dataValidation>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BF18" xr:uid="{147572D4-95D3-428F-BA06-E4FB91C81277}">
      <formula1>YesNo</formula1>
    </dataValidation>
    <dataValidation allowBlank="1" showInputMessage="1" showErrorMessage="1" promptTitle="Required:" prompt="Enter the AV Metal Value for the designated plan as a numeric value between 0 and 1, with up to 16 characters including decimal place." sqref="E15:BF15" xr:uid="{489498FC-ECC9-41E6-B980-AB7F3A6ABFDE}"/>
    <dataValidation type="list" operator="greaterThan" allowBlank="1" showInputMessage="1" showErrorMessage="1" errorTitle="Value not valid:" error="Select a value from the list." promptTitle="Required:" prompt="Select the Plan Category for the designated plan." sqref="E16:BF16" xr:uid="{FBC9E935-C5F0-4E17-B81E-D8800D35AC00}">
      <formula1>CategoryList</formula1>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BF13" xr:uid="{FDDAAF10-15BF-4E93-BC24-E6F0BC012F5D}">
      <formula1>14</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BF12" xr:uid="{3AE24E7E-9ECE-45B2-8C1D-4E1022059B0C}">
      <formula1>1</formula1>
      <formula2>100</formula2>
    </dataValidation>
    <dataValidation type="list" operator="greaterThan" allowBlank="1" showInputMessage="1" showErrorMessage="1" errorTitle="Value not valid:" error="Select a value from the list." promptTitle="Required:" prompt="Select the Metal for the designated plan." sqref="E14:BF14" xr:uid="{2B501EBE-B7F7-4D1A-967C-AB61911159EA}">
      <formula1>MetalLevels</formula1>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Y11 AU11 BA11" xr:uid="{317A583C-9034-4F6D-91C6-FADBEB35EDDE}">
      <formula1>10</formula1>
      <formula2>10</formula2>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Y10 AU10 BA10" xr:uid="{617B4DB7-FC69-40CE-85FB-AA50FC5A142F}">
      <formula1>0</formula1>
      <formula2>100</formula2>
    </dataValidation>
    <dataValidation type="list" allowBlank="1" showInputMessage="1" showErrorMessage="1" errorTitle="Value not valid:" error="Select a value from the list." promptTitle="Required:" prompt="Select the Plan Type for the designated plan." sqref="E17:BF17" xr:uid="{1AF2005B-8078-431F-B360-4991917E29DF}">
      <formula1>"HMO, PPO, Indemnity, EPO, POS"</formula1>
    </dataValidation>
  </dataValidations>
  <pageMargins left="0.7" right="0.7" top="0.75" bottom="0.75" header="0.3" footer="0.3"/>
  <pageSetup scale="33" fitToHeight="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078" r:id="rId4" name="Button 30">
              <controlPr defaultSize="0" print="0" autoFill="0" autoPict="0" macro="[0]!AddNewProduct">
                <anchor moveWithCells="1" sizeWithCells="1">
                  <from>
                    <xdr:col>4</xdr:col>
                    <xdr:colOff>1092200</xdr:colOff>
                    <xdr:row>0</xdr:row>
                    <xdr:rowOff>0</xdr:rowOff>
                  </from>
                  <to>
                    <xdr:col>5</xdr:col>
                    <xdr:colOff>1035050</xdr:colOff>
                    <xdr:row>1</xdr:row>
                    <xdr:rowOff>50800</xdr:rowOff>
                  </to>
                </anchor>
              </controlPr>
            </control>
          </mc:Choice>
        </mc:AlternateContent>
        <mc:AlternateContent xmlns:mc="http://schemas.openxmlformats.org/markup-compatibility/2006">
          <mc:Choice Requires="x14">
            <control shapeId="2079" r:id="rId5" name="Button 31">
              <controlPr defaultSize="0" print="0" autoFill="0" autoPict="0" macro="[0]!Validate">
                <anchor moveWithCells="1" sizeWithCells="1">
                  <from>
                    <xdr:col>7</xdr:col>
                    <xdr:colOff>19050</xdr:colOff>
                    <xdr:row>0</xdr:row>
                    <xdr:rowOff>0</xdr:rowOff>
                  </from>
                  <to>
                    <xdr:col>8</xdr:col>
                    <xdr:colOff>12700</xdr:colOff>
                    <xdr:row>1</xdr:row>
                    <xdr:rowOff>44450</xdr:rowOff>
                  </to>
                </anchor>
              </controlPr>
            </control>
          </mc:Choice>
        </mc:AlternateContent>
        <mc:AlternateContent xmlns:mc="http://schemas.openxmlformats.org/markup-compatibility/2006">
          <mc:Choice Requires="x14">
            <control shapeId="2080" r:id="rId6" name="Button 32">
              <controlPr defaultSize="0" print="0" autoFill="0" autoPict="0" macro="[0]!ValidateAndFinalize">
                <anchor moveWithCells="1" sizeWithCells="1">
                  <from>
                    <xdr:col>8</xdr:col>
                    <xdr:colOff>25400</xdr:colOff>
                    <xdr:row>0</xdr:row>
                    <xdr:rowOff>0</xdr:rowOff>
                  </from>
                  <to>
                    <xdr:col>9</xdr:col>
                    <xdr:colOff>12700</xdr:colOff>
                    <xdr:row>1</xdr:row>
                    <xdr:rowOff>44450</xdr:rowOff>
                  </to>
                </anchor>
              </controlPr>
            </control>
          </mc:Choice>
        </mc:AlternateContent>
        <mc:AlternateContent xmlns:mc="http://schemas.openxmlformats.org/markup-compatibility/2006">
          <mc:Choice Requires="x14">
            <control shapeId="2083" r:id="rId7" name="Button 35">
              <controlPr defaultSize="0" print="0" autoFill="0" autoPict="0" macro="[0]!AddNewPlan">
                <anchor moveWithCells="1" sizeWithCells="1">
                  <from>
                    <xdr:col>6</xdr:col>
                    <xdr:colOff>6350</xdr:colOff>
                    <xdr:row>0</xdr:row>
                    <xdr:rowOff>0</xdr:rowOff>
                  </from>
                  <to>
                    <xdr:col>7</xdr:col>
                    <xdr:colOff>6350</xdr:colOff>
                    <xdr:row>1</xdr:row>
                    <xdr:rowOff>44450</xdr:rowOff>
                  </to>
                </anchor>
              </controlPr>
            </control>
          </mc:Choice>
        </mc:AlternateContent>
        <mc:AlternateContent xmlns:mc="http://schemas.openxmlformats.org/markup-compatibility/2006">
          <mc:Choice Requires="x14">
            <control shapeId="2084" r:id="rId8" name="Button 36">
              <controlPr defaultSize="0" print="0" autoFill="0" autoPict="0" macro="[0]!RemoveProduct">
                <anchor moveWithCells="1" sizeWithCells="1">
                  <from>
                    <xdr:col>55</xdr:col>
                    <xdr:colOff>50800</xdr:colOff>
                    <xdr:row>0</xdr:row>
                    <xdr:rowOff>0</xdr:rowOff>
                  </from>
                  <to>
                    <xdr:col>56</xdr:col>
                    <xdr:colOff>44450</xdr:colOff>
                    <xdr:row>1</xdr:row>
                    <xdr:rowOff>50800</xdr:rowOff>
                  </to>
                </anchor>
              </controlPr>
            </control>
          </mc:Choice>
        </mc:AlternateContent>
        <mc:AlternateContent xmlns:mc="http://schemas.openxmlformats.org/markup-compatibility/2006">
          <mc:Choice Requires="x14">
            <control shapeId="2085" r:id="rId9" name="Button 37">
              <controlPr defaultSize="0" print="0" autoFill="0" autoPict="0" macro="[0]!RemovePlan">
                <anchor moveWithCells="1" sizeWithCells="1">
                  <from>
                    <xdr:col>54</xdr:col>
                    <xdr:colOff>50800</xdr:colOff>
                    <xdr:row>9</xdr:row>
                    <xdr:rowOff>0</xdr:rowOff>
                  </from>
                  <to>
                    <xdr:col>55</xdr:col>
                    <xdr:colOff>31750</xdr:colOff>
                    <xdr:row>10</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B5353-174E-46F4-B439-FC5398FAAA29}">
  <sheetPr codeName="Sheet3"/>
  <dimension ref="A1:N6"/>
  <sheetViews>
    <sheetView zoomScaleNormal="100" workbookViewId="0">
      <selection activeCell="B6" sqref="B6"/>
    </sheetView>
  </sheetViews>
  <sheetFormatPr defaultColWidth="0" defaultRowHeight="14.5" x14ac:dyDescent="0.35"/>
  <cols>
    <col min="1" max="1" width="28.7265625" style="87" customWidth="1"/>
    <col min="2" max="2" width="28.7265625" style="91" customWidth="1"/>
    <col min="3" max="14" width="9.1796875" customWidth="1"/>
    <col min="15" max="16384" width="9.1796875" hidden="1"/>
  </cols>
  <sheetData>
    <row r="1" spans="1:3" ht="15.5" x14ac:dyDescent="0.35">
      <c r="A1" s="81" t="s">
        <v>222</v>
      </c>
      <c r="B1"/>
      <c r="C1" s="99" t="s">
        <v>217</v>
      </c>
    </row>
    <row r="2" spans="1:3" x14ac:dyDescent="0.35">
      <c r="A2" s="100" t="s">
        <v>227</v>
      </c>
      <c r="B2"/>
      <c r="C2" s="99" t="s">
        <v>218</v>
      </c>
    </row>
    <row r="3" spans="1:3" x14ac:dyDescent="0.35">
      <c r="A3"/>
      <c r="B3"/>
      <c r="C3" s="99" t="s">
        <v>215</v>
      </c>
    </row>
    <row r="4" spans="1:3" x14ac:dyDescent="0.35">
      <c r="A4"/>
      <c r="B4"/>
      <c r="C4" s="99" t="s">
        <v>216</v>
      </c>
    </row>
    <row r="5" spans="1:3" x14ac:dyDescent="0.35">
      <c r="A5" s="79" t="s">
        <v>131</v>
      </c>
      <c r="B5" s="80" t="s">
        <v>132</v>
      </c>
      <c r="C5" s="99"/>
    </row>
    <row r="6" spans="1:3" x14ac:dyDescent="0.35">
      <c r="A6" s="87" t="s">
        <v>323</v>
      </c>
      <c r="B6" s="91">
        <v>1</v>
      </c>
    </row>
  </sheetData>
  <sheetProtection algorithmName="SHA-512" hashValue="RsmWkWlhQz8og9ibfHvtfzBEIqOU/2bdVrat9nxsN2wFftlC8y3fuzfDpCAKPI2vfAQR4dBpyDzeiBHMaUXmdA==" saltValue="7Ae2mgKFEVaQmj+eay5KhA==" spinCount="100000" sheet="1" objects="1" scenarios="1"/>
  <dataValidations count="2">
    <dataValidation type="list" allowBlank="1" showInputMessage="1" showErrorMessage="1" errorTitle="Value not valid:" error="Select a Rating Area value from the list." promptTitle="Required:" prompt="Select a Rating Area from the list." sqref="A6:A1048576" xr:uid="{FF409BF2-E1D0-49DA-9EA0-5A7C09E74272}">
      <formula1>RatingAreas</formula1>
    </dataValidation>
    <dataValidation allowBlank="1" showInputMessage="1" showErrorMessage="1" promptTitle="Required:" prompt="Enter the Rating Factor as a numeric value, up to 16 characters including decimal place." sqref="B6:B1048576" xr:uid="{197AAFDF-5869-4691-ACF7-EE346DE5D2AF}"/>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Validate">
                <anchor moveWithCells="1" sizeWithCells="1">
                  <from>
                    <xdr:col>0</xdr:col>
                    <xdr:colOff>1441450</xdr:colOff>
                    <xdr:row>1</xdr:row>
                    <xdr:rowOff>57150</xdr:rowOff>
                  </from>
                  <to>
                    <xdr:col>1</xdr:col>
                    <xdr:colOff>565150</xdr:colOff>
                    <xdr:row>2</xdr:row>
                    <xdr:rowOff>133350</xdr:rowOff>
                  </to>
                </anchor>
              </controlPr>
            </control>
          </mc:Choice>
        </mc:AlternateContent>
        <mc:AlternateContent xmlns:mc="http://schemas.openxmlformats.org/markup-compatibility/2006">
          <mc:Choice Requires="x14">
            <control shapeId="5122" r:id="rId4" name="Button 2">
              <controlPr defaultSize="0" print="0" autoFill="0" autoPict="0" macro="[0]!ValidateAndFinalize">
                <anchor moveWithCells="1" sizeWithCells="1">
                  <from>
                    <xdr:col>1</xdr:col>
                    <xdr:colOff>609600</xdr:colOff>
                    <xdr:row>1</xdr:row>
                    <xdr:rowOff>57150</xdr:rowOff>
                  </from>
                  <to>
                    <xdr:col>1</xdr:col>
                    <xdr:colOff>1651000</xdr:colOff>
                    <xdr:row>2</xdr:row>
                    <xdr:rowOff>133350</xdr:rowOff>
                  </to>
                </anchor>
              </controlPr>
            </control>
          </mc:Choice>
        </mc:AlternateContent>
        <mc:AlternateContent xmlns:mc="http://schemas.openxmlformats.org/markup-compatibility/2006">
          <mc:Choice Requires="x14">
            <control shapeId="5123" r:id="rId5" name="Button 3">
              <controlPr defaultSize="0" print="0" autoFill="0" autoPict="0" macro="[0]!CreateRatingAreas">
                <anchor moveWithCells="1" sizeWithCells="1">
                  <from>
                    <xdr:col>0</xdr:col>
                    <xdr:colOff>50800</xdr:colOff>
                    <xdr:row>1</xdr:row>
                    <xdr:rowOff>57150</xdr:rowOff>
                  </from>
                  <to>
                    <xdr:col>0</xdr:col>
                    <xdr:colOff>1390650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pageSetUpPr fitToPage="1"/>
  </sheetPr>
  <dimension ref="A1:W105"/>
  <sheetViews>
    <sheetView showGridLines="0" zoomScaleNormal="100" workbookViewId="0"/>
  </sheetViews>
  <sheetFormatPr defaultRowHeight="14.5" x14ac:dyDescent="0.35"/>
  <cols>
    <col min="1" max="1" width="18.1796875" bestFit="1" customWidth="1"/>
    <col min="2" max="2" width="7.54296875" customWidth="1"/>
    <col min="3" max="3" width="43.81640625" customWidth="1"/>
    <col min="4" max="4" width="14.54296875" customWidth="1"/>
    <col min="5" max="5" width="15" customWidth="1"/>
    <col min="6" max="6" width="12.1796875" customWidth="1"/>
    <col min="7" max="7" width="14.81640625" bestFit="1" customWidth="1"/>
    <col min="8" max="8" width="14.26953125" bestFit="1" customWidth="1"/>
    <col min="9" max="9" width="13.54296875" customWidth="1"/>
    <col min="10" max="10" width="12.54296875" customWidth="1"/>
    <col min="11" max="11" width="13.54296875" customWidth="1"/>
    <col min="12" max="12" width="14.26953125" bestFit="1" customWidth="1"/>
    <col min="13" max="13" width="14.26953125" customWidth="1"/>
    <col min="14" max="14" width="13.1796875" customWidth="1"/>
    <col min="15" max="15" width="13.26953125" bestFit="1" customWidth="1"/>
    <col min="16" max="16" width="11.54296875" bestFit="1" customWidth="1"/>
    <col min="17" max="17" width="13.26953125" bestFit="1" customWidth="1"/>
    <col min="18" max="18" width="11.54296875" bestFit="1" customWidth="1"/>
    <col min="19" max="19" width="11.54296875" customWidth="1"/>
    <col min="20" max="20" width="11.54296875" bestFit="1" customWidth="1"/>
    <col min="21" max="22" width="13.26953125" bestFit="1" customWidth="1"/>
    <col min="23" max="23" width="13.81640625" customWidth="1"/>
    <col min="24" max="24" width="15.26953125" customWidth="1"/>
    <col min="25" max="25" width="13.81640625" customWidth="1"/>
  </cols>
  <sheetData>
    <row r="1" spans="2:23" ht="18.5" x14ac:dyDescent="0.45">
      <c r="C1" s="16" t="s">
        <v>13</v>
      </c>
      <c r="D1" s="16"/>
      <c r="E1" s="3"/>
      <c r="F1" s="3"/>
      <c r="G1" s="3"/>
      <c r="H1" s="3"/>
      <c r="I1" s="4"/>
      <c r="J1" s="1"/>
      <c r="K1" s="1"/>
      <c r="L1" s="1"/>
      <c r="M1" s="1"/>
      <c r="N1" s="1"/>
      <c r="O1" s="1"/>
      <c r="P1" s="1"/>
      <c r="Q1" s="1"/>
      <c r="R1" s="1"/>
      <c r="S1" s="1"/>
      <c r="T1" s="1"/>
      <c r="U1" s="1"/>
      <c r="V1" s="1"/>
    </row>
    <row r="2" spans="2:23" ht="18.5" x14ac:dyDescent="0.45">
      <c r="C2" s="3"/>
      <c r="D2" s="3"/>
      <c r="E2" s="3"/>
      <c r="F2" s="3"/>
      <c r="G2" s="3"/>
      <c r="H2" s="3"/>
      <c r="I2" s="4"/>
      <c r="J2" s="1"/>
      <c r="K2" s="1"/>
      <c r="L2" s="1"/>
      <c r="M2" s="1"/>
      <c r="N2" s="1"/>
      <c r="O2" s="1"/>
      <c r="P2" s="1"/>
      <c r="Q2" s="1"/>
      <c r="R2" s="1"/>
      <c r="S2" s="1"/>
      <c r="T2" s="1"/>
      <c r="U2" s="1"/>
      <c r="V2" s="1"/>
    </row>
    <row r="3" spans="2:23" ht="18.5" x14ac:dyDescent="0.45">
      <c r="C3" s="6" t="s">
        <v>5</v>
      </c>
      <c r="D3" s="3" t="str">
        <f>IF('Wksh 1 - Market Experience'!C3&lt;&gt;"", 'Wksh 1 - Market Experience'!C3,"")</f>
        <v>Kaiser Foundation Health Plan of GA</v>
      </c>
      <c r="F3" s="3"/>
      <c r="G3" s="21"/>
      <c r="J3" s="1"/>
      <c r="K3" s="1"/>
      <c r="N3" s="6" t="s">
        <v>7</v>
      </c>
      <c r="O3" s="74" t="str">
        <f>IF('Wksh 1 - Market Experience'!E4="","",'Wksh 1 - Market Experience'!E4)</f>
        <v>GA</v>
      </c>
      <c r="P3" s="1"/>
    </row>
    <row r="4" spans="2:23" ht="18.5" x14ac:dyDescent="0.45">
      <c r="C4" s="7" t="s">
        <v>6</v>
      </c>
      <c r="D4" s="4">
        <f>IF('Wksh 1 - Market Experience'!C4&lt;&gt;"", 'Wksh 1 - Market Experience'!C4,"")</f>
        <v>89942</v>
      </c>
      <c r="F4" s="3"/>
      <c r="G4" s="68"/>
      <c r="J4" s="1"/>
      <c r="K4" s="1"/>
      <c r="N4" s="6" t="s">
        <v>9</v>
      </c>
      <c r="O4" s="74" t="str">
        <f>IF('Wksh 1 - Market Experience'!E5="","",'Wksh 1 - Market Experience'!E5)</f>
        <v>Individual</v>
      </c>
      <c r="P4" s="1"/>
    </row>
    <row r="5" spans="2:23" ht="18.5" x14ac:dyDescent="0.45">
      <c r="C5" s="6" t="s">
        <v>14</v>
      </c>
      <c r="D5" s="83" t="e">
        <f>IF('Wksh 1 - Market Experience'!#REF!&lt;&gt;"", 'Wksh 1 - Market Experience'!#REF!,"")</f>
        <v>#REF!</v>
      </c>
      <c r="F5" s="3"/>
      <c r="G5" s="254"/>
      <c r="H5" s="254"/>
      <c r="I5" s="255"/>
      <c r="J5" s="1"/>
      <c r="K5" s="1"/>
      <c r="L5" s="1"/>
      <c r="M5" s="1"/>
      <c r="N5" s="1"/>
      <c r="O5" s="1"/>
      <c r="P5" s="1"/>
      <c r="Q5" s="1"/>
      <c r="R5" s="1"/>
      <c r="S5" s="1"/>
      <c r="T5" s="1"/>
      <c r="U5" s="1"/>
      <c r="V5" s="1"/>
    </row>
    <row r="6" spans="2:23" x14ac:dyDescent="0.35">
      <c r="C6" s="1"/>
      <c r="D6" s="1"/>
      <c r="E6" s="1"/>
      <c r="F6" s="1"/>
      <c r="G6" s="1"/>
      <c r="H6" s="1"/>
      <c r="I6" s="2"/>
      <c r="J6" s="1"/>
      <c r="K6" s="1"/>
      <c r="L6" s="1"/>
      <c r="M6" s="1"/>
      <c r="N6" s="1"/>
      <c r="O6" s="1"/>
      <c r="P6" s="1"/>
      <c r="Q6" s="1"/>
      <c r="R6" s="1"/>
      <c r="S6" s="1"/>
      <c r="T6" s="1"/>
      <c r="U6" s="1"/>
      <c r="V6" s="1"/>
    </row>
    <row r="7" spans="2:23" x14ac:dyDescent="0.35">
      <c r="C7" s="15" t="s">
        <v>15</v>
      </c>
      <c r="D7" s="23"/>
      <c r="E7" s="8"/>
      <c r="F7" s="8"/>
      <c r="G7" s="8"/>
      <c r="H7" s="8"/>
      <c r="I7" s="9"/>
      <c r="J7" s="8"/>
      <c r="K7" s="8"/>
      <c r="L7" s="8"/>
      <c r="M7" s="8"/>
      <c r="N7" s="8"/>
      <c r="O7" s="8"/>
      <c r="P7" s="8"/>
      <c r="Q7" s="8"/>
      <c r="R7" s="8"/>
      <c r="S7" s="8"/>
      <c r="T7" s="8"/>
      <c r="U7" s="8"/>
      <c r="V7" s="8"/>
      <c r="W7" s="10"/>
    </row>
    <row r="8" spans="2:23" x14ac:dyDescent="0.35">
      <c r="C8" s="11"/>
      <c r="D8" s="12"/>
      <c r="E8" s="12"/>
      <c r="F8" s="12"/>
      <c r="G8" s="12"/>
      <c r="H8" s="12"/>
      <c r="I8" s="13"/>
      <c r="J8" s="12"/>
      <c r="K8" s="12"/>
      <c r="L8" s="12"/>
      <c r="M8" s="12"/>
      <c r="N8" s="12"/>
      <c r="O8" s="12"/>
      <c r="P8" s="12"/>
      <c r="Q8" s="12"/>
      <c r="R8" s="12"/>
      <c r="S8" s="12"/>
      <c r="T8" s="12"/>
      <c r="U8" s="12"/>
      <c r="V8" s="12"/>
      <c r="W8" s="14"/>
    </row>
    <row r="9" spans="2:23" x14ac:dyDescent="0.35">
      <c r="B9" s="75" t="s">
        <v>103</v>
      </c>
      <c r="C9" s="19" t="s">
        <v>77</v>
      </c>
      <c r="D9" s="19"/>
      <c r="E9" s="17"/>
      <c r="F9" s="17"/>
      <c r="G9" s="17"/>
      <c r="H9" s="17"/>
      <c r="I9" s="18"/>
      <c r="J9" s="17"/>
      <c r="K9" s="17"/>
      <c r="L9" s="17"/>
      <c r="M9" s="17"/>
      <c r="N9" s="17"/>
      <c r="O9" s="17"/>
      <c r="P9" s="17"/>
      <c r="Q9" s="17"/>
      <c r="R9" s="17"/>
      <c r="S9" s="17"/>
      <c r="T9" s="17"/>
      <c r="U9" s="17"/>
      <c r="V9" s="17"/>
    </row>
    <row r="10" spans="2:23" x14ac:dyDescent="0.35">
      <c r="B10" s="146" t="s">
        <v>155</v>
      </c>
      <c r="C10" s="147" t="s">
        <v>104</v>
      </c>
      <c r="D10" s="256"/>
      <c r="E10" s="177"/>
      <c r="I10" s="70"/>
      <c r="J10" s="70"/>
      <c r="K10" s="70" t="s">
        <v>321</v>
      </c>
      <c r="L10" s="67" t="s">
        <v>27</v>
      </c>
      <c r="M10" s="70" t="s">
        <v>81</v>
      </c>
      <c r="N10" s="70" t="s">
        <v>139</v>
      </c>
      <c r="O10" s="70" t="s">
        <v>145</v>
      </c>
    </row>
    <row r="11" spans="2:23" x14ac:dyDescent="0.35">
      <c r="B11" s="146" t="s">
        <v>156</v>
      </c>
      <c r="C11" s="147" t="s">
        <v>105</v>
      </c>
      <c r="D11" s="257"/>
      <c r="E11" s="177"/>
      <c r="I11" s="70"/>
      <c r="J11" s="70"/>
      <c r="K11" s="70" t="s">
        <v>322</v>
      </c>
      <c r="L11" s="67" t="s">
        <v>28</v>
      </c>
      <c r="M11" s="70" t="s">
        <v>82</v>
      </c>
      <c r="N11" s="70" t="s">
        <v>140</v>
      </c>
      <c r="O11" s="70" t="s">
        <v>146</v>
      </c>
    </row>
    <row r="12" spans="2:23" x14ac:dyDescent="0.35">
      <c r="B12" s="146" t="s">
        <v>157</v>
      </c>
      <c r="C12" s="147" t="s">
        <v>10</v>
      </c>
      <c r="D12" s="257"/>
      <c r="E12" s="179"/>
      <c r="I12" s="70"/>
      <c r="J12" s="70"/>
      <c r="K12" s="70" t="s">
        <v>323</v>
      </c>
      <c r="L12" s="67" t="s">
        <v>29</v>
      </c>
      <c r="M12" s="70" t="s">
        <v>83</v>
      </c>
      <c r="N12" s="70" t="s">
        <v>141</v>
      </c>
    </row>
    <row r="13" spans="2:23" x14ac:dyDescent="0.35">
      <c r="B13" s="146" t="s">
        <v>158</v>
      </c>
      <c r="C13" s="147" t="s">
        <v>106</v>
      </c>
      <c r="D13" s="257"/>
      <c r="E13" s="180"/>
      <c r="I13" s="70"/>
      <c r="K13" s="70" t="s">
        <v>324</v>
      </c>
      <c r="L13" s="67" t="s">
        <v>30</v>
      </c>
      <c r="N13" s="70" t="s">
        <v>142</v>
      </c>
    </row>
    <row r="14" spans="2:23" x14ac:dyDescent="0.35">
      <c r="B14" s="146" t="s">
        <v>159</v>
      </c>
      <c r="C14" s="147" t="s">
        <v>107</v>
      </c>
      <c r="D14" s="257"/>
      <c r="E14" s="181"/>
      <c r="K14" s="70" t="s">
        <v>325</v>
      </c>
      <c r="L14" s="67" t="s">
        <v>31</v>
      </c>
      <c r="N14" s="70" t="s">
        <v>143</v>
      </c>
    </row>
    <row r="15" spans="2:23" x14ac:dyDescent="0.35">
      <c r="B15" s="146" t="s">
        <v>160</v>
      </c>
      <c r="C15" s="147" t="s">
        <v>26</v>
      </c>
      <c r="D15" s="257"/>
      <c r="E15" s="182"/>
      <c r="K15" s="70" t="s">
        <v>326</v>
      </c>
      <c r="L15" s="67" t="s">
        <v>32</v>
      </c>
      <c r="N15" s="70" t="s">
        <v>144</v>
      </c>
    </row>
    <row r="16" spans="2:23" x14ac:dyDescent="0.35">
      <c r="B16" s="146" t="s">
        <v>161</v>
      </c>
      <c r="C16" s="147" t="s">
        <v>80</v>
      </c>
      <c r="D16" s="257"/>
      <c r="E16" s="179"/>
      <c r="K16" t="s">
        <v>327</v>
      </c>
      <c r="L16" s="67" t="s">
        <v>33</v>
      </c>
    </row>
    <row r="17" spans="1:12" x14ac:dyDescent="0.35">
      <c r="B17" s="146" t="s">
        <v>154</v>
      </c>
      <c r="C17" s="147" t="s">
        <v>108</v>
      </c>
      <c r="D17" s="257"/>
      <c r="E17" s="179"/>
      <c r="K17" t="s">
        <v>328</v>
      </c>
      <c r="L17" s="67" t="s">
        <v>35</v>
      </c>
    </row>
    <row r="18" spans="1:12" x14ac:dyDescent="0.35">
      <c r="B18" s="146" t="s">
        <v>153</v>
      </c>
      <c r="C18" s="147" t="s">
        <v>16</v>
      </c>
      <c r="D18" s="257"/>
      <c r="E18" s="183"/>
      <c r="K18" t="s">
        <v>329</v>
      </c>
      <c r="L18" s="67" t="s">
        <v>34</v>
      </c>
    </row>
    <row r="19" spans="1:12" x14ac:dyDescent="0.35">
      <c r="B19" s="146" t="s">
        <v>149</v>
      </c>
      <c r="C19" s="147" t="s">
        <v>25</v>
      </c>
      <c r="D19" s="257"/>
      <c r="E19" s="184"/>
      <c r="K19" t="s">
        <v>330</v>
      </c>
      <c r="L19" s="67" t="s">
        <v>36</v>
      </c>
    </row>
    <row r="20" spans="1:12" x14ac:dyDescent="0.35">
      <c r="B20" s="146" t="s">
        <v>150</v>
      </c>
      <c r="C20" s="147" t="s">
        <v>109</v>
      </c>
      <c r="D20" s="257"/>
      <c r="E20" s="185"/>
      <c r="K20" t="s">
        <v>331</v>
      </c>
      <c r="L20" s="67" t="s">
        <v>37</v>
      </c>
    </row>
    <row r="21" spans="1:12" x14ac:dyDescent="0.35">
      <c r="B21" s="146" t="s">
        <v>151</v>
      </c>
      <c r="C21" s="147" t="s">
        <v>84</v>
      </c>
      <c r="D21" s="257"/>
      <c r="E21" s="178"/>
      <c r="K21" t="s">
        <v>332</v>
      </c>
      <c r="L21" s="67" t="s">
        <v>38</v>
      </c>
    </row>
    <row r="22" spans="1:12" x14ac:dyDescent="0.35">
      <c r="B22" s="148" t="s">
        <v>152</v>
      </c>
      <c r="C22" s="138" t="s">
        <v>212</v>
      </c>
      <c r="D22" s="258"/>
      <c r="E22" s="178"/>
      <c r="K22" t="s">
        <v>333</v>
      </c>
      <c r="L22" s="67" t="s">
        <v>39</v>
      </c>
    </row>
    <row r="23" spans="1:12" x14ac:dyDescent="0.35">
      <c r="E23" s="73"/>
      <c r="K23" t="s">
        <v>334</v>
      </c>
      <c r="L23" s="67" t="s">
        <v>40</v>
      </c>
    </row>
    <row r="24" spans="1:12" ht="18.5" x14ac:dyDescent="0.45">
      <c r="A24" s="6"/>
      <c r="B24" s="75"/>
      <c r="C24" s="78" t="s">
        <v>110</v>
      </c>
      <c r="D24" s="1"/>
      <c r="E24" s="17"/>
      <c r="K24" t="s">
        <v>335</v>
      </c>
      <c r="L24" s="67" t="s">
        <v>41</v>
      </c>
    </row>
    <row r="25" spans="1:12" ht="18.5" x14ac:dyDescent="0.45">
      <c r="A25" s="6"/>
      <c r="B25" s="146" t="s">
        <v>162</v>
      </c>
      <c r="C25" s="147" t="s">
        <v>106</v>
      </c>
      <c r="D25" s="186" t="s">
        <v>2</v>
      </c>
      <c r="E25" s="90" t="str">
        <f>IF(E13&lt;&gt;"",E13,"")</f>
        <v/>
      </c>
      <c r="K25" t="s">
        <v>336</v>
      </c>
      <c r="L25" s="67" t="s">
        <v>42</v>
      </c>
    </row>
    <row r="26" spans="1:12" ht="18.5" x14ac:dyDescent="0.45">
      <c r="A26" s="6"/>
      <c r="B26" s="146" t="s">
        <v>163</v>
      </c>
      <c r="C26" s="147" t="s">
        <v>86</v>
      </c>
      <c r="D26" s="159">
        <f>SUM(E26:XFD26)</f>
        <v>0</v>
      </c>
      <c r="E26" s="187"/>
      <c r="L26" s="67" t="s">
        <v>43</v>
      </c>
    </row>
    <row r="27" spans="1:12" ht="18.5" x14ac:dyDescent="0.45">
      <c r="A27" s="6"/>
      <c r="B27" s="146" t="s">
        <v>164</v>
      </c>
      <c r="C27" s="152" t="s">
        <v>87</v>
      </c>
      <c r="D27" s="159">
        <f>SUM(E27:XFD27)</f>
        <v>0</v>
      </c>
      <c r="E27" s="187"/>
      <c r="L27" s="67" t="s">
        <v>44</v>
      </c>
    </row>
    <row r="28" spans="1:12" ht="18.5" x14ac:dyDescent="0.45">
      <c r="A28" s="6"/>
      <c r="B28" s="146" t="s">
        <v>165</v>
      </c>
      <c r="C28" s="152" t="s">
        <v>111</v>
      </c>
      <c r="D28" s="160">
        <f>SUM(E28:XFD28)</f>
        <v>0</v>
      </c>
      <c r="E28" s="187"/>
      <c r="L28" s="67" t="s">
        <v>45</v>
      </c>
    </row>
    <row r="29" spans="1:12" ht="18.5" x14ac:dyDescent="0.45">
      <c r="A29" s="6"/>
      <c r="B29" s="146" t="s">
        <v>166</v>
      </c>
      <c r="C29" s="152" t="s">
        <v>112</v>
      </c>
      <c r="D29" s="160">
        <f>SUM(E29:XFD29)</f>
        <v>0</v>
      </c>
      <c r="E29" s="187"/>
      <c r="L29" s="67" t="s">
        <v>46</v>
      </c>
    </row>
    <row r="30" spans="1:12" ht="18.5" x14ac:dyDescent="0.45">
      <c r="A30" s="6"/>
      <c r="B30" s="146" t="s">
        <v>167</v>
      </c>
      <c r="C30" s="152" t="s">
        <v>113</v>
      </c>
      <c r="D30" s="160">
        <f>D26-D27-D28-D29</f>
        <v>0</v>
      </c>
      <c r="E30" s="217">
        <f>E26-E27-E28-E29</f>
        <v>0</v>
      </c>
      <c r="L30" s="67" t="s">
        <v>47</v>
      </c>
    </row>
    <row r="31" spans="1:12" ht="18.5" x14ac:dyDescent="0.45">
      <c r="A31" s="6"/>
      <c r="B31" s="146" t="s">
        <v>168</v>
      </c>
      <c r="C31" s="152" t="s">
        <v>114</v>
      </c>
      <c r="D31" s="160">
        <f>SUM(E31:XFD31)</f>
        <v>0</v>
      </c>
      <c r="E31" s="187"/>
      <c r="L31" s="67" t="s">
        <v>48</v>
      </c>
    </row>
    <row r="32" spans="1:12" ht="18.5" x14ac:dyDescent="0.45">
      <c r="A32" s="6"/>
      <c r="B32" s="146" t="s">
        <v>169</v>
      </c>
      <c r="C32" s="152" t="s">
        <v>115</v>
      </c>
      <c r="D32" s="160">
        <f>SUM(E32:XFD32)</f>
        <v>0</v>
      </c>
      <c r="E32" s="187"/>
      <c r="L32" s="67" t="s">
        <v>49</v>
      </c>
    </row>
    <row r="33" spans="1:12" ht="18.5" x14ac:dyDescent="0.45">
      <c r="A33" s="6"/>
      <c r="B33" s="146" t="s">
        <v>170</v>
      </c>
      <c r="C33" s="152" t="s">
        <v>22</v>
      </c>
      <c r="D33" s="161">
        <f>SUM(E33:XFD33)</f>
        <v>0</v>
      </c>
      <c r="E33" s="218"/>
      <c r="L33" s="67" t="s">
        <v>50</v>
      </c>
    </row>
    <row r="34" spans="1:12" ht="18.5" x14ac:dyDescent="0.45">
      <c r="A34" s="6"/>
      <c r="B34" s="146" t="s">
        <v>171</v>
      </c>
      <c r="C34" s="152" t="s">
        <v>116</v>
      </c>
      <c r="D34" s="161">
        <f>SUM(E34:XFD34)</f>
        <v>0</v>
      </c>
      <c r="E34" s="218"/>
      <c r="L34" s="67" t="s">
        <v>51</v>
      </c>
    </row>
    <row r="35" spans="1:12" ht="18.5" x14ac:dyDescent="0.45">
      <c r="A35" s="6"/>
      <c r="B35" s="146" t="s">
        <v>172</v>
      </c>
      <c r="C35" s="152" t="s">
        <v>117</v>
      </c>
      <c r="D35" s="162" t="e">
        <f>SUMPRODUCT(E35:XFD35,E34:XFD34)/D34</f>
        <v>#DIV/0!</v>
      </c>
      <c r="E35" s="188"/>
      <c r="L35" s="67" t="s">
        <v>52</v>
      </c>
    </row>
    <row r="36" spans="1:12" ht="18.5" x14ac:dyDescent="0.45">
      <c r="A36" s="6"/>
      <c r="B36" s="148" t="s">
        <v>173</v>
      </c>
      <c r="C36" s="170" t="s">
        <v>118</v>
      </c>
      <c r="D36" s="88" t="e">
        <f>D30/(D31+D32)</f>
        <v>#DIV/0!</v>
      </c>
      <c r="E36" s="88" t="e">
        <f>E30/(E31+E32)</f>
        <v>#DIV/0!</v>
      </c>
      <c r="L36" s="67" t="s">
        <v>53</v>
      </c>
    </row>
    <row r="37" spans="1:12" ht="18.5" x14ac:dyDescent="0.45">
      <c r="A37" s="6"/>
      <c r="B37" s="75"/>
      <c r="C37" s="78" t="s">
        <v>120</v>
      </c>
      <c r="D37" s="6"/>
      <c r="L37" s="67" t="s">
        <v>54</v>
      </c>
    </row>
    <row r="38" spans="1:12" ht="18.5" x14ac:dyDescent="0.45">
      <c r="A38" s="6"/>
      <c r="B38" s="146" t="s">
        <v>174</v>
      </c>
      <c r="C38" s="152" t="s">
        <v>86</v>
      </c>
      <c r="D38" s="86" t="e">
        <f>D26/D33</f>
        <v>#DIV/0!</v>
      </c>
      <c r="E38" s="86" t="e">
        <f>E26/E33</f>
        <v>#DIV/0!</v>
      </c>
      <c r="L38" s="67" t="s">
        <v>55</v>
      </c>
    </row>
    <row r="39" spans="1:12" ht="18.5" x14ac:dyDescent="0.45">
      <c r="A39" s="6"/>
      <c r="B39" s="146" t="s">
        <v>175</v>
      </c>
      <c r="C39" s="152" t="s">
        <v>87</v>
      </c>
      <c r="D39" s="86" t="e">
        <f>D27/D33</f>
        <v>#DIV/0!</v>
      </c>
      <c r="E39" s="86" t="e">
        <f>E27/E33</f>
        <v>#DIV/0!</v>
      </c>
      <c r="L39" s="67" t="s">
        <v>56</v>
      </c>
    </row>
    <row r="40" spans="1:12" ht="18.5" x14ac:dyDescent="0.45">
      <c r="A40" s="6"/>
      <c r="B40" s="146" t="s">
        <v>176</v>
      </c>
      <c r="C40" s="152" t="s">
        <v>111</v>
      </c>
      <c r="D40" s="86" t="e">
        <f>D28/D33</f>
        <v>#DIV/0!</v>
      </c>
      <c r="E40" s="86" t="e">
        <f>E28/E33</f>
        <v>#DIV/0!</v>
      </c>
      <c r="L40" s="67" t="s">
        <v>57</v>
      </c>
    </row>
    <row r="41" spans="1:12" ht="18.5" x14ac:dyDescent="0.45">
      <c r="A41" s="6"/>
      <c r="B41" s="146" t="s">
        <v>177</v>
      </c>
      <c r="C41" s="152" t="s">
        <v>112</v>
      </c>
      <c r="D41" s="86" t="e">
        <f>D29/D33</f>
        <v>#DIV/0!</v>
      </c>
      <c r="E41" s="86" t="e">
        <f>E29/E33</f>
        <v>#DIV/0!</v>
      </c>
      <c r="L41" s="67" t="s">
        <v>58</v>
      </c>
    </row>
    <row r="42" spans="1:12" ht="18.5" x14ac:dyDescent="0.45">
      <c r="A42" s="6"/>
      <c r="B42" s="146" t="s">
        <v>178</v>
      </c>
      <c r="C42" s="152" t="s">
        <v>113</v>
      </c>
      <c r="D42" s="86" t="e">
        <f>D30/D33</f>
        <v>#DIV/0!</v>
      </c>
      <c r="E42" s="86" t="e">
        <f>E30/E33</f>
        <v>#DIV/0!</v>
      </c>
      <c r="L42" s="67" t="s">
        <v>59</v>
      </c>
    </row>
    <row r="43" spans="1:12" ht="18.5" x14ac:dyDescent="0.45">
      <c r="A43" s="6"/>
      <c r="B43" s="146" t="s">
        <v>179</v>
      </c>
      <c r="C43" s="152" t="s">
        <v>114</v>
      </c>
      <c r="D43" s="86" t="e">
        <f>D31/D33</f>
        <v>#DIV/0!</v>
      </c>
      <c r="E43" s="86" t="e">
        <f>E31/E33</f>
        <v>#DIV/0!</v>
      </c>
      <c r="G43" s="5"/>
      <c r="L43" s="67" t="s">
        <v>60</v>
      </c>
    </row>
    <row r="44" spans="1:12" ht="18.5" x14ac:dyDescent="0.45">
      <c r="A44" s="6"/>
      <c r="B44" s="148" t="s">
        <v>180</v>
      </c>
      <c r="C44" s="170" t="s">
        <v>115</v>
      </c>
      <c r="D44" s="86" t="e">
        <f>D32/D33</f>
        <v>#DIV/0!</v>
      </c>
      <c r="E44" s="86" t="e">
        <f>E32/E33</f>
        <v>#DIV/0!</v>
      </c>
      <c r="G44" s="5"/>
      <c r="H44" s="5"/>
      <c r="L44" s="67" t="s">
        <v>61</v>
      </c>
    </row>
    <row r="45" spans="1:12" ht="18.5" x14ac:dyDescent="0.45">
      <c r="A45" s="6"/>
      <c r="B45" s="75"/>
      <c r="C45" s="6"/>
      <c r="D45" s="6"/>
      <c r="L45" s="67" t="s">
        <v>62</v>
      </c>
    </row>
    <row r="46" spans="1:12" ht="18.5" x14ac:dyDescent="0.45">
      <c r="A46" s="6"/>
      <c r="C46" s="78" t="s">
        <v>121</v>
      </c>
      <c r="D46" s="6"/>
      <c r="G46" s="5"/>
      <c r="H46" s="20"/>
      <c r="L46" s="67" t="s">
        <v>63</v>
      </c>
    </row>
    <row r="47" spans="1:12" ht="18.5" x14ac:dyDescent="0.45">
      <c r="A47" s="6"/>
      <c r="B47" s="146" t="s">
        <v>181</v>
      </c>
      <c r="C47" s="189" t="s">
        <v>106</v>
      </c>
      <c r="D47" s="259"/>
      <c r="E47" s="191" t="str">
        <f>IF(E13&lt;&gt;"",E13,"")</f>
        <v/>
      </c>
      <c r="L47" s="67" t="s">
        <v>64</v>
      </c>
    </row>
    <row r="48" spans="1:12" ht="18.5" x14ac:dyDescent="0.45">
      <c r="A48" s="6"/>
      <c r="B48" s="146" t="s">
        <v>182</v>
      </c>
      <c r="C48" s="189" t="s">
        <v>122</v>
      </c>
      <c r="D48" s="260"/>
      <c r="E48" s="192">
        <f>'Wksh 1 - Market Experience'!F46</f>
        <v>702.44528922223367</v>
      </c>
      <c r="L48" s="67" t="s">
        <v>65</v>
      </c>
    </row>
    <row r="49" spans="1:12" ht="18.5" x14ac:dyDescent="0.45">
      <c r="A49" s="6"/>
      <c r="B49" s="146" t="s">
        <v>183</v>
      </c>
      <c r="C49" s="189" t="s">
        <v>123</v>
      </c>
      <c r="D49" s="260"/>
      <c r="E49" s="193"/>
      <c r="L49" s="67" t="s">
        <v>66</v>
      </c>
    </row>
    <row r="50" spans="1:12" ht="18.5" x14ac:dyDescent="0.45">
      <c r="A50" s="6"/>
      <c r="B50" s="146" t="s">
        <v>184</v>
      </c>
      <c r="C50" s="189" t="s">
        <v>124</v>
      </c>
      <c r="D50" s="260"/>
      <c r="E50" s="193"/>
      <c r="L50" s="67" t="s">
        <v>67</v>
      </c>
    </row>
    <row r="51" spans="1:12" ht="18.5" x14ac:dyDescent="0.45">
      <c r="A51" s="6"/>
      <c r="B51" s="148" t="s">
        <v>185</v>
      </c>
      <c r="C51" s="190" t="s">
        <v>125</v>
      </c>
      <c r="D51" s="261"/>
      <c r="E51" s="193"/>
      <c r="L51" s="67" t="s">
        <v>68</v>
      </c>
    </row>
    <row r="52" spans="1:12" ht="18.5" x14ac:dyDescent="0.45">
      <c r="A52" s="6"/>
      <c r="C52" s="82" t="s">
        <v>133</v>
      </c>
      <c r="D52" s="6"/>
      <c r="L52" s="67" t="s">
        <v>69</v>
      </c>
    </row>
    <row r="53" spans="1:12" ht="18.5" x14ac:dyDescent="0.45">
      <c r="A53" s="6"/>
      <c r="B53" s="146" t="s">
        <v>186</v>
      </c>
      <c r="C53" s="172" t="s">
        <v>134</v>
      </c>
      <c r="D53" s="259"/>
      <c r="E53" s="196"/>
      <c r="F53" s="5"/>
      <c r="L53" s="67" t="s">
        <v>70</v>
      </c>
    </row>
    <row r="54" spans="1:12" ht="18.5" x14ac:dyDescent="0.45">
      <c r="A54" s="6"/>
      <c r="B54" s="146" t="s">
        <v>187</v>
      </c>
      <c r="C54" s="172" t="s">
        <v>135</v>
      </c>
      <c r="D54" s="260"/>
      <c r="E54" s="196"/>
      <c r="F54" s="5"/>
      <c r="L54" s="67" t="s">
        <v>71</v>
      </c>
    </row>
    <row r="55" spans="1:12" ht="18.5" x14ac:dyDescent="0.45">
      <c r="A55" s="6"/>
      <c r="B55" s="146" t="s">
        <v>188</v>
      </c>
      <c r="C55" s="172" t="s">
        <v>12</v>
      </c>
      <c r="D55" s="260"/>
      <c r="E55" s="196"/>
      <c r="F55" s="5"/>
      <c r="L55" s="67" t="s">
        <v>72</v>
      </c>
    </row>
    <row r="56" spans="1:12" ht="18.5" x14ac:dyDescent="0.45">
      <c r="A56" s="6"/>
      <c r="B56" s="146" t="s">
        <v>189</v>
      </c>
      <c r="C56" s="189" t="s">
        <v>126</v>
      </c>
      <c r="D56" s="260"/>
      <c r="E56" s="193"/>
      <c r="F56" s="5"/>
      <c r="L56" s="67" t="s">
        <v>73</v>
      </c>
    </row>
    <row r="57" spans="1:12" ht="18.5" x14ac:dyDescent="0.45">
      <c r="A57" s="6"/>
      <c r="B57" s="148" t="s">
        <v>190</v>
      </c>
      <c r="C57" s="194" t="s">
        <v>79</v>
      </c>
      <c r="D57" s="261"/>
      <c r="E57" s="195">
        <f>($E$48*PRODUCT(E49:E51)*E56)/(1-SUM(E53:E55))</f>
        <v>0</v>
      </c>
      <c r="F57" s="5"/>
      <c r="L57" s="67" t="s">
        <v>74</v>
      </c>
    </row>
    <row r="58" spans="1:12" ht="17.25" customHeight="1" x14ac:dyDescent="0.45">
      <c r="A58" s="6"/>
      <c r="C58" s="6"/>
      <c r="D58" s="6"/>
      <c r="F58" s="5"/>
      <c r="L58" s="67" t="s">
        <v>75</v>
      </c>
    </row>
    <row r="59" spans="1:12" ht="18.5" x14ac:dyDescent="0.45">
      <c r="A59" s="6"/>
      <c r="B59" s="146" t="s">
        <v>191</v>
      </c>
      <c r="C59" s="189" t="s">
        <v>127</v>
      </c>
      <c r="D59" s="209"/>
      <c r="E59" s="206" t="str">
        <f>IF(D59&lt;&gt;"", D59, "")</f>
        <v/>
      </c>
      <c r="F59" s="5"/>
      <c r="L59" s="67" t="s">
        <v>8</v>
      </c>
    </row>
    <row r="60" spans="1:12" ht="18.5" x14ac:dyDescent="0.45">
      <c r="A60" s="6"/>
      <c r="B60" s="146" t="s">
        <v>192</v>
      </c>
      <c r="C60" s="189" t="s">
        <v>128</v>
      </c>
      <c r="D60" s="209"/>
      <c r="E60" s="206" t="str">
        <f>IF(D60&lt;&gt;"", D60, "")</f>
        <v/>
      </c>
      <c r="F60" s="5"/>
      <c r="L60" s="67" t="s">
        <v>76</v>
      </c>
    </row>
    <row r="61" spans="1:12" ht="18.5" x14ac:dyDescent="0.45">
      <c r="A61" s="6"/>
      <c r="B61" s="146" t="s">
        <v>193</v>
      </c>
      <c r="C61" s="189" t="s">
        <v>129</v>
      </c>
      <c r="D61" s="209"/>
      <c r="E61" s="206" t="str">
        <f>IF(D61&lt;&gt;"", D61, "")</f>
        <v/>
      </c>
      <c r="F61" s="5"/>
      <c r="L61" s="31"/>
    </row>
    <row r="62" spans="1:12" x14ac:dyDescent="0.35">
      <c r="B62" s="148" t="s">
        <v>194</v>
      </c>
      <c r="C62" s="194" t="s">
        <v>136</v>
      </c>
      <c r="D62" s="197"/>
      <c r="E62" s="195">
        <f>E57*(PRODUCT($E$59:$E$61))</f>
        <v>0</v>
      </c>
      <c r="F62" s="5"/>
      <c r="L62" s="31"/>
    </row>
    <row r="63" spans="1:12" ht="18.5" x14ac:dyDescent="0.45">
      <c r="B63" s="75"/>
      <c r="C63" s="6"/>
      <c r="D63" s="6"/>
      <c r="F63" s="5"/>
      <c r="L63" s="31"/>
    </row>
    <row r="64" spans="1:12" ht="18.5" x14ac:dyDescent="0.45">
      <c r="C64" s="30" t="s">
        <v>130</v>
      </c>
      <c r="D64" s="6"/>
      <c r="F64" s="5"/>
      <c r="L64" s="31"/>
    </row>
    <row r="65" spans="2:12" x14ac:dyDescent="0.35">
      <c r="B65" s="146" t="s">
        <v>195</v>
      </c>
      <c r="C65" s="152" t="s">
        <v>106</v>
      </c>
      <c r="D65" s="174" t="s">
        <v>2</v>
      </c>
      <c r="E65" s="90" t="str">
        <f>IF(E13&lt;&gt;"",E13,"")</f>
        <v/>
      </c>
      <c r="F65" s="5"/>
      <c r="L65" s="31"/>
    </row>
    <row r="66" spans="2:12" x14ac:dyDescent="0.35">
      <c r="B66" s="146" t="s">
        <v>196</v>
      </c>
      <c r="C66" s="152" t="s">
        <v>86</v>
      </c>
      <c r="D66" s="198">
        <f>SUM(E66:XFD66)</f>
        <v>0</v>
      </c>
      <c r="E66" s="187"/>
      <c r="F66" s="5"/>
    </row>
    <row r="67" spans="2:12" x14ac:dyDescent="0.35">
      <c r="B67" s="146" t="s">
        <v>197</v>
      </c>
      <c r="C67" s="152" t="s">
        <v>87</v>
      </c>
      <c r="D67" s="198">
        <f>SUM(E67:XFD67)</f>
        <v>0</v>
      </c>
      <c r="E67" s="187"/>
      <c r="F67" s="5"/>
    </row>
    <row r="68" spans="2:12" x14ac:dyDescent="0.35">
      <c r="B68" s="146" t="s">
        <v>198</v>
      </c>
      <c r="C68" s="152" t="s">
        <v>111</v>
      </c>
      <c r="D68" s="198">
        <f>SUM(E68:XFD68)</f>
        <v>0</v>
      </c>
      <c r="E68" s="187"/>
      <c r="F68" s="5"/>
    </row>
    <row r="69" spans="2:12" x14ac:dyDescent="0.35">
      <c r="B69" s="146" t="s">
        <v>199</v>
      </c>
      <c r="C69" s="152" t="s">
        <v>112</v>
      </c>
      <c r="D69" s="198">
        <f>SUM(E69:XFD69)</f>
        <v>0</v>
      </c>
      <c r="E69" s="187"/>
      <c r="F69" s="5"/>
    </row>
    <row r="70" spans="2:12" x14ac:dyDescent="0.35">
      <c r="B70" s="146" t="s">
        <v>200</v>
      </c>
      <c r="C70" s="152" t="s">
        <v>113</v>
      </c>
      <c r="D70" s="198">
        <f>D66-D67-D68-D69</f>
        <v>0</v>
      </c>
      <c r="E70" s="159">
        <f>E66-E67-E68-E69</f>
        <v>0</v>
      </c>
      <c r="F70" s="5"/>
    </row>
    <row r="71" spans="2:12" x14ac:dyDescent="0.35">
      <c r="B71" s="146" t="s">
        <v>201</v>
      </c>
      <c r="C71" s="152" t="s">
        <v>114</v>
      </c>
      <c r="D71" s="198">
        <f>SUM(E71:XFD71)</f>
        <v>0</v>
      </c>
      <c r="E71" s="187"/>
      <c r="F71" s="5"/>
    </row>
    <row r="72" spans="2:12" x14ac:dyDescent="0.35">
      <c r="B72" s="146" t="s">
        <v>202</v>
      </c>
      <c r="C72" s="152" t="s">
        <v>115</v>
      </c>
      <c r="D72" s="198">
        <f>SUM(E72:XFD72)</f>
        <v>0</v>
      </c>
      <c r="E72" s="187"/>
      <c r="F72" s="5"/>
    </row>
    <row r="73" spans="2:12" x14ac:dyDescent="0.35">
      <c r="B73" s="146" t="s">
        <v>203</v>
      </c>
      <c r="C73" s="152" t="s">
        <v>4</v>
      </c>
      <c r="D73" s="199">
        <f>SUM(E73:XFD73)</f>
        <v>0</v>
      </c>
      <c r="E73" s="218"/>
      <c r="F73" s="5"/>
    </row>
    <row r="74" spans="2:12" x14ac:dyDescent="0.35">
      <c r="B74" s="148" t="s">
        <v>204</v>
      </c>
      <c r="C74" s="170" t="s">
        <v>118</v>
      </c>
      <c r="D74" s="175" t="e">
        <f>D70/(D71+D72)</f>
        <v>#DIV/0!</v>
      </c>
      <c r="E74" s="89" t="e">
        <f>E70/(E71+E72)</f>
        <v>#DIV/0!</v>
      </c>
      <c r="F74" s="5"/>
    </row>
    <row r="75" spans="2:12" ht="18.5" x14ac:dyDescent="0.45">
      <c r="C75" s="78" t="s">
        <v>120</v>
      </c>
      <c r="D75" s="6"/>
      <c r="F75" s="5"/>
    </row>
    <row r="76" spans="2:12" x14ac:dyDescent="0.35">
      <c r="B76" s="146" t="s">
        <v>205</v>
      </c>
      <c r="C76" s="152" t="s">
        <v>86</v>
      </c>
      <c r="D76" s="107" t="e">
        <f>D66/D73</f>
        <v>#DIV/0!</v>
      </c>
      <c r="E76" s="107" t="e">
        <f>E66/E73</f>
        <v>#DIV/0!</v>
      </c>
      <c r="F76" s="5"/>
    </row>
    <row r="77" spans="2:12" x14ac:dyDescent="0.35">
      <c r="B77" s="146" t="s">
        <v>206</v>
      </c>
      <c r="C77" s="152" t="s">
        <v>87</v>
      </c>
      <c r="D77" s="86" t="e">
        <f>D67/D73</f>
        <v>#DIV/0!</v>
      </c>
      <c r="E77" s="86" t="e">
        <f>E67/E73</f>
        <v>#DIV/0!</v>
      </c>
      <c r="F77" s="5"/>
    </row>
    <row r="78" spans="2:12" x14ac:dyDescent="0.35">
      <c r="B78" s="146" t="s">
        <v>207</v>
      </c>
      <c r="C78" s="152" t="s">
        <v>111</v>
      </c>
      <c r="D78" s="107" t="e">
        <f>D68/D73</f>
        <v>#DIV/0!</v>
      </c>
      <c r="E78" s="107" t="e">
        <f>E68/E73</f>
        <v>#DIV/0!</v>
      </c>
      <c r="F78" s="5"/>
    </row>
    <row r="79" spans="2:12" x14ac:dyDescent="0.35">
      <c r="B79" s="146" t="s">
        <v>208</v>
      </c>
      <c r="C79" s="152" t="s">
        <v>112</v>
      </c>
      <c r="D79" s="107" t="e">
        <f>D69/D73</f>
        <v>#DIV/0!</v>
      </c>
      <c r="E79" s="107" t="e">
        <f>E69/E73</f>
        <v>#DIV/0!</v>
      </c>
      <c r="F79" s="5"/>
    </row>
    <row r="80" spans="2:12" x14ac:dyDescent="0.35">
      <c r="B80" s="146" t="s">
        <v>209</v>
      </c>
      <c r="C80" s="147" t="s">
        <v>113</v>
      </c>
      <c r="D80" s="107" t="e">
        <f>D70/D73</f>
        <v>#DIV/0!</v>
      </c>
      <c r="E80" s="107" t="e">
        <f>E70/E73</f>
        <v>#DIV/0!</v>
      </c>
      <c r="F80" s="5"/>
    </row>
    <row r="81" spans="2:6" x14ac:dyDescent="0.35">
      <c r="B81" s="146" t="s">
        <v>210</v>
      </c>
      <c r="C81" s="147" t="s">
        <v>114</v>
      </c>
      <c r="D81" s="107" t="e">
        <f>D71/D73</f>
        <v>#DIV/0!</v>
      </c>
      <c r="E81" s="107" t="e">
        <f>E71/E73</f>
        <v>#DIV/0!</v>
      </c>
      <c r="F81" s="5"/>
    </row>
    <row r="82" spans="2:6" x14ac:dyDescent="0.35">
      <c r="B82" s="148" t="s">
        <v>211</v>
      </c>
      <c r="C82" s="138" t="s">
        <v>115</v>
      </c>
      <c r="D82" s="107" t="e">
        <f>D72/D73</f>
        <v>#DIV/0!</v>
      </c>
      <c r="E82" s="107" t="e">
        <f>E72/E73</f>
        <v>#DIV/0!</v>
      </c>
      <c r="F82" s="5"/>
    </row>
    <row r="83" spans="2:6" x14ac:dyDescent="0.35">
      <c r="F83" s="5"/>
    </row>
    <row r="84" spans="2:6" x14ac:dyDescent="0.35">
      <c r="F84" s="5"/>
    </row>
    <row r="85" spans="2:6" ht="14.5" customHeight="1" x14ac:dyDescent="0.35">
      <c r="F85" s="5"/>
    </row>
    <row r="86" spans="2:6" ht="30.75" customHeight="1" x14ac:dyDescent="0.35">
      <c r="F86" s="5"/>
    </row>
    <row r="87" spans="2:6" x14ac:dyDescent="0.35">
      <c r="F87" s="5"/>
    </row>
    <row r="88" spans="2:6" x14ac:dyDescent="0.35">
      <c r="F88" s="5"/>
    </row>
    <row r="89" spans="2:6" x14ac:dyDescent="0.35">
      <c r="F89" s="5"/>
    </row>
    <row r="90" spans="2:6" x14ac:dyDescent="0.35">
      <c r="F90" s="5"/>
    </row>
    <row r="91" spans="2:6" ht="30.75" customHeight="1" x14ac:dyDescent="0.35">
      <c r="F91" s="5"/>
    </row>
    <row r="92" spans="2:6" ht="17.25" customHeight="1" x14ac:dyDescent="0.35">
      <c r="F92" s="5"/>
    </row>
    <row r="93" spans="2:6" ht="17.25" customHeight="1" x14ac:dyDescent="0.35">
      <c r="F93" s="5"/>
    </row>
    <row r="94" spans="2:6" ht="17.25" customHeight="1" x14ac:dyDescent="0.35">
      <c r="F94" s="5"/>
    </row>
    <row r="95" spans="2:6" ht="17.25" customHeight="1" x14ac:dyDescent="0.35">
      <c r="F95" s="5"/>
    </row>
    <row r="96" spans="2:6" x14ac:dyDescent="0.35">
      <c r="F96" s="5"/>
    </row>
    <row r="97" spans="6:15" x14ac:dyDescent="0.35">
      <c r="F97" s="5"/>
      <c r="H97" s="22"/>
      <c r="I97" s="22"/>
      <c r="J97" s="24"/>
    </row>
    <row r="98" spans="6:15" x14ac:dyDescent="0.35">
      <c r="F98" s="5"/>
      <c r="J98" s="24"/>
    </row>
    <row r="99" spans="6:15" x14ac:dyDescent="0.35">
      <c r="F99" s="5"/>
      <c r="G99" s="22"/>
      <c r="J99" s="24"/>
    </row>
    <row r="100" spans="6:15" x14ac:dyDescent="0.35">
      <c r="F100" s="22"/>
    </row>
    <row r="101" spans="6:15" x14ac:dyDescent="0.35">
      <c r="H101" s="20"/>
      <c r="O101" s="24"/>
    </row>
    <row r="102" spans="6:15" x14ac:dyDescent="0.35">
      <c r="H102" s="20"/>
      <c r="O102" s="24"/>
    </row>
    <row r="103" spans="6:15" x14ac:dyDescent="0.35">
      <c r="G103" s="5"/>
      <c r="O103" s="24"/>
    </row>
    <row r="104" spans="6:15" x14ac:dyDescent="0.35">
      <c r="G104" s="5"/>
      <c r="H104" s="22"/>
    </row>
    <row r="105" spans="6:15" x14ac:dyDescent="0.35">
      <c r="H105" s="24"/>
      <c r="I105" s="24"/>
    </row>
  </sheetData>
  <sheetProtection algorithmName="SHA-512" hashValue="Ag5XizzoCYqJI6qrd37gbyGi6sgqGSm7ap+rEnK3o0SKVEIHVnobEVqeJegcnlX0BQUmN2s2nSg7q+hpwW0H+Q==" saltValue="5+kgpV8Xd0AGTAkjtazDCA==" spinCount="100000" sheet="1" objects="1"/>
  <mergeCells count="4">
    <mergeCell ref="G5:I5"/>
    <mergeCell ref="D10:D22"/>
    <mergeCell ref="D47:D51"/>
    <mergeCell ref="D53:D57"/>
  </mergeCells>
  <dataValidations xWindow="631" yWindow="471" count="38">
    <dataValidation type="list" allowBlank="1" showInputMessage="1" showErrorMessage="1" errorTitle="Value not valid:" error="Select a value from the list." promptTitle="Required:" prompt="Select the Plan Type for the designated plan." sqref="E17" xr:uid="{00000000-0002-0000-0200-000001000000}">
      <formula1>"HMO, PPO, Indemnity, EPO, POS"</formula1>
    </dataValidation>
    <dataValidation type="textLength" allowBlank="1" showInputMessage="1" showErrorMessage="1" errorTitle="Value not valid:" error="Enter text up to 100 characters." promptTitle="Required:" prompt="The name for the product. A product is a discrete package of health insurance coverage benefits, offered using a particular product type (HMO, PPO, etc.), that an issuer offers in a state. (Enter text up to 100 characters.)" sqref="E10" xr:uid="{00000000-0002-0000-0200-000004000000}">
      <formula1>0</formula1>
      <formula2>100</formula2>
    </dataValidation>
    <dataValidation type="textLength" allowBlank="1" showInputMessage="1" showErrorMessage="1" errorTitle="Value not valid:" error="Please enter a 10 digit string (5-digit Issuer ID + 2 letter State Abbr + 3-digits)" promptTitle="Required:" prompt="Enter a valid Product ID. Please enter a 10 digit string (5-digit Issuer ID + 2 letter State Abbr + 3-digits)." sqref="E11" xr:uid="{00000000-0002-0000-0200-000005000000}">
      <formula1>10</formula1>
      <formula2>10</formula2>
    </dataValidation>
    <dataValidation type="list" operator="greaterThan" allowBlank="1" showInputMessage="1" showErrorMessage="1" errorTitle="Value not valid:" error="Select a value from the list." promptTitle="Required:" prompt="Select the Metal for the designated plan." sqref="E14" xr:uid="{00000000-0002-0000-0200-000007000000}">
      <formula1>MetalLevels</formula1>
    </dataValidation>
    <dataValidation type="textLength" allowBlank="1" showInputMessage="1" showErrorMessage="1" errorTitle="Value not valid:" error="Enter text up to 100 characters." promptTitle="Required:" prompt="Enter the Plan Name used when referring to the specific set of benefits and cost sharing values. Please enter text up to 100 characters." sqref="E12" xr:uid="{00000000-0002-0000-0200-000008000000}">
      <formula1>1</formula1>
      <formula2>100</formula2>
    </dataValidation>
    <dataValidation type="textLength" operator="equal" allowBlank="1" showInputMessage="1" showErrorMessage="1" errorTitle="Value not valid:" error="Please enter a 14 digit string (5-digit Issuer ID + 2-letter State Abbr + 7 digits)" promptTitle="Required:" prompt="Enter a unique Plan ID for this plan. Please enter a 14 digit string (5-digit Issuer ID + 2-letter State Abbr + 7 digits)." sqref="E13" xr:uid="{00000000-0002-0000-0200-000009000000}">
      <formula1>14</formula1>
    </dataValidation>
    <dataValidation type="list" operator="greaterThan" allowBlank="1" showInputMessage="1" showErrorMessage="1" errorTitle="Value not valid:" error="Select a value from the list." promptTitle="Required:" prompt="Select the Plan Category for the designated plan." sqref="E16" xr:uid="{00000000-0002-0000-0200-00002B000000}">
      <formula1>CategoryList</formula1>
    </dataValidation>
    <dataValidation allowBlank="1" showInputMessage="1" showErrorMessage="1" promptTitle="Required:" prompt="Enter the AV Metal Value for the designated plan as a numeric value between 0 and 1, with up to 16 characters including decimal place." sqref="E15" xr:uid="{ED3B8E71-79C2-45D6-9602-B5D0D5161AE0}"/>
    <dataValidation type="list" allowBlank="1" showInputMessage="1" showErrorMessage="1" errorTitle="Value not valid:" error="Select a value from the list." promptTitle="Required:" prompt="Select Yes or No to indicate whether the plan will be offered via the State-Based or Federally Facilitated Exchange or SHOP, regardless of whether it will also be offered in the outside market." sqref="E18" xr:uid="{F7C26A5A-8613-4C66-9FA4-FD7D938A78CB}">
      <formula1>YesNo</formula1>
    </dataValidation>
    <dataValidation type="date" operator="greaterThan" allowBlank="1" showInputMessage="1" showErrorMessage="1" errorTitle="Value not valid:" error="Effective Date of Proposed Rates is a required field." promptTitle="Required:" prompt="Enter the effective date of the proposed rate change being submitted in a MM/DD/YYYY format." sqref="E19" xr:uid="{BD9B67B7-43C5-4472-8052-E370DFB08BFB}">
      <formula1>40179</formula1>
    </dataValidation>
    <dataValidation allowBlank="1" showInputMessage="1" showErrorMessage="1" promptTitle="Required:" prompt="Enter the average change in premium rates over the twelve month period prior to the effective date for the plan as a percentage with up to 16 characters including decimal place." sqref="E20" xr:uid="{BCBC0186-F12D-45BE-931A-4E83FB8B7BE3}"/>
    <dataValidation allowBlank="1" showInputMessage="1" showErrorMessage="1" promptTitle="Required:" prompt="Enter the total allowed claims for the benefit plan with service dates within the experience period as a dollar value with up to 16 characters including decimal place." sqref="E26" xr:uid="{2D1EA29A-72CB-467D-996D-AF5B3272933A}"/>
    <dataValidation allowBlank="1" showInputMessage="1" showErrorMessage="1" promptTitle="Required:" prompt="Enter Reinsurance for the benefit plan with service dates within the experience period as a dollar value with up to 16 characters including decimal place." sqref="E27" xr:uid="{8B404D7D-7AAA-48CA-8A24-8DFA3F0613D4}"/>
    <dataValidation allowBlank="1" showInputMessage="1" showErrorMessage="1" promptTitle="Required:" prompt="Enter the Member Cost Sharing for the benefit plan with service dates within the experience period as a dollar value with up to 16 characters including decimal place." sqref="E28" xr:uid="{92486D9C-BDA9-4069-AE8C-7E035BC06622}"/>
    <dataValidation allowBlank="1" showInputMessage="1" showErrorMessage="1" promptTitle="Required:" prompt="Enter the Cost Sharing Reduction for the benefit plan with service dates within the experience period as a dollar value with up to 16 characters including decimal place." sqref="E29" xr:uid="{1CE80C8D-C3E5-497D-965F-6DCB1894B0A5}"/>
    <dataValidation type="custom" allowBlank="1" showInputMessage="1" showErrorMessage="1" errorTitle="Value not valid:" error="Enter a positive or negative dollar amount." promptTitle="Required:" prompt="Enter the Incurred Claims for the benefit plan with service dates within the experience period as a dollar value." sqref="E30" xr:uid="{141D21F2-E53D-4CFB-A5EF-777C50BD3A39}">
      <formula1>AND(ISNUMBER(E30),IF(ISNUMBER(SEARCH(".", E30)),LEN(E30)-SEARCH(".", E30)&lt;3,1))</formula1>
    </dataValidation>
    <dataValidation allowBlank="1" showInputMessage="1" showErrorMessage="1" promptTitle="Required:" prompt="Enter the Risk Adjustment Transfer Amount for the benefit plan with service dates within the experience period as a dollar value with up to 16 characters including decimal place." sqref="E31" xr:uid="{3A49B8D8-CDBB-460E-9D2E-4187F39A396A}"/>
    <dataValidation allowBlank="1" showInputMessage="1" showErrorMessage="1" promptTitle="Required:" prompt="Enter the Premium for each plan during the experience period as a dollar amount greater than or equal to 0, with up to 16 characters including decimal place." sqref="E32" xr:uid="{FFFDD4F0-AECE-4F47-9997-3C754F7DF236}"/>
    <dataValidation type="whole" operator="greaterThanOrEqual" allowBlank="1" showInputMessage="1" showErrorMessage="1" errorTitle="Value not valid:" error="Enter a whole number value greater than or equal to 0." promptTitle="Required:" prompt="Enter the member months during the experience period, as a whole number value greater than or equal to 0." sqref="E33" xr:uid="{2EA96699-A3AC-4194-B394-3850BEC09546}">
      <formula1>0</formula1>
    </dataValidation>
    <dataValidation type="whole" operator="greaterThanOrEqual" allowBlank="1" showInputMessage="1" showErrorMessage="1" errorTitle="Value not valid:" error="Enter a whole number value greater than or equal to 0." promptTitle="Required:" prompt="Enter the Current Enrollment as a whole number value greater than or equal to 0." sqref="E34" xr:uid="{94CDB378-C33B-4398-A8F3-45F033D6FD06}">
      <formula1>0</formula1>
    </dataValidation>
    <dataValidation allowBlank="1" showInputMessage="1" showErrorMessage="1" promptTitle="Required:" prompt="Enter the Current Premium PMPM as a dollar amount greater than or equal to 0, with up to 16 characters including decimal place." sqref="E35" xr:uid="{8CE05A67-FF35-43E5-9777-ED28F6F4D009}"/>
    <dataValidation allowBlank="1" showInputMessage="1" showErrorMessage="1" promptTitle="Required:" prompt="Enter the AV Cost Sharing Design of Plan as a numeric value up to 16 characters including decimal place." sqref="E49" xr:uid="{D9BBA706-8B2D-42AE-92ED-814FD92F0F83}"/>
    <dataValidation allowBlank="1" showInputMessage="1" showErrorMessage="1" promptTitle="Required:" prompt="Enter the Provider Network Adjustment as a numeric value up to 16 characters including decimal place." sqref="E50" xr:uid="{B5F54C0C-C7B0-453C-8ED5-5F36CCB15624}"/>
    <dataValidation allowBlank="1" showInputMessage="1" showErrorMessage="1" promptTitle="Required:" prompt="Enter the Benefits in Addition to EHB as a numeric value up to 16 characters including decimal place." sqref="E51" xr:uid="{0B59D4D1-A614-4421-89EC-6285F6604BAB}"/>
    <dataValidation allowBlank="1" showInputMessage="1" showErrorMessage="1" promptTitle="Required:" prompt="Enter the Administrative Expense as a percentage up to 16 characters including decimal place." sqref="E53" xr:uid="{C9AA5767-9766-4DDB-948B-ED6C6625015A}"/>
    <dataValidation allowBlank="1" showInputMessage="1" showErrorMessage="1" promptTitle="Required:" prompt="Enter the Taxes and Fees as a percentage up to 16 characters including decimal place." sqref="E54" xr:uid="{FC5F4294-0CA1-422C-8B85-DDC04CC174F3}"/>
    <dataValidation allowBlank="1" showInputMessage="1" showErrorMessage="1" promptTitle="Required:" prompt="Enter the Profit and Risk Load as a percentage up to 16 characters including decimal place." sqref="E55" xr:uid="{DB5B5D4F-5FE4-4D70-AF8D-86608813CBA1}"/>
    <dataValidation allowBlank="1" showInputMessage="1" showErrorMessage="1" promptTitle="Required:" prompt="Enter the Catastrophic Adjustment for each plan as a numeric value greater than or equal to 0 with up to 16 characters including decimal place." sqref="E56" xr:uid="{0C75949C-9418-4C54-BDC8-43A950E128A7}"/>
    <dataValidation allowBlank="1" showInputMessage="1" showErrorMessage="1" promptTitle="Required:" prompt="Enter the total allowed claims for the benefit plan for the projection period as a dollar value with up to 16 characters including decimal place." sqref="E66" xr:uid="{BA8BD11A-D1C3-47E9-AEF7-BC41D23F2340}"/>
    <dataValidation allowBlank="1" showInputMessage="1" showErrorMessage="1" promptTitle="Required:" prompt="Enter the Reinsurance for the benefit plan for the projection period as a dollar value with up to 16 characters including decimal place." sqref="E67" xr:uid="{7A5047CE-BC31-46A3-8CBC-014A1A8E46F9}"/>
    <dataValidation allowBlank="1" showInputMessage="1" showErrorMessage="1" promptTitle="Required:" prompt="Enter the Member Cost Sharing for the benefit plan for the projection period as a dollar value with up to 16 characters including decimal place." sqref="E68" xr:uid="{6FB3589E-3AE0-449C-8807-921852D9D3B1}"/>
    <dataValidation allowBlank="1" showInputMessage="1" showErrorMessage="1" promptTitle="Required:" prompt="Enter the Cost Sharing Reduction for the benefit plan for the projection period as a dollar value with up to 16 characters including decimal place." sqref="E69" xr:uid="{55A16873-4F87-4BC4-B465-DF619445BF50}"/>
    <dataValidation allowBlank="1" showInputMessage="1" showErrorMessage="1" promptTitle="Required:" prompt="Enter the Risk Adjustment Transfer Amount for the benefit plan for the projection period as a dollar value with up to 16 characters including decimal place." sqref="E71" xr:uid="{7912BA5D-63F0-4AA7-844E-ABA587989CF1}"/>
    <dataValidation allowBlank="1" showInputMessage="1" showErrorMessage="1" promptTitle="Required:" prompt="Enter the Premium for each plan for the projection period as a dollar amount greater than or equal to 0, with up to 16 characters including decimal place." sqref="E72" xr:uid="{2160D279-74BA-475E-8C0C-2047BFC21F47}"/>
    <dataValidation type="whole" operator="greaterThanOrEqual" allowBlank="1" showInputMessage="1" showErrorMessage="1" errorTitle="Value not valid:" error="Enter a whole number value greater than or equal to 0." promptTitle="Required:" prompt="Enter the member months for the projection period as a whole number value greater than or equal to 0." sqref="E73" xr:uid="{561BAE56-6199-40B6-B64D-C7D63F49BD29}">
      <formula1>0</formula1>
    </dataValidation>
    <dataValidation allowBlank="1" showInputMessage="1" showErrorMessage="1" promptTitle="Required:" prompt="Enter the Age Calibration Factor as a numeric value greater than or equal to 0 with up to 16 characters including decimal place." sqref="D59" xr:uid="{2ECF1772-1B63-47EA-A182-5F430073ED5F}"/>
    <dataValidation allowBlank="1" showInputMessage="1" showErrorMessage="1" promptTitle="Required:" prompt="Enter the Geographic Calibration Factor as a numeric value greater than or equal to 0 with up to 16 characters including decimal place." sqref="D60" xr:uid="{2E492F11-E6C1-4C97-A9C2-71E6BA0EDA43}"/>
    <dataValidation allowBlank="1" showInputMessage="1" showErrorMessage="1" promptTitle="Required:" prompt="Enter the Tobacco Calibration Factor as a numeric value greater than or equal to 0 with up to 16 characters including decimal place." sqref="D61" xr:uid="{0396B130-CCAB-4C12-83B0-C713809BF66A}"/>
  </dataValidations>
  <pageMargins left="0.7" right="0.7" top="0.75" bottom="0.75" header="0.3" footer="0.3"/>
  <pageSetup scale="36" fitToHeight="2"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e616c46-e0d1-41bc-b79c-3bf75d8f213d" xsi:nil="true"/>
    <lcf76f155ced4ddcb4097134ff3c332f xmlns="9843cd8e-b180-420a-af90-bd892b9b7a1b">
      <Terms xmlns="http://schemas.microsoft.com/office/infopath/2007/PartnerControls"/>
    </lcf76f155ced4ddcb4097134ff3c332f>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LongProperties xmlns="http://schemas.microsoft.com/office/2006/metadata/longProperties"/>
</file>

<file path=customXml/item4.xml><?xml version="1.0" encoding="utf-8"?>
<ct:contentTypeSchema xmlns:ct="http://schemas.microsoft.com/office/2006/metadata/contentType" xmlns:ma="http://schemas.microsoft.com/office/2006/metadata/properties/metaAttributes" ct:_="" ma:_="" ma:contentTypeName="Document" ma:contentTypeID="0x0101004926A49D6F49B447A0AD8643F26CDC10" ma:contentTypeVersion="14" ma:contentTypeDescription="Create a new document." ma:contentTypeScope="" ma:versionID="6a3aa85f312e47e514348805f98d0cd9">
  <xsd:schema xmlns:xsd="http://www.w3.org/2001/XMLSchema" xmlns:xs="http://www.w3.org/2001/XMLSchema" xmlns:p="http://schemas.microsoft.com/office/2006/metadata/properties" xmlns:ns2="17589c13-57ef-4de4-a691-d1d236f8d5fe" xmlns:ns3="9843cd8e-b180-420a-af90-bd892b9b7a1b" xmlns:ns4="be616c46-e0d1-41bc-b79c-3bf75d8f213d" targetNamespace="http://schemas.microsoft.com/office/2006/metadata/properties" ma:root="true" ma:fieldsID="b414e923fa279b771d39f2abf309a6fa" ns2:_="" ns3:_="" ns4:_="">
    <xsd:import namespace="17589c13-57ef-4de4-a691-d1d236f8d5fe"/>
    <xsd:import namespace="9843cd8e-b180-420a-af90-bd892b9b7a1b"/>
    <xsd:import namespace="be616c46-e0d1-41bc-b79c-3bf75d8f213d"/>
    <xsd:element name="properties">
      <xsd:complexType>
        <xsd:sequence>
          <xsd:element name="documentManagement">
            <xsd:complexType>
              <xsd:all>
                <xsd:element ref="ns2:SharedWithUsers" minOccurs="0"/>
                <xsd:element ref="ns2:SharedWithDetails" minOccurs="0"/>
                <xsd:element ref="ns3:MediaServiceMetadata" minOccurs="0"/>
                <xsd:element ref="ns3:MediaServiceFastMetadata" minOccurs="0"/>
                <xsd:element ref="ns3:MediaServiceAutoTags" minOccurs="0"/>
                <xsd:element ref="ns3:MediaServiceGenerationTime" minOccurs="0"/>
                <xsd:element ref="ns3:MediaServiceEventHashCode" minOccurs="0"/>
                <xsd:element ref="ns3:MediaServiceOCR" minOccurs="0"/>
                <xsd:element ref="ns3:MediaServiceDateTaken" minOccurs="0"/>
                <xsd:element ref="ns3:MediaLengthInSeconds" minOccurs="0"/>
                <xsd:element ref="ns3:MediaServiceLocation" minOccurs="0"/>
                <xsd:element ref="ns3: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7589c13-57ef-4de4-a691-d1d236f8d5fe" elementFormDefault="qualified">
    <xsd:import namespace="http://schemas.microsoft.com/office/2006/documentManagement/types"/>
    <xsd:import namespace="http://schemas.microsoft.com/office/infopath/2007/PartnerControls"/>
    <xsd:element name="SharedWithUsers" ma:index="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843cd8e-b180-420a-af90-bd892b9b7a1b"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Tags" ma:index="12" nillable="true" ma:displayName="Tags" ma:internalName="MediaServiceAutoTag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LengthInSeconds" ma:index="17" nillable="true" ma:displayName="Length (seconds)" ma:internalName="MediaLengthInSeconds" ma:readOnly="true">
      <xsd:simpleType>
        <xsd:restriction base="dms:Unknown"/>
      </xsd:simpleType>
    </xsd:element>
    <xsd:element name="MediaServiceLocation" ma:index="18" nillable="true" ma:displayName="Location" ma:internalName="MediaServiceLocation" ma:readOnly="true">
      <xsd:simpleType>
        <xsd:restriction base="dms:Text"/>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5937ab98-a683-4921-92ee-1b344c0d926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616c46-e0d1-41bc-b79c-3bf75d8f213d"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bbbcf33f-d4b0-4e2a-87c2-d186ea3c64ae}" ma:internalName="TaxCatchAll" ma:showField="CatchAllData" ma:web="17589c13-57ef-4de4-a691-d1d236f8d5f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BA26A6A-6337-4ED7-A649-960EFD22D054}">
  <ds:schemaRefs>
    <ds:schemaRef ds:uri="http://schemas.microsoft.com/office/infopath/2007/PartnerControls"/>
    <ds:schemaRef ds:uri="http://purl.org/dc/elements/1.1/"/>
    <ds:schemaRef ds:uri="http://schemas.microsoft.com/office/2006/documentManagement/types"/>
    <ds:schemaRef ds:uri="a1027b0e-b76a-4f87-8a3e-5c0955473ea1"/>
    <ds:schemaRef ds:uri="http://purl.org/dc/terms/"/>
    <ds:schemaRef ds:uri="http://schemas.openxmlformats.org/package/2006/metadata/core-properties"/>
    <ds:schemaRef ds:uri="a7eddb22-ec30-47fe-81c9-a147b8ade4a5"/>
    <ds:schemaRef ds:uri="http://purl.org/dc/dcmitype/"/>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B2B381E5-0FF6-4BCA-B6C5-7880D89364CE}">
  <ds:schemaRefs>
    <ds:schemaRef ds:uri="http://schemas.microsoft.com/sharepoint/v3/contenttype/forms"/>
  </ds:schemaRefs>
</ds:datastoreItem>
</file>

<file path=customXml/itemProps3.xml><?xml version="1.0" encoding="utf-8"?>
<ds:datastoreItem xmlns:ds="http://schemas.openxmlformats.org/officeDocument/2006/customXml" ds:itemID="{A2991CC8-281C-4FAF-B4FD-6BD068FB5821}">
  <ds:schemaRefs>
    <ds:schemaRef ds:uri="http://schemas.microsoft.com/office/2006/metadata/longProperties"/>
  </ds:schemaRefs>
</ds:datastoreItem>
</file>

<file path=customXml/itemProps4.xml><?xml version="1.0" encoding="utf-8"?>
<ds:datastoreItem xmlns:ds="http://schemas.openxmlformats.org/officeDocument/2006/customXml" ds:itemID="{365DFABF-EBC9-43CA-B5AF-F221DB7E4649}"/>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22</vt:i4>
      </vt:variant>
    </vt:vector>
  </HeadingPairs>
  <TitlesOfParts>
    <vt:vector size="25" baseType="lpstr">
      <vt:lpstr>Wksh 1 - Market Experience</vt:lpstr>
      <vt:lpstr>Wksh 2 - Plan Product Info</vt:lpstr>
      <vt:lpstr>Wksh 3 - Rating Areas</vt:lpstr>
      <vt:lpstr>CategoryList</vt:lpstr>
      <vt:lpstr>'Wksh 3 - Rating Areas'!ColumnTitleRegion1.A5.B1000.3</vt:lpstr>
      <vt:lpstr>'Wksh 2 - Plan Product Info'!ColumnTitleRegion3.A24.A44.2</vt:lpstr>
      <vt:lpstr>'Wksh 2 - Plan Product Info'!ColumnTitleRegion4.B9.B82.2</vt:lpstr>
      <vt:lpstr>DataEntryBlock</vt:lpstr>
      <vt:lpstr>FormulaBlock</vt:lpstr>
      <vt:lpstr>MetalLevels</vt:lpstr>
      <vt:lpstr>RatingAreas</vt:lpstr>
      <vt:lpstr>'Wksh 1 - Market Experience'!RowTitleRegion1.B3.C5.1</vt:lpstr>
      <vt:lpstr>'Wksh 2 - Plan Product Info'!RowTitleRegion1.C3.D5.2</vt:lpstr>
      <vt:lpstr>'Wksh 1 - Market Experience'!RowTitleRegion2.D4.E5.1</vt:lpstr>
      <vt:lpstr>'Wksh 2 - Plan Product Info'!RowTitleRegion2.E4.F5.2</vt:lpstr>
      <vt:lpstr>'Wksh 1 - Market Experience'!RowTitleRegion3.B12.F12.1</vt:lpstr>
      <vt:lpstr>'Wksh 2 - Plan Product Info'!RowTitleRegion5.C10.XFD82.2</vt:lpstr>
      <vt:lpstr>'Wksh 1 - Market Experience'!RowTitleRegion6.B32.F36.1</vt:lpstr>
      <vt:lpstr>'Wksh 1 - Market Experience'!RowTitleRegion7.B38.F39.1</vt:lpstr>
      <vt:lpstr>'Wksh 1 - Market Experience'!RowTitleRegion9.B48.F48.1</vt:lpstr>
      <vt:lpstr>StateList</vt:lpstr>
      <vt:lpstr>'Wksh 1 - Market Experience'!TitleRegion4.B13.F19.1</vt:lpstr>
      <vt:lpstr>'Wksh 1 - Market Experience'!TitleRegion5.B22.H30.1</vt:lpstr>
      <vt:lpstr>'Wksh 1 - Market Experience'!TitleRegion8.B41.G46.1</vt:lpstr>
      <vt:lpstr>YesNo</vt:lpstr>
    </vt:vector>
  </TitlesOfParts>
  <Company>LMI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ECP Network Adequacy Template</dc:title>
  <dc:subject>ECP Network Template</dc:subject>
  <dc:creator>Accenture Federal Services</dc:creator>
  <cp:keywords>Template, ECP, Network, Adequacy</cp:keywords>
  <cp:lastModifiedBy>Brianna Culpepper</cp:lastModifiedBy>
  <dcterms:created xsi:type="dcterms:W3CDTF">2013-12-09T20:12:41Z</dcterms:created>
  <dcterms:modified xsi:type="dcterms:W3CDTF">2023-06-13T16:17:33Z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Language">
    <vt:lpwstr>English</vt:lpwstr>
  </property>
  <property fmtid="{D5CDD505-2E9C-101B-9397-08002B2CF9AE}" pid="4" name="ContentTypeId">
    <vt:lpwstr>0x0101004926A49D6F49B447A0AD8643F26CDC10</vt:lpwstr>
  </property>
  <property fmtid="{D5CDD505-2E9C-101B-9397-08002B2CF9AE}" pid="5" name="MediaServiceImageTags">
    <vt:lpwstr/>
  </property>
</Properties>
</file>