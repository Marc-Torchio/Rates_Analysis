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K:\ACT\DATA\PRICING\Exchange\2024 Pricing\Filed Rates and Filing Packages\Current Filings\GA\20230424 Final Pricing with HBR Adj\20230426 Filing Package\"/>
    </mc:Choice>
  </mc:AlternateContent>
  <xr:revisionPtr revIDLastSave="0" documentId="13_ncr:1_{A1D404F5-957F-4388-A805-EBEFA594E2E5}" xr6:coauthVersionLast="47" xr6:coauthVersionMax="47" xr10:uidLastSave="{00000000-0000-0000-0000-000000000000}"/>
  <workbookProtection workbookAlgorithmName="SHA-512" workbookHashValue="7VbHqZtVfWkJ7YLlvZG4QvMmF+0PcddqEPcBtXK9NHLxRGV+ihPZQ/Ura21uLHDMh8CnbDu5eEs75c0XZel51g==" workbookSaltValue="zzQWUWAIXnIKC8t+A3WCDQ==" workbookSpinCount="100000" lockStructure="1"/>
  <bookViews>
    <workbookView xWindow="28680" yWindow="-120" windowWidth="29040" windowHeight="15990" tabRatio="515" activeTab="1" xr2:uid="{00000000-000D-0000-FFFF-FFFF00000000}"/>
  </bookViews>
  <sheets>
    <sheet name="Wksh 1 - Market Experience" sheetId="1" r:id="rId1"/>
    <sheet name="Wksh 2 - Plan Product Info" sheetId="13" r:id="rId2"/>
    <sheet name="Wksh 3 - Rating Areas" sheetId="18" r:id="rId3"/>
    <sheet name="PlanTemplate" sheetId="15" state="veryHidden" r:id="rId4"/>
  </sheets>
  <functionGroups builtInGroupCount="19"/>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70" i="13" s="1"/>
  <c r="D34" i="13"/>
  <c r="D35" i="13" s="1"/>
  <c r="D33" i="13"/>
  <c r="D44" i="13" s="1"/>
  <c r="D32" i="13"/>
  <c r="D31" i="13"/>
  <c r="D29" i="13"/>
  <c r="D28" i="13"/>
  <c r="D27" i="13"/>
  <c r="D39" i="13" s="1"/>
  <c r="D26" i="13"/>
  <c r="E22" i="13" a="1"/>
  <c r="E22" i="13" s="1"/>
  <c r="CQ21" i="13" a="1"/>
  <c r="CQ21" i="13" s="1"/>
  <c r="C5" i="1"/>
  <c r="CV82" i="13"/>
  <c r="CV81" i="13"/>
  <c r="CV79" i="13"/>
  <c r="CV78" i="13"/>
  <c r="CV77" i="13"/>
  <c r="CV76" i="13"/>
  <c r="CV74" i="13"/>
  <c r="CV70" i="13"/>
  <c r="CV80" i="13" s="1"/>
  <c r="CV65" i="13"/>
  <c r="CV47" i="13"/>
  <c r="CV44" i="13"/>
  <c r="CV43" i="13"/>
  <c r="CV41" i="13"/>
  <c r="CV40" i="13"/>
  <c r="CV39" i="13"/>
  <c r="CV38" i="13"/>
  <c r="CV30" i="13"/>
  <c r="CV36" i="13" s="1"/>
  <c r="CV25" i="13"/>
  <c r="CU82" i="13"/>
  <c r="CU81" i="13"/>
  <c r="CU80" i="13"/>
  <c r="CU79" i="13"/>
  <c r="CU78" i="13"/>
  <c r="CU77" i="13"/>
  <c r="CU76" i="13"/>
  <c r="CU74" i="13"/>
  <c r="CU70" i="13"/>
  <c r="CU65" i="13"/>
  <c r="CU47" i="13"/>
  <c r="CU44" i="13"/>
  <c r="CU43" i="13"/>
  <c r="CU41" i="13"/>
  <c r="CU40" i="13"/>
  <c r="CU39" i="13"/>
  <c r="CU38" i="13"/>
  <c r="CU30" i="13"/>
  <c r="CU42" i="13" s="1"/>
  <c r="CU25" i="13"/>
  <c r="CT82" i="13"/>
  <c r="CT81" i="13"/>
  <c r="CT79" i="13"/>
  <c r="CT78" i="13"/>
  <c r="CT77" i="13"/>
  <c r="CT76" i="13"/>
  <c r="CT74" i="13"/>
  <c r="CT70" i="13"/>
  <c r="CT80" i="13" s="1"/>
  <c r="CT65" i="13"/>
  <c r="CT47" i="13"/>
  <c r="CT44" i="13"/>
  <c r="CT43" i="13"/>
  <c r="CT41" i="13"/>
  <c r="CT40" i="13"/>
  <c r="CT39" i="13"/>
  <c r="CT38" i="13"/>
  <c r="CT30" i="13"/>
  <c r="CT36" i="13" s="1"/>
  <c r="CT25" i="13"/>
  <c r="CS82" i="13"/>
  <c r="CS81" i="13"/>
  <c r="CS79" i="13"/>
  <c r="CS78" i="13"/>
  <c r="CS77" i="13"/>
  <c r="CS76" i="13"/>
  <c r="CS70" i="13"/>
  <c r="CS74" i="13" s="1"/>
  <c r="CS65" i="13"/>
  <c r="CS47" i="13"/>
  <c r="CS44" i="13"/>
  <c r="CS43" i="13"/>
  <c r="CS41" i="13"/>
  <c r="CS40" i="13"/>
  <c r="CS39" i="13"/>
  <c r="CS38" i="13"/>
  <c r="CS30" i="13"/>
  <c r="CS42" i="13" s="1"/>
  <c r="CS25" i="13"/>
  <c r="CR82" i="13"/>
  <c r="CR81" i="13"/>
  <c r="CR79" i="13"/>
  <c r="CR78" i="13"/>
  <c r="CR77" i="13"/>
  <c r="CR76" i="13"/>
  <c r="CR70" i="13"/>
  <c r="CR80" i="13" s="1"/>
  <c r="CR65" i="13"/>
  <c r="CR47" i="13"/>
  <c r="CR44" i="13"/>
  <c r="CR43" i="13"/>
  <c r="CR41" i="13"/>
  <c r="CR40" i="13"/>
  <c r="CR39" i="13"/>
  <c r="CR38" i="13"/>
  <c r="CR30" i="13"/>
  <c r="CR36" i="13" s="1"/>
  <c r="CR25" i="13"/>
  <c r="CQ82" i="13"/>
  <c r="CQ81" i="13"/>
  <c r="CQ79" i="13"/>
  <c r="CQ78" i="13"/>
  <c r="CQ77" i="13"/>
  <c r="CQ76" i="13"/>
  <c r="CQ70" i="13"/>
  <c r="CQ74" i="13" s="1"/>
  <c r="CQ65" i="13"/>
  <c r="CQ47" i="13"/>
  <c r="CQ44" i="13"/>
  <c r="CQ43" i="13"/>
  <c r="CQ41" i="13"/>
  <c r="CQ40" i="13"/>
  <c r="CQ39" i="13"/>
  <c r="CQ38" i="13"/>
  <c r="CQ30" i="13"/>
  <c r="CQ36" i="13" s="1"/>
  <c r="CQ25" i="13"/>
  <c r="CI21" i="13" a="1"/>
  <c r="CI21" i="13" s="1"/>
  <c r="CP82" i="13"/>
  <c r="CP81" i="13"/>
  <c r="CP79" i="13"/>
  <c r="CP78" i="13"/>
  <c r="CP77" i="13"/>
  <c r="CP76" i="13"/>
  <c r="CP74" i="13"/>
  <c r="CP70" i="13"/>
  <c r="CP80" i="13" s="1"/>
  <c r="CP65" i="13"/>
  <c r="CP47" i="13"/>
  <c r="CP44" i="13"/>
  <c r="CP43" i="13"/>
  <c r="CP41" i="13"/>
  <c r="CP40" i="13"/>
  <c r="CP39" i="13"/>
  <c r="CP38" i="13"/>
  <c r="CP30" i="13"/>
  <c r="CP36" i="13" s="1"/>
  <c r="CP25" i="13"/>
  <c r="CO82" i="13"/>
  <c r="CO81" i="13"/>
  <c r="CO79" i="13"/>
  <c r="CO78" i="13"/>
  <c r="CO77" i="13"/>
  <c r="CO76" i="13"/>
  <c r="CO70" i="13"/>
  <c r="CO74" i="13" s="1"/>
  <c r="CO65" i="13"/>
  <c r="CO47" i="13"/>
  <c r="CO44" i="13"/>
  <c r="CO43" i="13"/>
  <c r="CO42" i="13"/>
  <c r="CO41" i="13"/>
  <c r="CO40" i="13"/>
  <c r="CO39" i="13"/>
  <c r="CO38" i="13"/>
  <c r="CO36" i="13"/>
  <c r="CO30" i="13"/>
  <c r="CO25" i="13"/>
  <c r="CN82" i="13"/>
  <c r="CN81" i="13"/>
  <c r="CN79" i="13"/>
  <c r="CN78" i="13"/>
  <c r="CN77" i="13"/>
  <c r="CN76" i="13"/>
  <c r="CN70" i="13"/>
  <c r="CN74" i="13" s="1"/>
  <c r="CN65" i="13"/>
  <c r="CN47" i="13"/>
  <c r="CN44" i="13"/>
  <c r="CN43" i="13"/>
  <c r="CN41" i="13"/>
  <c r="CN40" i="13"/>
  <c r="CN39" i="13"/>
  <c r="CN38" i="13"/>
  <c r="CN30" i="13"/>
  <c r="CN42" i="13" s="1"/>
  <c r="CN25" i="13"/>
  <c r="CM82" i="13"/>
  <c r="CM81" i="13"/>
  <c r="CM79" i="13"/>
  <c r="CM78" i="13"/>
  <c r="CM77" i="13"/>
  <c r="CM76" i="13"/>
  <c r="CM70" i="13"/>
  <c r="CM74" i="13" s="1"/>
  <c r="CM65" i="13"/>
  <c r="CM47" i="13"/>
  <c r="CM44" i="13"/>
  <c r="CM43" i="13"/>
  <c r="CM41" i="13"/>
  <c r="CM40" i="13"/>
  <c r="CM39" i="13"/>
  <c r="CM38" i="13"/>
  <c r="CM30" i="13"/>
  <c r="CM42" i="13" s="1"/>
  <c r="CM25" i="13"/>
  <c r="CL82" i="13"/>
  <c r="CL81" i="13"/>
  <c r="CL79" i="13"/>
  <c r="CL78" i="13"/>
  <c r="CL77" i="13"/>
  <c r="CL76" i="13"/>
  <c r="CL70" i="13"/>
  <c r="CL74" i="13" s="1"/>
  <c r="CL65" i="13"/>
  <c r="CL47" i="13"/>
  <c r="CL44" i="13"/>
  <c r="CL43" i="13"/>
  <c r="CL41" i="13"/>
  <c r="CL40" i="13"/>
  <c r="CL39" i="13"/>
  <c r="CL38" i="13"/>
  <c r="CL30" i="13"/>
  <c r="CL36" i="13" s="1"/>
  <c r="CL25" i="13"/>
  <c r="CK82" i="13"/>
  <c r="CK81" i="13"/>
  <c r="CK79" i="13"/>
  <c r="CK78" i="13"/>
  <c r="CK77" i="13"/>
  <c r="CK76" i="13"/>
  <c r="CK74" i="13"/>
  <c r="CK70" i="13"/>
  <c r="CK80" i="13" s="1"/>
  <c r="CK65" i="13"/>
  <c r="CK47" i="13"/>
  <c r="CK44" i="13"/>
  <c r="CK43" i="13"/>
  <c r="CK41" i="13"/>
  <c r="CK40" i="13"/>
  <c r="CK39" i="13"/>
  <c r="CK38" i="13"/>
  <c r="CK30" i="13"/>
  <c r="CK36" i="13" s="1"/>
  <c r="CK25" i="13"/>
  <c r="CJ82" i="13"/>
  <c r="CJ81" i="13"/>
  <c r="CJ79" i="13"/>
  <c r="CJ78" i="13"/>
  <c r="CJ77" i="13"/>
  <c r="CJ76" i="13"/>
  <c r="CJ70" i="13"/>
  <c r="CJ80" i="13" s="1"/>
  <c r="CJ65" i="13"/>
  <c r="CJ47" i="13"/>
  <c r="CJ44" i="13"/>
  <c r="CJ43" i="13"/>
  <c r="CJ41" i="13"/>
  <c r="CJ40" i="13"/>
  <c r="CJ39" i="13"/>
  <c r="CJ38" i="13"/>
  <c r="CJ30" i="13"/>
  <c r="CJ36" i="13" s="1"/>
  <c r="CJ25" i="13"/>
  <c r="CI82" i="13"/>
  <c r="CI81" i="13"/>
  <c r="CI79" i="13"/>
  <c r="CI78" i="13"/>
  <c r="CI77" i="13"/>
  <c r="CI76" i="13"/>
  <c r="CI70" i="13"/>
  <c r="CI74" i="13" s="1"/>
  <c r="CI65" i="13"/>
  <c r="CI47" i="13"/>
  <c r="CI44" i="13"/>
  <c r="CI43" i="13"/>
  <c r="CI41" i="13"/>
  <c r="CI40" i="13"/>
  <c r="CI39" i="13"/>
  <c r="CI38" i="13"/>
  <c r="CI30" i="13"/>
  <c r="CI36" i="13" s="1"/>
  <c r="CI25" i="13"/>
  <c r="BZ21" i="13" a="1"/>
  <c r="BZ21" i="13" s="1"/>
  <c r="CH82" i="13"/>
  <c r="CH81" i="13"/>
  <c r="CH79" i="13"/>
  <c r="CH78" i="13"/>
  <c r="CH77" i="13"/>
  <c r="CH76" i="13"/>
  <c r="CH70" i="13"/>
  <c r="CH80" i="13" s="1"/>
  <c r="CH65" i="13"/>
  <c r="CH47" i="13"/>
  <c r="CH44" i="13"/>
  <c r="CH43" i="13"/>
  <c r="CH41" i="13"/>
  <c r="CH40" i="13"/>
  <c r="CH39" i="13"/>
  <c r="CH38" i="13"/>
  <c r="CH30" i="13"/>
  <c r="CH36" i="13" s="1"/>
  <c r="CH25" i="13"/>
  <c r="CG82" i="13"/>
  <c r="CG81" i="13"/>
  <c r="CG79" i="13"/>
  <c r="CG78" i="13"/>
  <c r="CG77" i="13"/>
  <c r="CG76" i="13"/>
  <c r="CG70" i="13"/>
  <c r="CG74" i="13" s="1"/>
  <c r="CG65" i="13"/>
  <c r="CG47" i="13"/>
  <c r="CG44" i="13"/>
  <c r="CG43" i="13"/>
  <c r="CG41" i="13"/>
  <c r="CG40" i="13"/>
  <c r="CG39" i="13"/>
  <c r="CG38" i="13"/>
  <c r="CG30" i="13"/>
  <c r="CG36" i="13" s="1"/>
  <c r="CG25" i="13"/>
  <c r="CF82" i="13"/>
  <c r="CF81" i="13"/>
  <c r="CF79" i="13"/>
  <c r="CF78" i="13"/>
  <c r="CF77" i="13"/>
  <c r="CF76" i="13"/>
  <c r="CF74" i="13"/>
  <c r="CF70" i="13"/>
  <c r="CF80" i="13" s="1"/>
  <c r="CF65" i="13"/>
  <c r="CF47" i="13"/>
  <c r="CF44" i="13"/>
  <c r="CF43" i="13"/>
  <c r="CF41" i="13"/>
  <c r="CF40" i="13"/>
  <c r="CF39" i="13"/>
  <c r="CF38" i="13"/>
  <c r="CF30" i="13"/>
  <c r="CF36" i="13" s="1"/>
  <c r="CF25" i="13"/>
  <c r="CE82" i="13"/>
  <c r="CE81" i="13"/>
  <c r="CE79" i="13"/>
  <c r="CE78" i="13"/>
  <c r="CE77" i="13"/>
  <c r="CE76" i="13"/>
  <c r="CE70" i="13"/>
  <c r="CE74" i="13" s="1"/>
  <c r="CE65" i="13"/>
  <c r="CE47" i="13"/>
  <c r="CE44" i="13"/>
  <c r="CE43" i="13"/>
  <c r="CE42" i="13"/>
  <c r="CE41" i="13"/>
  <c r="CE40" i="13"/>
  <c r="CE39" i="13"/>
  <c r="CE38" i="13"/>
  <c r="CE36" i="13"/>
  <c r="CE30" i="13"/>
  <c r="CE25" i="13"/>
  <c r="CD82" i="13"/>
  <c r="CD81" i="13"/>
  <c r="CD79" i="13"/>
  <c r="CD78" i="13"/>
  <c r="CD77" i="13"/>
  <c r="CD76" i="13"/>
  <c r="CD70" i="13"/>
  <c r="CD74" i="13" s="1"/>
  <c r="CD65" i="13"/>
  <c r="CD47" i="13"/>
  <c r="CD44" i="13"/>
  <c r="CD43" i="13"/>
  <c r="CD42" i="13"/>
  <c r="CD41" i="13"/>
  <c r="CD40" i="13"/>
  <c r="CD39" i="13"/>
  <c r="CD38" i="13"/>
  <c r="CD36" i="13"/>
  <c r="CD30" i="13"/>
  <c r="CD25" i="13"/>
  <c r="CC82" i="13"/>
  <c r="CC81" i="13"/>
  <c r="CC80" i="13"/>
  <c r="CC79" i="13"/>
  <c r="CC78" i="13"/>
  <c r="CC77" i="13"/>
  <c r="CC76" i="13"/>
  <c r="CC70" i="13"/>
  <c r="CC74" i="13" s="1"/>
  <c r="CC65" i="13"/>
  <c r="CC47" i="13"/>
  <c r="CC44" i="13"/>
  <c r="CC43" i="13"/>
  <c r="CC41" i="13"/>
  <c r="CC40" i="13"/>
  <c r="CC39" i="13"/>
  <c r="CC38" i="13"/>
  <c r="CC30" i="13"/>
  <c r="CC42" i="13" s="1"/>
  <c r="CC25" i="13"/>
  <c r="CB82" i="13"/>
  <c r="CB81" i="13"/>
  <c r="CB80" i="13"/>
  <c r="CB79" i="13"/>
  <c r="CB78" i="13"/>
  <c r="CB77" i="13"/>
  <c r="CB76" i="13"/>
  <c r="CB74" i="13"/>
  <c r="CB70" i="13"/>
  <c r="CB65" i="13"/>
  <c r="CB47" i="13"/>
  <c r="CB44" i="13"/>
  <c r="CB43" i="13"/>
  <c r="CB41" i="13"/>
  <c r="CB40" i="13"/>
  <c r="CB39" i="13"/>
  <c r="CB38" i="13"/>
  <c r="CB30" i="13"/>
  <c r="CB36" i="13" s="1"/>
  <c r="CB25" i="13"/>
  <c r="CA82" i="13"/>
  <c r="CA81" i="13"/>
  <c r="CA80" i="13"/>
  <c r="CA79" i="13"/>
  <c r="CA78" i="13"/>
  <c r="CA77" i="13"/>
  <c r="CA76" i="13"/>
  <c r="CA70" i="13"/>
  <c r="CA74" i="13" s="1"/>
  <c r="CA65" i="13"/>
  <c r="CA47" i="13"/>
  <c r="CA44" i="13"/>
  <c r="CA43" i="13"/>
  <c r="CA41" i="13"/>
  <c r="CA40" i="13"/>
  <c r="CA39" i="13"/>
  <c r="CA38" i="13"/>
  <c r="CA30" i="13"/>
  <c r="CA42" i="13" s="1"/>
  <c r="CA25" i="13"/>
  <c r="BZ82" i="13"/>
  <c r="BZ81" i="13"/>
  <c r="BZ79" i="13"/>
  <c r="BZ78" i="13"/>
  <c r="BZ77" i="13"/>
  <c r="BZ76" i="13"/>
  <c r="BZ70" i="13"/>
  <c r="BZ80" i="13" s="1"/>
  <c r="BZ65" i="13"/>
  <c r="BZ47" i="13"/>
  <c r="BZ44" i="13"/>
  <c r="BZ43" i="13"/>
  <c r="BZ41" i="13"/>
  <c r="BZ40" i="13"/>
  <c r="BZ39" i="13"/>
  <c r="BZ38" i="13"/>
  <c r="BZ30" i="13"/>
  <c r="BZ36" i="13" s="1"/>
  <c r="BZ25" i="13"/>
  <c r="BQ21" i="13" a="1"/>
  <c r="BQ21" i="13" s="1"/>
  <c r="BY82" i="13"/>
  <c r="BY81" i="13"/>
  <c r="BY79" i="13"/>
  <c r="BY78" i="13"/>
  <c r="BY77" i="13"/>
  <c r="BY76" i="13"/>
  <c r="BY70" i="13"/>
  <c r="BY74" i="13" s="1"/>
  <c r="BY65" i="13"/>
  <c r="BY47" i="13"/>
  <c r="BY44" i="13"/>
  <c r="BY43" i="13"/>
  <c r="BY41" i="13"/>
  <c r="BY40" i="13"/>
  <c r="BY39" i="13"/>
  <c r="BY38" i="13"/>
  <c r="BY30" i="13"/>
  <c r="BY42" i="13" s="1"/>
  <c r="BY25" i="13"/>
  <c r="BX82" i="13"/>
  <c r="BX81" i="13"/>
  <c r="BX79" i="13"/>
  <c r="BX78" i="13"/>
  <c r="BX77" i="13"/>
  <c r="BX76" i="13"/>
  <c r="BX70" i="13"/>
  <c r="BX80" i="13" s="1"/>
  <c r="BX65" i="13"/>
  <c r="BX47" i="13"/>
  <c r="BX44" i="13"/>
  <c r="BX43" i="13"/>
  <c r="BX41" i="13"/>
  <c r="BX40" i="13"/>
  <c r="BX39" i="13"/>
  <c r="BX38" i="13"/>
  <c r="BX30" i="13"/>
  <c r="BX36" i="13" s="1"/>
  <c r="BX25" i="13"/>
  <c r="BW82" i="13"/>
  <c r="BW81" i="13"/>
  <c r="BW79" i="13"/>
  <c r="BW78" i="13"/>
  <c r="BW77" i="13"/>
  <c r="BW76" i="13"/>
  <c r="BW70" i="13"/>
  <c r="BW74" i="13" s="1"/>
  <c r="BW65" i="13"/>
  <c r="BW47" i="13"/>
  <c r="BW44" i="13"/>
  <c r="BW43" i="13"/>
  <c r="BW41" i="13"/>
  <c r="BW40" i="13"/>
  <c r="BW39" i="13"/>
  <c r="BW38" i="13"/>
  <c r="BW30" i="13"/>
  <c r="BW36" i="13" s="1"/>
  <c r="BW25" i="13"/>
  <c r="BV82" i="13"/>
  <c r="BV81" i="13"/>
  <c r="BV79" i="13"/>
  <c r="BV78" i="13"/>
  <c r="BV77" i="13"/>
  <c r="BV76" i="13"/>
  <c r="BV74" i="13"/>
  <c r="BV70" i="13"/>
  <c r="BV80" i="13" s="1"/>
  <c r="BV65" i="13"/>
  <c r="BV47" i="13"/>
  <c r="BV44" i="13"/>
  <c r="BV43" i="13"/>
  <c r="BV41" i="13"/>
  <c r="BV40" i="13"/>
  <c r="BV39" i="13"/>
  <c r="BV38" i="13"/>
  <c r="BV30" i="13"/>
  <c r="BV36" i="13" s="1"/>
  <c r="BV25" i="13"/>
  <c r="BU82" i="13"/>
  <c r="BU81" i="13"/>
  <c r="BU79" i="13"/>
  <c r="BU78" i="13"/>
  <c r="BU77" i="13"/>
  <c r="BU76" i="13"/>
  <c r="BU70" i="13"/>
  <c r="BU74" i="13" s="1"/>
  <c r="BU65" i="13"/>
  <c r="BU47" i="13"/>
  <c r="BU44" i="13"/>
  <c r="BU43" i="13"/>
  <c r="BU41" i="13"/>
  <c r="BU40" i="13"/>
  <c r="BU39" i="13"/>
  <c r="BU38" i="13"/>
  <c r="BU30" i="13"/>
  <c r="BU42" i="13" s="1"/>
  <c r="BU25" i="13"/>
  <c r="BT82" i="13"/>
  <c r="BT81" i="13"/>
  <c r="BT79" i="13"/>
  <c r="BT78" i="13"/>
  <c r="BT77" i="13"/>
  <c r="BT76" i="13"/>
  <c r="BT70" i="13"/>
  <c r="BT74" i="13" s="1"/>
  <c r="BT65" i="13"/>
  <c r="BT47" i="13"/>
  <c r="BT44" i="13"/>
  <c r="BT43" i="13"/>
  <c r="BT41" i="13"/>
  <c r="BT40" i="13"/>
  <c r="BT39" i="13"/>
  <c r="BT38" i="13"/>
  <c r="BT30" i="13"/>
  <c r="BT36" i="13" s="1"/>
  <c r="BT25" i="13"/>
  <c r="BS82" i="13"/>
  <c r="BS81" i="13"/>
  <c r="BS79" i="13"/>
  <c r="BS78" i="13"/>
  <c r="BS77" i="13"/>
  <c r="BS76" i="13"/>
  <c r="BS70" i="13"/>
  <c r="BS74" i="13" s="1"/>
  <c r="BS65" i="13"/>
  <c r="BS47" i="13"/>
  <c r="BS44" i="13"/>
  <c r="BS43" i="13"/>
  <c r="BS41" i="13"/>
  <c r="BS40" i="13"/>
  <c r="BS39" i="13"/>
  <c r="BS38" i="13"/>
  <c r="BS30" i="13"/>
  <c r="BS42" i="13" s="1"/>
  <c r="BS25" i="13"/>
  <c r="BR82" i="13"/>
  <c r="BR81" i="13"/>
  <c r="BR80" i="13"/>
  <c r="BR79" i="13"/>
  <c r="BR78" i="13"/>
  <c r="BR77" i="13"/>
  <c r="BR76" i="13"/>
  <c r="BR70" i="13"/>
  <c r="BR74" i="13" s="1"/>
  <c r="BR65" i="13"/>
  <c r="BR47" i="13"/>
  <c r="BR44" i="13"/>
  <c r="BR43" i="13"/>
  <c r="BR41" i="13"/>
  <c r="BR40" i="13"/>
  <c r="BR39" i="13"/>
  <c r="BR38" i="13"/>
  <c r="BR30" i="13"/>
  <c r="BR36" i="13" s="1"/>
  <c r="BR25" i="13"/>
  <c r="BQ82" i="13"/>
  <c r="BQ81" i="13"/>
  <c r="BQ79" i="13"/>
  <c r="BQ78" i="13"/>
  <c r="BQ77" i="13"/>
  <c r="BQ76" i="13"/>
  <c r="BQ70" i="13"/>
  <c r="BQ74" i="13" s="1"/>
  <c r="BQ65" i="13"/>
  <c r="BQ47" i="13"/>
  <c r="BQ44" i="13"/>
  <c r="BQ43" i="13"/>
  <c r="BQ41" i="13"/>
  <c r="BQ40" i="13"/>
  <c r="BQ39" i="13"/>
  <c r="BQ38" i="13"/>
  <c r="BQ30" i="13"/>
  <c r="BQ42" i="13" s="1"/>
  <c r="BQ25" i="13"/>
  <c r="BI21" i="13" a="1"/>
  <c r="BI21" i="13" s="1"/>
  <c r="BP82" i="13"/>
  <c r="BP81" i="13"/>
  <c r="BP79" i="13"/>
  <c r="BP78" i="13"/>
  <c r="BP77" i="13"/>
  <c r="BP76" i="13"/>
  <c r="BP74" i="13"/>
  <c r="BP70" i="13"/>
  <c r="BP80" i="13" s="1"/>
  <c r="BP65" i="13"/>
  <c r="BP47" i="13"/>
  <c r="BP44" i="13"/>
  <c r="BP43" i="13"/>
  <c r="BP41" i="13"/>
  <c r="BP40" i="13"/>
  <c r="BP39" i="13"/>
  <c r="BP38" i="13"/>
  <c r="BP30" i="13"/>
  <c r="BP36" i="13" s="1"/>
  <c r="BP25" i="13"/>
  <c r="BO82" i="13"/>
  <c r="BO81" i="13"/>
  <c r="BO79" i="13"/>
  <c r="BO78" i="13"/>
  <c r="BO77" i="13"/>
  <c r="BO76" i="13"/>
  <c r="BO74" i="13"/>
  <c r="BO70" i="13"/>
  <c r="BO80" i="13" s="1"/>
  <c r="BO65" i="13"/>
  <c r="BO47" i="13"/>
  <c r="BO44" i="13"/>
  <c r="BO43" i="13"/>
  <c r="BO41" i="13"/>
  <c r="BO40" i="13"/>
  <c r="BO39" i="13"/>
  <c r="BO38" i="13"/>
  <c r="BO30" i="13"/>
  <c r="BO42" i="13" s="1"/>
  <c r="BO25" i="13"/>
  <c r="BN82" i="13"/>
  <c r="BN81" i="13"/>
  <c r="BN79" i="13"/>
  <c r="BN78" i="13"/>
  <c r="BN77" i="13"/>
  <c r="BN76" i="13"/>
  <c r="BN70" i="13"/>
  <c r="BN80" i="13" s="1"/>
  <c r="BN65" i="13"/>
  <c r="BN47" i="13"/>
  <c r="BN44" i="13"/>
  <c r="BN43" i="13"/>
  <c r="BN41" i="13"/>
  <c r="BN40" i="13"/>
  <c r="BN39" i="13"/>
  <c r="BN38" i="13"/>
  <c r="BN30" i="13"/>
  <c r="BN36" i="13" s="1"/>
  <c r="BN25" i="13"/>
  <c r="BM82" i="13"/>
  <c r="BM81" i="13"/>
  <c r="BM79" i="13"/>
  <c r="BM78" i="13"/>
  <c r="BM77" i="13"/>
  <c r="BM76" i="13"/>
  <c r="BM70" i="13"/>
  <c r="BM74" i="13" s="1"/>
  <c r="BM65" i="13"/>
  <c r="BM47" i="13"/>
  <c r="BM44" i="13"/>
  <c r="BM43" i="13"/>
  <c r="BM41" i="13"/>
  <c r="BM40" i="13"/>
  <c r="BM39" i="13"/>
  <c r="BM38" i="13"/>
  <c r="BM30" i="13"/>
  <c r="BM36" i="13" s="1"/>
  <c r="BM25" i="13"/>
  <c r="BL82" i="13"/>
  <c r="BL81" i="13"/>
  <c r="BL79" i="13"/>
  <c r="BL78" i="13"/>
  <c r="BL77" i="13"/>
  <c r="BL76" i="13"/>
  <c r="BL74" i="13"/>
  <c r="BL70" i="13"/>
  <c r="BL80" i="13" s="1"/>
  <c r="BL65" i="13"/>
  <c r="BL47" i="13"/>
  <c r="BL44" i="13"/>
  <c r="BL43" i="13"/>
  <c r="BL42" i="13"/>
  <c r="BL41" i="13"/>
  <c r="BL40" i="13"/>
  <c r="BL39" i="13"/>
  <c r="BL38" i="13"/>
  <c r="BL30" i="13"/>
  <c r="BL36" i="13" s="1"/>
  <c r="BL25" i="13"/>
  <c r="BK82" i="13"/>
  <c r="BK81" i="13"/>
  <c r="BK79" i="13"/>
  <c r="BK78" i="13"/>
  <c r="BK77" i="13"/>
  <c r="BK76" i="13"/>
  <c r="BK70" i="13"/>
  <c r="BK74" i="13" s="1"/>
  <c r="BK65" i="13"/>
  <c r="BK47" i="13"/>
  <c r="BK44" i="13"/>
  <c r="BK43" i="13"/>
  <c r="BK41" i="13"/>
  <c r="BK40" i="13"/>
  <c r="BK39" i="13"/>
  <c r="BK38" i="13"/>
  <c r="BK30" i="13"/>
  <c r="BK42" i="13" s="1"/>
  <c r="BK25" i="13"/>
  <c r="BJ82" i="13"/>
  <c r="BJ81" i="13"/>
  <c r="BJ79" i="13"/>
  <c r="BJ78" i="13"/>
  <c r="BJ77" i="13"/>
  <c r="BJ76" i="13"/>
  <c r="BJ70" i="13"/>
  <c r="BJ74" i="13" s="1"/>
  <c r="BJ65" i="13"/>
  <c r="BJ47" i="13"/>
  <c r="BJ44" i="13"/>
  <c r="BJ43" i="13"/>
  <c r="BJ41" i="13"/>
  <c r="BJ40" i="13"/>
  <c r="BJ39" i="13"/>
  <c r="BJ38" i="13"/>
  <c r="BJ36" i="13"/>
  <c r="BJ30" i="13"/>
  <c r="BJ42" i="13" s="1"/>
  <c r="BJ25" i="13"/>
  <c r="BI82" i="13"/>
  <c r="BI81" i="13"/>
  <c r="BI79" i="13"/>
  <c r="BI78" i="13"/>
  <c r="BI77" i="13"/>
  <c r="BI76" i="13"/>
  <c r="BI70" i="13"/>
  <c r="BI74" i="13" s="1"/>
  <c r="BI65" i="13"/>
  <c r="BI47" i="13"/>
  <c r="BI44" i="13"/>
  <c r="BI43" i="13"/>
  <c r="BI41" i="13"/>
  <c r="BI40" i="13"/>
  <c r="BI39" i="13"/>
  <c r="BI38" i="13"/>
  <c r="BI36" i="13"/>
  <c r="BI30" i="13"/>
  <c r="BI42" i="13" s="1"/>
  <c r="BI25" i="13"/>
  <c r="AV21" i="13" a="1"/>
  <c r="AV21" i="13" s="1"/>
  <c r="BH82" i="13"/>
  <c r="BH81" i="13"/>
  <c r="BH79" i="13"/>
  <c r="BH78" i="13"/>
  <c r="BH77" i="13"/>
  <c r="BH76" i="13"/>
  <c r="BH70" i="13"/>
  <c r="BH74" i="13" s="1"/>
  <c r="BH65" i="13"/>
  <c r="BH47" i="13"/>
  <c r="BH44" i="13"/>
  <c r="BH43" i="13"/>
  <c r="BH41" i="13"/>
  <c r="BH40" i="13"/>
  <c r="BH39" i="13"/>
  <c r="BH38" i="13"/>
  <c r="BH30" i="13"/>
  <c r="BH36" i="13" s="1"/>
  <c r="BH25" i="13"/>
  <c r="BG82" i="13"/>
  <c r="BG81" i="13"/>
  <c r="BG79" i="13"/>
  <c r="BG78" i="13"/>
  <c r="BG77" i="13"/>
  <c r="BG76" i="13"/>
  <c r="BG70" i="13"/>
  <c r="BG74" i="13" s="1"/>
  <c r="BG65" i="13"/>
  <c r="BG47" i="13"/>
  <c r="BG44" i="13"/>
  <c r="BG43" i="13"/>
  <c r="BG41" i="13"/>
  <c r="BG40" i="13"/>
  <c r="BG39" i="13"/>
  <c r="BG38" i="13"/>
  <c r="BG30" i="13"/>
  <c r="BG36" i="13" s="1"/>
  <c r="BG25" i="13"/>
  <c r="BF82" i="13"/>
  <c r="BF81" i="13"/>
  <c r="BF79" i="13"/>
  <c r="BF78" i="13"/>
  <c r="BF77" i="13"/>
  <c r="BF76" i="13"/>
  <c r="BF70" i="13"/>
  <c r="BF74" i="13" s="1"/>
  <c r="BF65" i="13"/>
  <c r="BF47" i="13"/>
  <c r="BF44" i="13"/>
  <c r="BF43" i="13"/>
  <c r="BF41" i="13"/>
  <c r="BF40" i="13"/>
  <c r="BF39" i="13"/>
  <c r="BF38" i="13"/>
  <c r="BF30" i="13"/>
  <c r="BF36" i="13" s="1"/>
  <c r="BF25" i="13"/>
  <c r="BE82" i="13"/>
  <c r="BE81" i="13"/>
  <c r="BE80" i="13"/>
  <c r="BE79" i="13"/>
  <c r="BE78" i="13"/>
  <c r="BE77" i="13"/>
  <c r="BE76" i="13"/>
  <c r="BE74" i="13"/>
  <c r="BE70" i="13"/>
  <c r="BE65" i="13"/>
  <c r="BE47" i="13"/>
  <c r="BE44" i="13"/>
  <c r="BE43" i="13"/>
  <c r="BE41" i="13"/>
  <c r="BE40" i="13"/>
  <c r="BE39" i="13"/>
  <c r="BE38" i="13"/>
  <c r="BE36" i="13"/>
  <c r="BE30" i="13"/>
  <c r="BE42" i="13" s="1"/>
  <c r="BE25" i="13"/>
  <c r="BD82" i="13"/>
  <c r="BD81" i="13"/>
  <c r="BD79" i="13"/>
  <c r="BD78" i="13"/>
  <c r="BD77" i="13"/>
  <c r="BD76" i="13"/>
  <c r="BD74" i="13"/>
  <c r="BD70" i="13"/>
  <c r="BD80" i="13" s="1"/>
  <c r="BD65" i="13"/>
  <c r="BD47" i="13"/>
  <c r="BD44" i="13"/>
  <c r="BD43" i="13"/>
  <c r="BD41" i="13"/>
  <c r="BD40" i="13"/>
  <c r="BD39" i="13"/>
  <c r="BD38" i="13"/>
  <c r="BD30" i="13"/>
  <c r="BD36" i="13" s="1"/>
  <c r="BD25" i="13"/>
  <c r="BC82" i="13"/>
  <c r="BC81" i="13"/>
  <c r="BC79" i="13"/>
  <c r="BC78" i="13"/>
  <c r="BC77" i="13"/>
  <c r="BC76" i="13"/>
  <c r="BC70" i="13"/>
  <c r="BC74" i="13" s="1"/>
  <c r="BC65" i="13"/>
  <c r="BC47" i="13"/>
  <c r="BC44" i="13"/>
  <c r="BC43" i="13"/>
  <c r="BC41" i="13"/>
  <c r="BC40" i="13"/>
  <c r="BC39" i="13"/>
  <c r="BC38" i="13"/>
  <c r="BC30" i="13"/>
  <c r="BC36" i="13" s="1"/>
  <c r="BC25" i="13"/>
  <c r="BB82" i="13"/>
  <c r="BB81" i="13"/>
  <c r="BB79" i="13"/>
  <c r="BB78" i="13"/>
  <c r="BB77" i="13"/>
  <c r="BB76" i="13"/>
  <c r="BB70" i="13"/>
  <c r="BB74" i="13" s="1"/>
  <c r="BB65" i="13"/>
  <c r="BB47" i="13"/>
  <c r="BB44" i="13"/>
  <c r="BB43" i="13"/>
  <c r="BB41" i="13"/>
  <c r="BB40" i="13"/>
  <c r="BB39" i="13"/>
  <c r="BB38" i="13"/>
  <c r="BB30" i="13"/>
  <c r="BB42" i="13" s="1"/>
  <c r="BB25" i="13"/>
  <c r="BA82" i="13"/>
  <c r="BA81" i="13"/>
  <c r="BA79" i="13"/>
  <c r="BA78" i="13"/>
  <c r="BA77" i="13"/>
  <c r="BA76" i="13"/>
  <c r="BA70" i="13"/>
  <c r="BA65" i="13"/>
  <c r="BA47" i="13"/>
  <c r="BA44" i="13"/>
  <c r="BA43" i="13"/>
  <c r="BA41" i="13"/>
  <c r="BA40" i="13"/>
  <c r="BA39" i="13"/>
  <c r="BA38" i="13"/>
  <c r="BA30" i="13"/>
  <c r="BA36" i="13" s="1"/>
  <c r="BA25" i="13"/>
  <c r="AZ82" i="13"/>
  <c r="AZ81" i="13"/>
  <c r="AZ79" i="13"/>
  <c r="AZ78" i="13"/>
  <c r="AZ77" i="13"/>
  <c r="AZ76" i="13"/>
  <c r="AZ70" i="13"/>
  <c r="AZ74" i="13" s="1"/>
  <c r="AZ65" i="13"/>
  <c r="AZ47" i="13"/>
  <c r="AZ44" i="13"/>
  <c r="AZ43" i="13"/>
  <c r="AZ41" i="13"/>
  <c r="AZ40" i="13"/>
  <c r="AZ39" i="13"/>
  <c r="AZ38" i="13"/>
  <c r="AZ30" i="13"/>
  <c r="AZ36" i="13" s="1"/>
  <c r="AZ25" i="13"/>
  <c r="AY82" i="13"/>
  <c r="AY81" i="13"/>
  <c r="AY79" i="13"/>
  <c r="AY78" i="13"/>
  <c r="AY77" i="13"/>
  <c r="AY76" i="13"/>
  <c r="AY74" i="13"/>
  <c r="AY70" i="13"/>
  <c r="AY80" i="13" s="1"/>
  <c r="AY65" i="13"/>
  <c r="AY47" i="13"/>
  <c r="AY44" i="13"/>
  <c r="AY43" i="13"/>
  <c r="AY41" i="13"/>
  <c r="AY40" i="13"/>
  <c r="AY39" i="13"/>
  <c r="AY38" i="13"/>
  <c r="AY30" i="13"/>
  <c r="AY36" i="13" s="1"/>
  <c r="AY25" i="13"/>
  <c r="AX82" i="13"/>
  <c r="AX81" i="13"/>
  <c r="AX79" i="13"/>
  <c r="AX78" i="13"/>
  <c r="AX77" i="13"/>
  <c r="AX76" i="13"/>
  <c r="AX70" i="13"/>
  <c r="AX74" i="13" s="1"/>
  <c r="AX65" i="13"/>
  <c r="AX47" i="13"/>
  <c r="AX44" i="13"/>
  <c r="AX43" i="13"/>
  <c r="AX41" i="13"/>
  <c r="AX40" i="13"/>
  <c r="AX39" i="13"/>
  <c r="AX38" i="13"/>
  <c r="AX30" i="13"/>
  <c r="AX36" i="13" s="1"/>
  <c r="AX25" i="13"/>
  <c r="AW82" i="13"/>
  <c r="AW81" i="13"/>
  <c r="AW80" i="13"/>
  <c r="AW79" i="13"/>
  <c r="AW78" i="13"/>
  <c r="AW77" i="13"/>
  <c r="AW76" i="13"/>
  <c r="AW74" i="13"/>
  <c r="AW70" i="13"/>
  <c r="AW65" i="13"/>
  <c r="AW47" i="13"/>
  <c r="AW44" i="13"/>
  <c r="AW43" i="13"/>
  <c r="AW41" i="13"/>
  <c r="AW40" i="13"/>
  <c r="AW39" i="13"/>
  <c r="AW38" i="13"/>
  <c r="AW30" i="13"/>
  <c r="AW36" i="13" s="1"/>
  <c r="AW25" i="13"/>
  <c r="AV82" i="13"/>
  <c r="AV81" i="13"/>
  <c r="AV79" i="13"/>
  <c r="AV78" i="13"/>
  <c r="AV77" i="13"/>
  <c r="AV76" i="13"/>
  <c r="AV74" i="13"/>
  <c r="AV70" i="13"/>
  <c r="AV80" i="13" s="1"/>
  <c r="AV65" i="13"/>
  <c r="AV47" i="13"/>
  <c r="AV44" i="13"/>
  <c r="AV43" i="13"/>
  <c r="AV41" i="13"/>
  <c r="AV40" i="13"/>
  <c r="AV39" i="13"/>
  <c r="AV38" i="13"/>
  <c r="AV30" i="13"/>
  <c r="AV25" i="13"/>
  <c r="AA21" i="13" a="1"/>
  <c r="AA21" i="13" s="1"/>
  <c r="AU82" i="13"/>
  <c r="AU81" i="13"/>
  <c r="AU79" i="13"/>
  <c r="AU78" i="13"/>
  <c r="AU77" i="13"/>
  <c r="AU76" i="13"/>
  <c r="AU70" i="13"/>
  <c r="AU80" i="13" s="1"/>
  <c r="AU65" i="13"/>
  <c r="AU47" i="13"/>
  <c r="AU44" i="13"/>
  <c r="AU43" i="13"/>
  <c r="AU42" i="13"/>
  <c r="AU41" i="13"/>
  <c r="AU40" i="13"/>
  <c r="AU39" i="13"/>
  <c r="AU38" i="13"/>
  <c r="AU30" i="13"/>
  <c r="AU36" i="13" s="1"/>
  <c r="AU25" i="13"/>
  <c r="AT82" i="13"/>
  <c r="AT81" i="13"/>
  <c r="AT79" i="13"/>
  <c r="AT78" i="13"/>
  <c r="AT77" i="13"/>
  <c r="AT76" i="13"/>
  <c r="AT70" i="13"/>
  <c r="AT74" i="13" s="1"/>
  <c r="AT65" i="13"/>
  <c r="AT47" i="13"/>
  <c r="AT44" i="13"/>
  <c r="AT43" i="13"/>
  <c r="AT41" i="13"/>
  <c r="AT40" i="13"/>
  <c r="AT39" i="13"/>
  <c r="AT38" i="13"/>
  <c r="AT30" i="13"/>
  <c r="AT25" i="13"/>
  <c r="AS82" i="13"/>
  <c r="AS81" i="13"/>
  <c r="AS79" i="13"/>
  <c r="AS78" i="13"/>
  <c r="AS77" i="13"/>
  <c r="AS76" i="13"/>
  <c r="AS70" i="13"/>
  <c r="AS74" i="13" s="1"/>
  <c r="AS65" i="13"/>
  <c r="AS47" i="13"/>
  <c r="AS44" i="13"/>
  <c r="AS43" i="13"/>
  <c r="AS41" i="13"/>
  <c r="AS40" i="13"/>
  <c r="AS39" i="13"/>
  <c r="AS38" i="13"/>
  <c r="AS30" i="13"/>
  <c r="AS36" i="13" s="1"/>
  <c r="AS25" i="13"/>
  <c r="AR82" i="13"/>
  <c r="AR81" i="13"/>
  <c r="AR79" i="13"/>
  <c r="AR78" i="13"/>
  <c r="AR77" i="13"/>
  <c r="AR76" i="13"/>
  <c r="AR70" i="13"/>
  <c r="AR80" i="13" s="1"/>
  <c r="AR65" i="13"/>
  <c r="AR47" i="13"/>
  <c r="AR44" i="13"/>
  <c r="AR43" i="13"/>
  <c r="AR41" i="13"/>
  <c r="AR40" i="13"/>
  <c r="AR39" i="13"/>
  <c r="AR38" i="13"/>
  <c r="AR30" i="13"/>
  <c r="AR36" i="13" s="1"/>
  <c r="AR25" i="13"/>
  <c r="AQ82" i="13"/>
  <c r="AQ81" i="13"/>
  <c r="AQ79" i="13"/>
  <c r="AQ78" i="13"/>
  <c r="AQ77" i="13"/>
  <c r="AQ76" i="13"/>
  <c r="AQ70" i="13"/>
  <c r="AQ65" i="13"/>
  <c r="AQ47" i="13"/>
  <c r="AQ44" i="13"/>
  <c r="AQ43" i="13"/>
  <c r="AQ42" i="13"/>
  <c r="AQ41" i="13"/>
  <c r="AQ40" i="13"/>
  <c r="AQ39" i="13"/>
  <c r="AQ38" i="13"/>
  <c r="AQ30" i="13"/>
  <c r="AQ36" i="13" s="1"/>
  <c r="AQ25" i="13"/>
  <c r="AP82" i="13"/>
  <c r="AP81" i="13"/>
  <c r="AP79" i="13"/>
  <c r="AP78" i="13"/>
  <c r="AP77" i="13"/>
  <c r="AP76" i="13"/>
  <c r="AP70" i="13"/>
  <c r="AP74" i="13" s="1"/>
  <c r="AP65" i="13"/>
  <c r="AP47" i="13"/>
  <c r="AP44" i="13"/>
  <c r="AP43" i="13"/>
  <c r="AP41" i="13"/>
  <c r="AP40" i="13"/>
  <c r="AP39" i="13"/>
  <c r="AP38" i="13"/>
  <c r="AP30" i="13"/>
  <c r="AP42" i="13" s="1"/>
  <c r="AP25" i="13"/>
  <c r="AO82" i="13"/>
  <c r="AO81" i="13"/>
  <c r="AO80" i="13"/>
  <c r="AO79" i="13"/>
  <c r="AO78" i="13"/>
  <c r="AO77" i="13"/>
  <c r="AO76" i="13"/>
  <c r="AO74" i="13"/>
  <c r="AO70" i="13"/>
  <c r="AO65" i="13"/>
  <c r="AO47" i="13"/>
  <c r="AO44" i="13"/>
  <c r="AO43" i="13"/>
  <c r="AO42" i="13"/>
  <c r="AO41" i="13"/>
  <c r="AO40" i="13"/>
  <c r="AO39" i="13"/>
  <c r="AO38" i="13"/>
  <c r="AO36" i="13"/>
  <c r="AO30" i="13"/>
  <c r="AO25" i="13"/>
  <c r="AN82" i="13"/>
  <c r="AN81" i="13"/>
  <c r="AN79" i="13"/>
  <c r="AN78" i="13"/>
  <c r="AN77" i="13"/>
  <c r="AN76" i="13"/>
  <c r="AN70" i="13"/>
  <c r="AN74" i="13" s="1"/>
  <c r="AN65" i="13"/>
  <c r="AN47" i="13"/>
  <c r="AN44" i="13"/>
  <c r="AN43" i="13"/>
  <c r="AN41" i="13"/>
  <c r="AN40" i="13"/>
  <c r="AN39" i="13"/>
  <c r="AN38" i="13"/>
  <c r="AN30" i="13"/>
  <c r="AN36" i="13" s="1"/>
  <c r="AN25" i="13"/>
  <c r="AM82" i="13"/>
  <c r="AM81" i="13"/>
  <c r="AM79" i="13"/>
  <c r="AM78" i="13"/>
  <c r="AM77" i="13"/>
  <c r="AM76" i="13"/>
  <c r="AM70" i="13"/>
  <c r="AM80" i="13" s="1"/>
  <c r="AM65" i="13"/>
  <c r="AM47" i="13"/>
  <c r="AM44" i="13"/>
  <c r="AM43" i="13"/>
  <c r="AM41" i="13"/>
  <c r="AM40" i="13"/>
  <c r="AM39" i="13"/>
  <c r="AM38" i="13"/>
  <c r="AM30" i="13"/>
  <c r="AM36" i="13" s="1"/>
  <c r="AM25" i="13"/>
  <c r="AL82" i="13"/>
  <c r="AL81" i="13"/>
  <c r="AL79" i="13"/>
  <c r="AL78" i="13"/>
  <c r="AL77" i="13"/>
  <c r="AL76" i="13"/>
  <c r="AL70" i="13"/>
  <c r="AL80" i="13" s="1"/>
  <c r="AL65" i="13"/>
  <c r="AL47" i="13"/>
  <c r="AL44" i="13"/>
  <c r="AL43" i="13"/>
  <c r="AL41" i="13"/>
  <c r="AL40" i="13"/>
  <c r="AL39" i="13"/>
  <c r="AL38" i="13"/>
  <c r="AL30" i="13"/>
  <c r="AL25" i="13"/>
  <c r="AK82" i="13"/>
  <c r="AK81" i="13"/>
  <c r="AK79" i="13"/>
  <c r="AK78" i="13"/>
  <c r="AK77" i="13"/>
  <c r="AK76" i="13"/>
  <c r="AK70" i="13"/>
  <c r="AK74" i="13" s="1"/>
  <c r="AK65" i="13"/>
  <c r="AK47" i="13"/>
  <c r="AK44" i="13"/>
  <c r="AK43" i="13"/>
  <c r="AK41" i="13"/>
  <c r="AK40" i="13"/>
  <c r="AK39" i="13"/>
  <c r="AK38" i="13"/>
  <c r="AK30" i="13"/>
  <c r="AK36" i="13" s="1"/>
  <c r="AK25" i="13"/>
  <c r="AJ82" i="13"/>
  <c r="AJ81" i="13"/>
  <c r="AJ79" i="13"/>
  <c r="AJ78" i="13"/>
  <c r="AJ77" i="13"/>
  <c r="AJ76" i="13"/>
  <c r="AJ70" i="13"/>
  <c r="AJ80" i="13" s="1"/>
  <c r="AJ65" i="13"/>
  <c r="AJ47" i="13"/>
  <c r="AJ44" i="13"/>
  <c r="AJ43" i="13"/>
  <c r="AJ41" i="13"/>
  <c r="AJ40" i="13"/>
  <c r="AJ39" i="13"/>
  <c r="AJ38" i="13"/>
  <c r="AJ36" i="13"/>
  <c r="AJ30" i="13"/>
  <c r="AJ42" i="13" s="1"/>
  <c r="AJ25" i="13"/>
  <c r="AI82" i="13"/>
  <c r="AI81" i="13"/>
  <c r="AI79" i="13"/>
  <c r="AI78" i="13"/>
  <c r="AI77" i="13"/>
  <c r="AI76" i="13"/>
  <c r="AI70" i="13"/>
  <c r="AI65" i="13"/>
  <c r="AI47" i="13"/>
  <c r="AI44" i="13"/>
  <c r="AI43" i="13"/>
  <c r="AI41" i="13"/>
  <c r="AI40" i="13"/>
  <c r="AI39" i="13"/>
  <c r="AI38" i="13"/>
  <c r="AI30" i="13"/>
  <c r="AI36" i="13" s="1"/>
  <c r="AI25" i="13"/>
  <c r="AH82" i="13"/>
  <c r="AH81" i="13"/>
  <c r="AH79" i="13"/>
  <c r="AH78" i="13"/>
  <c r="AH77" i="13"/>
  <c r="AH76" i="13"/>
  <c r="AH70" i="13"/>
  <c r="AH74" i="13" s="1"/>
  <c r="AH65" i="13"/>
  <c r="AH47" i="13"/>
  <c r="AH44" i="13"/>
  <c r="AH43" i="13"/>
  <c r="AH42" i="13"/>
  <c r="AH41" i="13"/>
  <c r="AH40" i="13"/>
  <c r="AH39" i="13"/>
  <c r="AH38" i="13"/>
  <c r="AH30" i="13"/>
  <c r="AH36" i="13" s="1"/>
  <c r="AH25" i="13"/>
  <c r="AG82" i="13"/>
  <c r="AG81" i="13"/>
  <c r="AG80" i="13"/>
  <c r="AG79" i="13"/>
  <c r="AG78" i="13"/>
  <c r="AG77" i="13"/>
  <c r="AG76" i="13"/>
  <c r="AG74" i="13"/>
  <c r="AG70" i="13"/>
  <c r="AG65" i="13"/>
  <c r="AG47" i="13"/>
  <c r="AG44" i="13"/>
  <c r="AG43" i="13"/>
  <c r="AG41" i="13"/>
  <c r="AG40" i="13"/>
  <c r="AG39" i="13"/>
  <c r="AG38" i="13"/>
  <c r="AG30" i="13"/>
  <c r="AG42" i="13" s="1"/>
  <c r="AG25" i="13"/>
  <c r="AF82" i="13"/>
  <c r="AF81" i="13"/>
  <c r="AF79" i="13"/>
  <c r="AF78" i="13"/>
  <c r="AF77" i="13"/>
  <c r="AF76" i="13"/>
  <c r="AF70" i="13"/>
  <c r="AF74" i="13" s="1"/>
  <c r="AF65" i="13"/>
  <c r="AF47" i="13"/>
  <c r="AF44" i="13"/>
  <c r="AF43" i="13"/>
  <c r="AF41" i="13"/>
  <c r="AF40" i="13"/>
  <c r="AF39" i="13"/>
  <c r="AF38" i="13"/>
  <c r="AF30" i="13"/>
  <c r="AF36" i="13" s="1"/>
  <c r="AF25" i="13"/>
  <c r="AE82" i="13"/>
  <c r="AE81" i="13"/>
  <c r="AE79" i="13"/>
  <c r="AE78" i="13"/>
  <c r="AE77" i="13"/>
  <c r="AE76" i="13"/>
  <c r="AE70" i="13"/>
  <c r="AE74" i="13" s="1"/>
  <c r="AE65" i="13"/>
  <c r="AE47" i="13"/>
  <c r="AE44" i="13"/>
  <c r="AE43" i="13"/>
  <c r="AE41" i="13"/>
  <c r="AE40" i="13"/>
  <c r="AE39" i="13"/>
  <c r="AE38" i="13"/>
  <c r="AE36" i="13"/>
  <c r="AE30" i="13"/>
  <c r="AE42" i="13" s="1"/>
  <c r="AE25" i="13"/>
  <c r="AD82" i="13"/>
  <c r="AD81" i="13"/>
  <c r="AD79" i="13"/>
  <c r="AD78" i="13"/>
  <c r="AD77" i="13"/>
  <c r="AD76" i="13"/>
  <c r="AD70" i="13"/>
  <c r="AD80" i="13" s="1"/>
  <c r="AD65" i="13"/>
  <c r="AD47" i="13"/>
  <c r="AD44" i="13"/>
  <c r="AD43" i="13"/>
  <c r="AD41" i="13"/>
  <c r="AD40" i="13"/>
  <c r="AD39" i="13"/>
  <c r="AD38" i="13"/>
  <c r="AD30" i="13"/>
  <c r="AD25" i="13"/>
  <c r="AC82" i="13"/>
  <c r="AC81" i="13"/>
  <c r="AC79" i="13"/>
  <c r="AC78" i="13"/>
  <c r="AC77" i="13"/>
  <c r="AC76" i="13"/>
  <c r="AC70" i="13"/>
  <c r="AC74" i="13" s="1"/>
  <c r="AC65" i="13"/>
  <c r="AC47" i="13"/>
  <c r="AC44" i="13"/>
  <c r="AC43" i="13"/>
  <c r="AC41" i="13"/>
  <c r="AC40" i="13"/>
  <c r="AC39" i="13"/>
  <c r="AC38" i="13"/>
  <c r="AC30" i="13"/>
  <c r="AC36" i="13" s="1"/>
  <c r="AC25" i="13"/>
  <c r="AB82" i="13"/>
  <c r="AB81" i="13"/>
  <c r="AB79" i="13"/>
  <c r="AB78" i="13"/>
  <c r="AB77" i="13"/>
  <c r="AB76" i="13"/>
  <c r="AB74" i="13"/>
  <c r="AB70" i="13"/>
  <c r="AB80" i="13" s="1"/>
  <c r="AB65" i="13"/>
  <c r="AB47" i="13"/>
  <c r="AB44" i="13"/>
  <c r="AB43" i="13"/>
  <c r="AB41" i="13"/>
  <c r="AB40" i="13"/>
  <c r="AB39" i="13"/>
  <c r="AB38" i="13"/>
  <c r="AB30" i="13"/>
  <c r="AB42" i="13" s="1"/>
  <c r="AB25" i="13"/>
  <c r="AA82" i="13"/>
  <c r="AA81" i="13"/>
  <c r="AA79" i="13"/>
  <c r="AA78" i="13"/>
  <c r="AA77" i="13"/>
  <c r="AA76" i="13"/>
  <c r="AA70" i="13"/>
  <c r="AA65" i="13"/>
  <c r="AA47" i="13"/>
  <c r="AA44" i="13"/>
  <c r="AA43" i="13"/>
  <c r="AA42" i="13"/>
  <c r="AA41" i="13"/>
  <c r="AA40" i="13"/>
  <c r="AA39" i="13"/>
  <c r="AA38" i="13"/>
  <c r="AA30" i="13"/>
  <c r="AA36" i="13" s="1"/>
  <c r="AA25" i="13"/>
  <c r="E21" i="13" a="1"/>
  <c r="E21" i="13" s="1"/>
  <c r="Z82" i="13"/>
  <c r="Z81" i="13"/>
  <c r="Z79" i="13"/>
  <c r="Z78" i="13"/>
  <c r="Z77" i="13"/>
  <c r="Z76" i="13"/>
  <c r="Z70" i="13"/>
  <c r="Z80" i="13" s="1"/>
  <c r="Z65" i="13"/>
  <c r="Z47" i="13"/>
  <c r="Z44" i="13"/>
  <c r="Z43" i="13"/>
  <c r="Z41" i="13"/>
  <c r="Z40" i="13"/>
  <c r="Z39" i="13"/>
  <c r="Z38" i="13"/>
  <c r="Z36" i="13"/>
  <c r="Z30" i="13"/>
  <c r="Z42" i="13" s="1"/>
  <c r="Z25" i="13"/>
  <c r="Y82" i="13"/>
  <c r="Y81" i="13"/>
  <c r="Y79" i="13"/>
  <c r="Y78" i="13"/>
  <c r="Y77" i="13"/>
  <c r="Y76" i="13"/>
  <c r="Y70" i="13"/>
  <c r="Y65" i="13"/>
  <c r="Y47" i="13"/>
  <c r="Y44" i="13"/>
  <c r="Y43" i="13"/>
  <c r="Y42" i="13"/>
  <c r="Y41" i="13"/>
  <c r="Y40" i="13"/>
  <c r="Y39" i="13"/>
  <c r="Y38" i="13"/>
  <c r="Y30" i="13"/>
  <c r="Y36" i="13" s="1"/>
  <c r="Y25" i="13"/>
  <c r="X82" i="13"/>
  <c r="X81" i="13"/>
  <c r="X79" i="13"/>
  <c r="X78" i="13"/>
  <c r="X77" i="13"/>
  <c r="X76" i="13"/>
  <c r="X70" i="13"/>
  <c r="X74" i="13" s="1"/>
  <c r="X65" i="13"/>
  <c r="X47" i="13"/>
  <c r="X44" i="13"/>
  <c r="X43" i="13"/>
  <c r="X41" i="13"/>
  <c r="X40" i="13"/>
  <c r="X39" i="13"/>
  <c r="X38" i="13"/>
  <c r="X30" i="13"/>
  <c r="X42" i="13" s="1"/>
  <c r="X25" i="13"/>
  <c r="W82" i="13"/>
  <c r="W81" i="13"/>
  <c r="W79" i="13"/>
  <c r="W78" i="13"/>
  <c r="W77" i="13"/>
  <c r="W76" i="13"/>
  <c r="W70" i="13"/>
  <c r="W80" i="13" s="1"/>
  <c r="W65" i="13"/>
  <c r="W47" i="13"/>
  <c r="W44" i="13"/>
  <c r="W43" i="13"/>
  <c r="W41" i="13"/>
  <c r="W40" i="13"/>
  <c r="W39" i="13"/>
  <c r="W38" i="13"/>
  <c r="W36" i="13"/>
  <c r="W30" i="13"/>
  <c r="W42" i="13" s="1"/>
  <c r="W25" i="13"/>
  <c r="V82" i="13"/>
  <c r="V81" i="13"/>
  <c r="V79" i="13"/>
  <c r="V78" i="13"/>
  <c r="V77" i="13"/>
  <c r="V76" i="13"/>
  <c r="V70" i="13"/>
  <c r="V74" i="13" s="1"/>
  <c r="V65" i="13"/>
  <c r="V47" i="13"/>
  <c r="V44" i="13"/>
  <c r="V43" i="13"/>
  <c r="V41" i="13"/>
  <c r="V40" i="13"/>
  <c r="V39" i="13"/>
  <c r="V38" i="13"/>
  <c r="V30" i="13"/>
  <c r="V36" i="13" s="1"/>
  <c r="V25" i="13"/>
  <c r="U82" i="13"/>
  <c r="U81" i="13"/>
  <c r="U79" i="13"/>
  <c r="U78" i="13"/>
  <c r="U77" i="13"/>
  <c r="U76" i="13"/>
  <c r="U70" i="13"/>
  <c r="U80" i="13" s="1"/>
  <c r="U65" i="13"/>
  <c r="U47" i="13"/>
  <c r="U44" i="13"/>
  <c r="U43" i="13"/>
  <c r="U41" i="13"/>
  <c r="U40" i="13"/>
  <c r="U39" i="13"/>
  <c r="U38" i="13"/>
  <c r="U30" i="13"/>
  <c r="U42" i="13" s="1"/>
  <c r="U25" i="13"/>
  <c r="T82" i="13"/>
  <c r="T81" i="13"/>
  <c r="T80" i="13"/>
  <c r="T79" i="13"/>
  <c r="T78" i="13"/>
  <c r="T77" i="13"/>
  <c r="T76" i="13"/>
  <c r="T70" i="13"/>
  <c r="T74" i="13" s="1"/>
  <c r="T65" i="13"/>
  <c r="T47" i="13"/>
  <c r="T44" i="13"/>
  <c r="T43" i="13"/>
  <c r="T41" i="13"/>
  <c r="T40" i="13"/>
  <c r="T39" i="13"/>
  <c r="T38" i="13"/>
  <c r="T30" i="13"/>
  <c r="T25" i="13"/>
  <c r="S82" i="13"/>
  <c r="S81" i="13"/>
  <c r="S79" i="13"/>
  <c r="S78" i="13"/>
  <c r="S77" i="13"/>
  <c r="S76" i="13"/>
  <c r="S70" i="13"/>
  <c r="S74" i="13" s="1"/>
  <c r="S65" i="13"/>
  <c r="S47" i="13"/>
  <c r="S44" i="13"/>
  <c r="S43" i="13"/>
  <c r="S41" i="13"/>
  <c r="S40" i="13"/>
  <c r="S39" i="13"/>
  <c r="S38" i="13"/>
  <c r="S30" i="13"/>
  <c r="S36" i="13" s="1"/>
  <c r="S25" i="13"/>
  <c r="R82" i="13"/>
  <c r="R81" i="13"/>
  <c r="R79" i="13"/>
  <c r="R78" i="13"/>
  <c r="R77" i="13"/>
  <c r="R76" i="13"/>
  <c r="R74" i="13"/>
  <c r="R70" i="13"/>
  <c r="R80" i="13" s="1"/>
  <c r="R65" i="13"/>
  <c r="R47" i="13"/>
  <c r="R44" i="13"/>
  <c r="R43" i="13"/>
  <c r="R42" i="13"/>
  <c r="R41" i="13"/>
  <c r="R40" i="13"/>
  <c r="R39" i="13"/>
  <c r="R38" i="13"/>
  <c r="R36" i="13"/>
  <c r="R30" i="13"/>
  <c r="R25" i="13"/>
  <c r="Q82" i="13"/>
  <c r="Q81" i="13"/>
  <c r="Q79" i="13"/>
  <c r="Q78" i="13"/>
  <c r="Q77" i="13"/>
  <c r="Q76" i="13"/>
  <c r="Q70" i="13"/>
  <c r="Q65" i="13"/>
  <c r="Q47" i="13"/>
  <c r="Q44" i="13"/>
  <c r="Q43" i="13"/>
  <c r="Q41" i="13"/>
  <c r="Q40" i="13"/>
  <c r="Q39" i="13"/>
  <c r="Q38" i="13"/>
  <c r="Q30" i="13"/>
  <c r="Q36" i="13" s="1"/>
  <c r="Q25" i="13"/>
  <c r="P82" i="13"/>
  <c r="P81" i="13"/>
  <c r="P79" i="13"/>
  <c r="P78" i="13"/>
  <c r="P77" i="13"/>
  <c r="P76" i="13"/>
  <c r="P70" i="13"/>
  <c r="P74" i="13" s="1"/>
  <c r="P65" i="13"/>
  <c r="P47" i="13"/>
  <c r="P44" i="13"/>
  <c r="P43" i="13"/>
  <c r="P41" i="13"/>
  <c r="P40" i="13"/>
  <c r="P39" i="13"/>
  <c r="P38" i="13"/>
  <c r="P30" i="13"/>
  <c r="P36" i="13" s="1"/>
  <c r="P25" i="13"/>
  <c r="O82" i="13"/>
  <c r="O81" i="13"/>
  <c r="O80" i="13"/>
  <c r="O79" i="13"/>
  <c r="O78" i="13"/>
  <c r="O77" i="13"/>
  <c r="O76" i="13"/>
  <c r="O74" i="13"/>
  <c r="O70" i="13"/>
  <c r="O65" i="13"/>
  <c r="O47" i="13"/>
  <c r="O44" i="13"/>
  <c r="O43" i="13"/>
  <c r="O41" i="13"/>
  <c r="O40" i="13"/>
  <c r="O39" i="13"/>
  <c r="O38" i="13"/>
  <c r="O30" i="13"/>
  <c r="O42" i="13" s="1"/>
  <c r="O25" i="13"/>
  <c r="N82" i="13"/>
  <c r="N81" i="13"/>
  <c r="N79" i="13"/>
  <c r="N78" i="13"/>
  <c r="N77" i="13"/>
  <c r="N76" i="13"/>
  <c r="N70" i="13"/>
  <c r="N74" i="13" s="1"/>
  <c r="N65" i="13"/>
  <c r="N47" i="13"/>
  <c r="N44" i="13"/>
  <c r="N43" i="13"/>
  <c r="N41" i="13"/>
  <c r="N40" i="13"/>
  <c r="N39" i="13"/>
  <c r="N38" i="13"/>
  <c r="N30" i="13"/>
  <c r="N36" i="13" s="1"/>
  <c r="N25" i="13"/>
  <c r="M82" i="13"/>
  <c r="M81" i="13"/>
  <c r="M80" i="13"/>
  <c r="M79" i="13"/>
  <c r="M78" i="13"/>
  <c r="M77" i="13"/>
  <c r="M76" i="13"/>
  <c r="M74" i="13"/>
  <c r="M70" i="13"/>
  <c r="M65" i="13"/>
  <c r="M47" i="13"/>
  <c r="M44" i="13"/>
  <c r="M43" i="13"/>
  <c r="M41" i="13"/>
  <c r="M40" i="13"/>
  <c r="M39" i="13"/>
  <c r="M38" i="13"/>
  <c r="M30" i="13"/>
  <c r="M42" i="13" s="1"/>
  <c r="M25" i="13"/>
  <c r="L82" i="13"/>
  <c r="L81" i="13"/>
  <c r="L79" i="13"/>
  <c r="L78" i="13"/>
  <c r="L77" i="13"/>
  <c r="L76" i="13"/>
  <c r="L70" i="13"/>
  <c r="L74" i="13" s="1"/>
  <c r="L65" i="13"/>
  <c r="L47" i="13"/>
  <c r="L44" i="13"/>
  <c r="L43" i="13"/>
  <c r="L41" i="13"/>
  <c r="L40" i="13"/>
  <c r="L39" i="13"/>
  <c r="L38" i="13"/>
  <c r="L30" i="13"/>
  <c r="L25" i="13"/>
  <c r="K82" i="13"/>
  <c r="K81" i="13"/>
  <c r="K79" i="13"/>
  <c r="K78" i="13"/>
  <c r="K77" i="13"/>
  <c r="K76" i="13"/>
  <c r="K70" i="13"/>
  <c r="K65" i="13"/>
  <c r="K47" i="13"/>
  <c r="K44" i="13"/>
  <c r="K43" i="13"/>
  <c r="K41" i="13"/>
  <c r="K40" i="13"/>
  <c r="K39" i="13"/>
  <c r="K38" i="13"/>
  <c r="K30" i="13"/>
  <c r="K36" i="13" s="1"/>
  <c r="K25" i="13"/>
  <c r="J82" i="13"/>
  <c r="J81" i="13"/>
  <c r="J79" i="13"/>
  <c r="J78" i="13"/>
  <c r="J77" i="13"/>
  <c r="J76" i="13"/>
  <c r="J70" i="13"/>
  <c r="J80" i="13" s="1"/>
  <c r="J65" i="13"/>
  <c r="J47" i="13"/>
  <c r="J44" i="13"/>
  <c r="J43" i="13"/>
  <c r="J41" i="13"/>
  <c r="J40" i="13"/>
  <c r="J39" i="13"/>
  <c r="J38" i="13"/>
  <c r="J30" i="13"/>
  <c r="J42" i="13" s="1"/>
  <c r="J25" i="13"/>
  <c r="I82" i="13"/>
  <c r="I81" i="13"/>
  <c r="I79" i="13"/>
  <c r="I78" i="13"/>
  <c r="I77" i="13"/>
  <c r="I76" i="13"/>
  <c r="I70" i="13"/>
  <c r="I74" i="13" s="1"/>
  <c r="I65" i="13"/>
  <c r="I47" i="13"/>
  <c r="I44" i="13"/>
  <c r="I43" i="13"/>
  <c r="I42" i="13"/>
  <c r="I41" i="13"/>
  <c r="I40" i="13"/>
  <c r="I39" i="13"/>
  <c r="I38" i="13"/>
  <c r="I30" i="13"/>
  <c r="I36" i="13" s="1"/>
  <c r="I25" i="13"/>
  <c r="H82" i="13"/>
  <c r="H81" i="13"/>
  <c r="H79" i="13"/>
  <c r="H78" i="13"/>
  <c r="H77" i="13"/>
  <c r="H76" i="13"/>
  <c r="H70" i="13"/>
  <c r="H74" i="13" s="1"/>
  <c r="H65" i="13"/>
  <c r="H47" i="13"/>
  <c r="H44" i="13"/>
  <c r="H43" i="13"/>
  <c r="H41" i="13"/>
  <c r="H40" i="13"/>
  <c r="H39" i="13"/>
  <c r="H38" i="13"/>
  <c r="H30" i="13"/>
  <c r="H42" i="13" s="1"/>
  <c r="H25" i="13"/>
  <c r="G82" i="13"/>
  <c r="G81" i="13"/>
  <c r="G79" i="13"/>
  <c r="G78" i="13"/>
  <c r="G77" i="13"/>
  <c r="G76" i="13"/>
  <c r="G70" i="13"/>
  <c r="G80" i="13" s="1"/>
  <c r="G65" i="13"/>
  <c r="G47" i="13"/>
  <c r="G44" i="13"/>
  <c r="G43" i="13"/>
  <c r="G41" i="13"/>
  <c r="G40" i="13"/>
  <c r="G39" i="13"/>
  <c r="G38" i="13"/>
  <c r="G36" i="13"/>
  <c r="G30" i="13"/>
  <c r="G42" i="13" s="1"/>
  <c r="G25" i="13"/>
  <c r="F82" i="13"/>
  <c r="F81" i="13"/>
  <c r="F79" i="13"/>
  <c r="F78" i="13"/>
  <c r="F77" i="13"/>
  <c r="F76" i="13"/>
  <c r="F70" i="13"/>
  <c r="F74" i="13" s="1"/>
  <c r="F65" i="13"/>
  <c r="F47" i="13"/>
  <c r="F44" i="13"/>
  <c r="F43" i="13"/>
  <c r="F41" i="13"/>
  <c r="F40" i="13"/>
  <c r="F39" i="13"/>
  <c r="F38" i="13"/>
  <c r="F30" i="13"/>
  <c r="F25" i="13"/>
  <c r="E82" i="13"/>
  <c r="E81" i="13"/>
  <c r="E79" i="13"/>
  <c r="E78" i="13"/>
  <c r="E77" i="13"/>
  <c r="E76" i="13"/>
  <c r="E70" i="13"/>
  <c r="E80" i="13" s="1"/>
  <c r="E65" i="13"/>
  <c r="E61" i="13"/>
  <c r="E60" i="13"/>
  <c r="E59" i="13"/>
  <c r="E47" i="13"/>
  <c r="E44" i="13"/>
  <c r="E43" i="13"/>
  <c r="E41" i="13"/>
  <c r="E40" i="13"/>
  <c r="E39" i="13"/>
  <c r="E38" i="13"/>
  <c r="E30" i="13"/>
  <c r="E36" i="13" s="1"/>
  <c r="E25" i="13"/>
  <c r="Z74" i="13" l="1"/>
  <c r="AG36" i="13"/>
  <c r="CC36" i="13"/>
  <c r="AD74" i="13"/>
  <c r="AR42" i="13"/>
  <c r="AX80" i="13"/>
  <c r="BI80" i="13"/>
  <c r="BO36" i="13"/>
  <c r="CP42" i="13"/>
  <c r="BN74" i="13"/>
  <c r="CN36" i="13"/>
  <c r="CU36" i="13"/>
  <c r="F80" i="13"/>
  <c r="G74" i="13"/>
  <c r="V80" i="13"/>
  <c r="W74" i="13"/>
  <c r="AE80" i="13"/>
  <c r="AJ74" i="13"/>
  <c r="AM42" i="13"/>
  <c r="BG42" i="13"/>
  <c r="BS80" i="13"/>
  <c r="CA36" i="13"/>
  <c r="CL80" i="13"/>
  <c r="BY80" i="13"/>
  <c r="AM74" i="13"/>
  <c r="AP36" i="13"/>
  <c r="E74" i="13"/>
  <c r="AB36" i="13"/>
  <c r="BG80" i="13"/>
  <c r="CS36" i="13"/>
  <c r="U74" i="13"/>
  <c r="Q42" i="13"/>
  <c r="AT80" i="13"/>
  <c r="BV42" i="13"/>
  <c r="CH74" i="13"/>
  <c r="CK42" i="13"/>
  <c r="AL74" i="13"/>
  <c r="AZ42" i="13"/>
  <c r="BB36" i="13"/>
  <c r="BB80" i="13"/>
  <c r="BK36" i="13"/>
  <c r="BU36" i="13"/>
  <c r="BX74" i="13"/>
  <c r="CQ42" i="13"/>
  <c r="CR74" i="13"/>
  <c r="D30" i="13"/>
  <c r="D42" i="13" s="1"/>
  <c r="AR74" i="13"/>
  <c r="AU74" i="13"/>
  <c r="H36" i="13"/>
  <c r="O36" i="13"/>
  <c r="X36" i="13"/>
  <c r="BY36" i="13"/>
  <c r="J36" i="13"/>
  <c r="M36" i="13"/>
  <c r="BA42" i="13"/>
  <c r="BQ80" i="13"/>
  <c r="BT42" i="13"/>
  <c r="CJ74" i="13"/>
  <c r="CM80" i="13"/>
  <c r="CR42" i="13"/>
  <c r="I80" i="13"/>
  <c r="J74" i="13"/>
  <c r="L80" i="13"/>
  <c r="P42" i="13"/>
  <c r="AW42" i="13"/>
  <c r="AY42" i="13"/>
  <c r="BH42" i="13"/>
  <c r="BS36" i="13"/>
  <c r="D41" i="13"/>
  <c r="AF80" i="13"/>
  <c r="E42" i="13"/>
  <c r="N80" i="13"/>
  <c r="U36" i="13"/>
  <c r="AI42" i="13"/>
  <c r="BF80" i="13"/>
  <c r="BQ36" i="13"/>
  <c r="CF42" i="13"/>
  <c r="CM36" i="13"/>
  <c r="D43" i="13"/>
  <c r="AN80" i="13"/>
  <c r="BZ74" i="13"/>
  <c r="K74" i="13"/>
  <c r="K80" i="13"/>
  <c r="Q80" i="13"/>
  <c r="Q74" i="13"/>
  <c r="AD36" i="13"/>
  <c r="AD42" i="13"/>
  <c r="AT36" i="13"/>
  <c r="AT42" i="13"/>
  <c r="L42" i="13"/>
  <c r="L36" i="13"/>
  <c r="F36" i="13"/>
  <c r="F42" i="13"/>
  <c r="AV36" i="13"/>
  <c r="AV42" i="13"/>
  <c r="Y80" i="13"/>
  <c r="Y74" i="13"/>
  <c r="T42" i="13"/>
  <c r="T36" i="13"/>
  <c r="AL36" i="13"/>
  <c r="AL42" i="13"/>
  <c r="AA74" i="13"/>
  <c r="AA80" i="13"/>
  <c r="AQ74" i="13"/>
  <c r="AQ80" i="13"/>
  <c r="AI74" i="13"/>
  <c r="AI80" i="13"/>
  <c r="BA74" i="13"/>
  <c r="BA80" i="13"/>
  <c r="N42" i="13"/>
  <c r="S80" i="13"/>
  <c r="V42" i="13"/>
  <c r="AC80" i="13"/>
  <c r="AF42" i="13"/>
  <c r="AK80" i="13"/>
  <c r="AN42" i="13"/>
  <c r="AS80" i="13"/>
  <c r="AX42" i="13"/>
  <c r="BC80" i="13"/>
  <c r="BF42" i="13"/>
  <c r="BM80" i="13"/>
  <c r="BP42" i="13"/>
  <c r="BR42" i="13"/>
  <c r="BW80" i="13"/>
  <c r="CB42" i="13"/>
  <c r="CG80" i="13"/>
  <c r="CI80" i="13"/>
  <c r="CL42" i="13"/>
  <c r="CS80" i="13"/>
  <c r="CV42" i="13"/>
  <c r="D38" i="13"/>
  <c r="BD42" i="13"/>
  <c r="BK80" i="13"/>
  <c r="BN42" i="13"/>
  <c r="BU80" i="13"/>
  <c r="BX42" i="13"/>
  <c r="BZ42" i="13"/>
  <c r="CE80" i="13"/>
  <c r="CH42" i="13"/>
  <c r="CJ42" i="13"/>
  <c r="CO80" i="13"/>
  <c r="CQ80" i="13"/>
  <c r="CT42" i="13"/>
  <c r="D40" i="13"/>
  <c r="H80" i="13"/>
  <c r="K42" i="13"/>
  <c r="P80" i="13"/>
  <c r="S42" i="13"/>
  <c r="X80" i="13"/>
  <c r="AC42" i="13"/>
  <c r="AH80" i="13"/>
  <c r="AK42" i="13"/>
  <c r="AP80" i="13"/>
  <c r="AS42" i="13"/>
  <c r="AZ80" i="13"/>
  <c r="BC42" i="13"/>
  <c r="BH80" i="13"/>
  <c r="BJ80" i="13"/>
  <c r="BM42" i="13"/>
  <c r="BT80" i="13"/>
  <c r="BW42" i="13"/>
  <c r="CD80" i="13"/>
  <c r="CG42" i="13"/>
  <c r="CI42" i="13"/>
  <c r="CN80" i="13"/>
  <c r="D79" i="13"/>
  <c r="D82" i="13"/>
  <c r="D81" i="13"/>
  <c r="D78" i="13"/>
  <c r="D76" i="13"/>
  <c r="D77" i="13"/>
  <c r="D36" i="13" l="1"/>
  <c r="D74" i="13"/>
  <c r="D80"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E48" i="13" s="1"/>
  <c r="F18" i="1"/>
  <c r="F17" i="1"/>
  <c r="F16" i="1"/>
  <c r="F15" i="1"/>
  <c r="F14" i="1"/>
  <c r="F12" i="1"/>
  <c r="CT57" i="13" l="1"/>
  <c r="CT62" i="13" s="1"/>
  <c r="BR57" i="13"/>
  <c r="BR62" i="13" s="1"/>
  <c r="BP57" i="13"/>
  <c r="BP62" i="13" s="1"/>
  <c r="AN57" i="13"/>
  <c r="AN62" i="13" s="1"/>
  <c r="BF57" i="13"/>
  <c r="BF62" i="13" s="1"/>
  <c r="AH57" i="13"/>
  <c r="AH62" i="13" s="1"/>
  <c r="N57" i="13"/>
  <c r="N62" i="13" s="1"/>
  <c r="U57" i="13"/>
  <c r="U62" i="13" s="1"/>
  <c r="AF57" i="13"/>
  <c r="AF62" i="13" s="1"/>
  <c r="X57" i="13"/>
  <c r="X62" i="13" s="1"/>
  <c r="H57" i="13"/>
  <c r="H62" i="13" s="1"/>
  <c r="CV57" i="13"/>
  <c r="CV62" i="13" s="1"/>
  <c r="CB57" i="13"/>
  <c r="CB62" i="13" s="1"/>
  <c r="AX57" i="13"/>
  <c r="AX62" i="13" s="1"/>
  <c r="F57" i="13"/>
  <c r="F62" i="13" s="1"/>
  <c r="P57" i="13"/>
  <c r="P62" i="13" s="1"/>
  <c r="M57" i="13"/>
  <c r="M62" i="13" s="1"/>
  <c r="E57" i="13"/>
  <c r="E62" i="13" s="1"/>
  <c r="AP57" i="13"/>
  <c r="AP62" i="13" s="1"/>
  <c r="V57" i="13"/>
  <c r="V62" i="13" s="1"/>
  <c r="CL57" i="13"/>
  <c r="CL62" i="13" s="1"/>
  <c r="AK57" i="13"/>
  <c r="AK62" i="13" s="1"/>
  <c r="J57" i="13"/>
  <c r="J62" i="13" s="1"/>
  <c r="BA57" i="13"/>
  <c r="BA62" i="13" s="1"/>
  <c r="BH57" i="13"/>
  <c r="BH62" i="13" s="1"/>
  <c r="CD57" i="13"/>
  <c r="CD62" i="13" s="1"/>
  <c r="AY57" i="13"/>
  <c r="AY62" i="13" s="1"/>
  <c r="BS57" i="13"/>
  <c r="BS62" i="13" s="1"/>
  <c r="BY57" i="13"/>
  <c r="BY62" i="13" s="1"/>
  <c r="AT57" i="13"/>
  <c r="AT62" i="13" s="1"/>
  <c r="AJ57" i="13"/>
  <c r="AJ62" i="13" s="1"/>
  <c r="CF57" i="13"/>
  <c r="CF62" i="13" s="1"/>
  <c r="BJ57" i="13"/>
  <c r="BJ62" i="13" s="1"/>
  <c r="AE57" i="13"/>
  <c r="AE62" i="13" s="1"/>
  <c r="BC57" i="13"/>
  <c r="BC62" i="13" s="1"/>
  <c r="R57" i="13"/>
  <c r="R62" i="13" s="1"/>
  <c r="BL57" i="13"/>
  <c r="BL62" i="13" s="1"/>
  <c r="I57" i="13"/>
  <c r="I62" i="13" s="1"/>
  <c r="BU57" i="13"/>
  <c r="BU62" i="13" s="1"/>
  <c r="AG57" i="13"/>
  <c r="AG62" i="13" s="1"/>
  <c r="AM57" i="13"/>
  <c r="AM62" i="13" s="1"/>
  <c r="CK57" i="13"/>
  <c r="CK62" i="13" s="1"/>
  <c r="BD57" i="13"/>
  <c r="BD62" i="13" s="1"/>
  <c r="CG57" i="13"/>
  <c r="CG62" i="13" s="1"/>
  <c r="CQ57" i="13"/>
  <c r="CQ62" i="13" s="1"/>
  <c r="BI57" i="13"/>
  <c r="BI62" i="13" s="1"/>
  <c r="T57" i="13"/>
  <c r="T62" i="13" s="1"/>
  <c r="BM57" i="13"/>
  <c r="BM62" i="13" s="1"/>
  <c r="Q57" i="13"/>
  <c r="Q62" i="13" s="1"/>
  <c r="CE57" i="13"/>
  <c r="CE62" i="13" s="1"/>
  <c r="BG57" i="13"/>
  <c r="BG62" i="13" s="1"/>
  <c r="CC57" i="13"/>
  <c r="CC62" i="13" s="1"/>
  <c r="AU57" i="13"/>
  <c r="AU62" i="13" s="1"/>
  <c r="CU57" i="13"/>
  <c r="CU62" i="13" s="1"/>
  <c r="BN57" i="13"/>
  <c r="BN62" i="13" s="1"/>
  <c r="K57" i="13"/>
  <c r="K62" i="13" s="1"/>
  <c r="CP57" i="13"/>
  <c r="CP62" i="13" s="1"/>
  <c r="AO57" i="13"/>
  <c r="AO62" i="13" s="1"/>
  <c r="BE57" i="13"/>
  <c r="BE62" i="13" s="1"/>
  <c r="BW57" i="13"/>
  <c r="BW62" i="13" s="1"/>
  <c r="AR57" i="13"/>
  <c r="AR62" i="13" s="1"/>
  <c r="Y57" i="13"/>
  <c r="Y62" i="13" s="1"/>
  <c r="CO57" i="13"/>
  <c r="CO62" i="13" s="1"/>
  <c r="BT57" i="13"/>
  <c r="BT62" i="13" s="1"/>
  <c r="CN57" i="13"/>
  <c r="CN62" i="13" s="1"/>
  <c r="O57" i="13"/>
  <c r="O62" i="13" s="1"/>
  <c r="AW57" i="13"/>
  <c r="AW62" i="13" s="1"/>
  <c r="L57" i="13"/>
  <c r="L62" i="13" s="1"/>
  <c r="BX57" i="13"/>
  <c r="BX62" i="13" s="1"/>
  <c r="Z57" i="13"/>
  <c r="Z62" i="13" s="1"/>
  <c r="AA57" i="13"/>
  <c r="AA62" i="13" s="1"/>
  <c r="BZ57" i="13"/>
  <c r="BZ62" i="13" s="1"/>
  <c r="S57" i="13"/>
  <c r="S62" i="13" s="1"/>
  <c r="CI57" i="13"/>
  <c r="CI62" i="13" s="1"/>
  <c r="AB57" i="13"/>
  <c r="AB62" i="13" s="1"/>
  <c r="BV57" i="13"/>
  <c r="BV62" i="13" s="1"/>
  <c r="CR57" i="13"/>
  <c r="CR62" i="13" s="1"/>
  <c r="AI57" i="13"/>
  <c r="AI62" i="13" s="1"/>
  <c r="AZ57" i="13"/>
  <c r="AZ62" i="13" s="1"/>
  <c r="BO57" i="13"/>
  <c r="BO62" i="13" s="1"/>
  <c r="AD57" i="13"/>
  <c r="AD62" i="13" s="1"/>
  <c r="CH57" i="13"/>
  <c r="CH62" i="13" s="1"/>
  <c r="CJ57" i="13"/>
  <c r="CJ62" i="13" s="1"/>
  <c r="AV57" i="13"/>
  <c r="AV62" i="13" s="1"/>
  <c r="AC57" i="13"/>
  <c r="AC62" i="13" s="1"/>
  <c r="CS57" i="13"/>
  <c r="CS62" i="13" s="1"/>
  <c r="BB57" i="13"/>
  <c r="BB62" i="13" s="1"/>
  <c r="AQ57" i="13"/>
  <c r="AQ62" i="13" s="1"/>
  <c r="W57" i="13"/>
  <c r="W62" i="13" s="1"/>
  <c r="CM57" i="13"/>
  <c r="CM62" i="13" s="1"/>
  <c r="BQ57" i="13"/>
  <c r="BQ62" i="13" s="1"/>
  <c r="AL57" i="13"/>
  <c r="AL62" i="13" s="1"/>
  <c r="AS57" i="13"/>
  <c r="AS62" i="13" s="1"/>
  <c r="BK57" i="13"/>
  <c r="BK62" i="13" s="1"/>
  <c r="G57" i="13"/>
  <c r="G62" i="13" s="1"/>
  <c r="CA57" i="13"/>
  <c r="CA62" i="13" s="1"/>
  <c r="G42" i="1"/>
  <c r="E38" i="15" l="1"/>
  <c r="D26" i="15"/>
  <c r="D38" i="15" s="1"/>
  <c r="D30" i="15" l="1"/>
  <c r="D36" i="15" l="1"/>
  <c r="D42" i="15"/>
  <c r="G45" i="1" l="1"/>
  <c r="G46" i="1"/>
  <c r="E48" i="15"/>
  <c r="E57" i="15" s="1"/>
  <c r="E62" i="15" s="1"/>
</calcChain>
</file>

<file path=xl/sharedStrings.xml><?xml version="1.0" encoding="utf-8"?>
<sst xmlns="http://schemas.openxmlformats.org/spreadsheetml/2006/main" count="1046" uniqueCount="450">
  <si>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</si>
  <si>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</si>
  <si>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</si>
  <si>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</si>
  <si>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</si>
  <si>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</si>
  <si>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</si>
  <si>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</si>
  <si>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</si>
  <si>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</si>
  <si>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</si>
  <si>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</si>
  <si>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</si>
  <si>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</si>
  <si>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</si>
  <si>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</si>
  <si>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</si>
  <si>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</si>
  <si>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</si>
  <si>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</si>
  <si>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</si>
  <si>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</si>
  <si>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</si>
  <si>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</si>
  <si>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</si>
  <si>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</si>
  <si>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</si>
  <si>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</si>
  <si>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</si>
  <si>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</si>
  <si>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</si>
  <si>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</si>
  <si>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</si>
  <si>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</si>
  <si>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</si>
  <si>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</si>
  <si>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</si>
  <si>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</si>
  <si>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</si>
  <si>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</si>
  <si>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</si>
  <si>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</si>
  <si>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</si>
  <si>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</si>
  <si>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</si>
  <si>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</si>
  <si>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</si>
  <si>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</si>
  <si>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</si>
  <si>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</si>
  <si>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</si>
  <si>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</si>
  <si>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</si>
  <si>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</si>
  <si>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</si>
  <si>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</si>
  <si>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</si>
  <si>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</si>
  <si>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</si>
  <si>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</si>
  <si>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</si>
  <si>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</si>
  <si>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</si>
  <si>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</si>
  <si>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</si>
  <si>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</si>
  <si>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</si>
  <si>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</si>
  <si>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</si>
  <si>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</si>
  <si>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</si>
  <si>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</si>
  <si>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</si>
  <si>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</si>
  <si>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</si>
  <si>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</si>
  <si>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</si>
  <si>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</si>
  <si>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</si>
  <si>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</si>
  <si>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</si>
  <si>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</si>
  <si>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</si>
  <si>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</si>
  <si>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</si>
  <si>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</si>
  <si>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</si>
  <si>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</si>
  <si>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</si>
  <si>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</si>
  <si>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</si>
  <si>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</si>
  <si>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</si>
  <si>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</si>
  <si>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</si>
  <si>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</si>
  <si>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</si>
  <si>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</si>
  <si>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</si>
  <si>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</si>
  <si>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</si>
  <si>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</si>
  <si>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</si>
  <si>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</si>
  <si>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</si>
  <si>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</si>
  <si>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</si>
  <si>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</si>
  <si>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</si>
  <si>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</si>
  <si>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</si>
  <si>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</si>
  <si>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</si>
  <si>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</si>
  <si>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</si>
  <si>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</si>
  <si>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</si>
  <si>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</si>
  <si>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</si>
  <si>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</si>
  <si>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</si>
  <si>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</si>
  <si>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</si>
  <si>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</si>
  <si>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</si>
  <si>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</si>
  <si>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</si>
  <si>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</si>
  <si>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</si>
  <si>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</si>
  <si>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</si>
  <si>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</si>
  <si>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</si>
  <si>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</si>
  <si>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</si>
  <si>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</si>
  <si>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</si>
  <si>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</si>
  <si>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</si>
  <si>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</si>
  <si>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</si>
  <si>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</si>
  <si>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</si>
  <si>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</si>
  <si>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</si>
  <si>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</si>
  <si>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</si>
  <si>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</si>
  <si>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</si>
  <si>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</si>
  <si>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</si>
  <si>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</si>
  <si>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</si>
  <si>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</si>
  <si>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</si>
  <si>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</si>
  <si>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</si>
  <si>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</si>
  <si>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</si>
  <si>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</si>
  <si>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</si>
  <si>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</si>
  <si>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</si>
  <si>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</si>
  <si>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</si>
  <si>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</si>
  <si>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</si>
  <si>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</si>
  <si>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</si>
  <si>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</si>
  <si>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</si>
  <si>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</si>
  <si>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</si>
  <si>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</si>
  <si>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</si>
  <si>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</si>
  <si>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</si>
  <si>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</si>
  <si>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</si>
  <si>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</si>
  <si>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</si>
  <si>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</si>
  <si>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</si>
  <si>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</si>
  <si>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</si>
  <si>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</si>
  <si>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</si>
  <si>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</si>
  <si>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</si>
  <si>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</si>
  <si>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</si>
  <si>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</si>
  <si>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</si>
  <si>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</si>
  <si>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</si>
  <si>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</si>
  <si>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</si>
  <si>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</si>
  <si>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</si>
  <si>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</si>
  <si>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</si>
  <si>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</si>
  <si>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</si>
  <si>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</si>
  <si>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</si>
  <si>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</si>
  <si>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</si>
  <si>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</si>
  <si>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</si>
  <si>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</si>
  <si>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</si>
  <si>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</si>
  <si>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</si>
  <si>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</si>
  <si>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</si>
  <si>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</si>
  <si>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</si>
  <si>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</si>
  <si>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</si>
  <si>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</si>
  <si>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</si>
  <si>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</si>
  <si>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</si>
  <si>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</si>
  <si>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</si>
  <si>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</si>
  <si>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</si>
  <si>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</si>
  <si>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</si>
  <si>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</si>
  <si>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</si>
  <si>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</si>
  <si>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</si>
  <si>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</si>
  <si>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</si>
  <si>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</si>
  <si>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</si>
  <si>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</si>
  <si>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</si>
  <si>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</si>
  <si>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</si>
  <si>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</si>
  <si>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</si>
  <si>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</si>
  <si>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</si>
  <si>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Ambetter of Peach State Inc.</t>
  </si>
  <si>
    <t>Individual</t>
  </si>
  <si>
    <t>Ambetter</t>
  </si>
  <si>
    <t>70893GA001</t>
  </si>
  <si>
    <t>Ambetter + Vision + Adult Dental</t>
  </si>
  <si>
    <t>70893GA003</t>
  </si>
  <si>
    <t>70893GA004</t>
  </si>
  <si>
    <t>70893GA005</t>
  </si>
  <si>
    <t>70893GA006</t>
  </si>
  <si>
    <t>70893GA007</t>
  </si>
  <si>
    <t>70893GA009</t>
  </si>
  <si>
    <t>70893GA010</t>
  </si>
  <si>
    <t>Complete Silver</t>
  </si>
  <si>
    <t>Everyday Silver</t>
  </si>
  <si>
    <t>Clear Silver</t>
  </si>
  <si>
    <t>Clear Bronze</t>
  </si>
  <si>
    <t>Choice Bronze HSA</t>
  </si>
  <si>
    <t>Complete Gold</t>
  </si>
  <si>
    <t>Focused Silver</t>
  </si>
  <si>
    <t>Elite Bronze</t>
  </si>
  <si>
    <t>Everyday Bronze</t>
  </si>
  <si>
    <t>Everyday Gold</t>
  </si>
  <si>
    <t>Clear Gold</t>
  </si>
  <si>
    <t>Elite Gold</t>
  </si>
  <si>
    <t>Standard Expanded Bronze</t>
  </si>
  <si>
    <t>Standard Gold</t>
  </si>
  <si>
    <t>Standard Silver</t>
  </si>
  <si>
    <t>Premier Silver</t>
  </si>
  <si>
    <t>CMS Standard Bronze</t>
  </si>
  <si>
    <t>Ambetter Balanced Care 29 (2022)</t>
  </si>
  <si>
    <t>Ambetter Balanced Care 28 (2022)</t>
  </si>
  <si>
    <t>Ambetter Balanced Care 31 (2022)</t>
  </si>
  <si>
    <t>Ambetter Essential Care 22 (2022)</t>
  </si>
  <si>
    <t>Ambetter Essential Care: $1500 Medical Deductible (2022)</t>
  </si>
  <si>
    <t>Complete Silver + Vision + Adult Dental</t>
  </si>
  <si>
    <t>Everyday Silver + Vision + Adult Dental</t>
  </si>
  <si>
    <t>Clear Bronze + Vision + Adult Dental</t>
  </si>
  <si>
    <t>Choice Bronze HSA + Vision + Adult Dental</t>
  </si>
  <si>
    <t>Complete Gold + Vision + Adult Dental</t>
  </si>
  <si>
    <t>Clear Silver + Vision + Adult Dental</t>
  </si>
  <si>
    <t>Focused Silver + Vision + Adult Dental</t>
  </si>
  <si>
    <t>Elite Bronze + Vision + Adult Dental</t>
  </si>
  <si>
    <t>Everyday Bronze + Vision + Adult Dental</t>
  </si>
  <si>
    <t>Everyday Gold + Vision + Adult Dental</t>
  </si>
  <si>
    <t>Clear Gold + Vision + Adult Dental</t>
  </si>
  <si>
    <t>Elite Gold + Vision + Adult Dental</t>
  </si>
  <si>
    <t>Standard Expanded Bronze + Vision + Adult Dental</t>
  </si>
  <si>
    <t>Standard Gold + Vision + Adult Dental</t>
  </si>
  <si>
    <t>Standard Silver + Vision + Adult Dental</t>
  </si>
  <si>
    <t>Premier Silver + Vision + Adult Dental</t>
  </si>
  <si>
    <t>Ambetter Balanced Care 29 (2022) + Vision + Adult Dental</t>
  </si>
  <si>
    <t>Ambetter Balanced Care 28 (2022) + Vision + Adult Dental</t>
  </si>
  <si>
    <t>Ambetter Balanced Care 31 (2022) + Vision + Adult Dental</t>
  </si>
  <si>
    <t>Ambetter Essential Care 22 (2022) + Vision + Adult Dental</t>
  </si>
  <si>
    <t>Ambetter Essential Care: $1500 Medical Deductible (2022) + Vision + Adult Dental</t>
  </si>
  <si>
    <t>Silver 201 HSA</t>
  </si>
  <si>
    <t>Silver 203</t>
  </si>
  <si>
    <t>Gold 201 HSA</t>
  </si>
  <si>
    <t>Gold 202</t>
  </si>
  <si>
    <t>Silver 224</t>
  </si>
  <si>
    <t>Silver 226</t>
  </si>
  <si>
    <t>Bronze $1500 Medical Deductible</t>
  </si>
  <si>
    <t>Ambetter Balanced Care 207 (2022)</t>
  </si>
  <si>
    <t>Ambetter Balanced Care 209 (2022)</t>
  </si>
  <si>
    <t>Ambetter Balanced Care 210 (2022)</t>
  </si>
  <si>
    <t>Ambetter Essential Care 201 (2022)</t>
  </si>
  <si>
    <t>Ambetter Essential Care 202 HSA (2022)</t>
  </si>
  <si>
    <t>Ambetter Secure Care 203 (2022)</t>
  </si>
  <si>
    <t>Silver 201 HSA + Vision + Adult Dental</t>
  </si>
  <si>
    <t>Silver 203 + Vision + Adult Dental</t>
  </si>
  <si>
    <t>Silver 224 + Vision + Adult Dental</t>
  </si>
  <si>
    <t>Silver 226 + Vision + Adult Dental</t>
  </si>
  <si>
    <t>Gold 201 HSA + Vision + Adult Dental</t>
  </si>
  <si>
    <t>Gold 202 + Vision + Adult Dental</t>
  </si>
  <si>
    <t>Ambetter Balanced Care 207 (2022) + Vision + Adult Dental</t>
  </si>
  <si>
    <t>Ambetter Balanced Care 209 (2022) + Vision + Adult Dental</t>
  </si>
  <si>
    <t>Standard Gold SELECT Wellstar</t>
  </si>
  <si>
    <t>Standard Silver SELECT Wellstar</t>
  </si>
  <si>
    <t>Everyday Wellstar SELECT Gold with Select Providers</t>
  </si>
  <si>
    <t>Complete Wellstar SELECT Silver with Select Providers</t>
  </si>
  <si>
    <t>Clear Wellstar SELECT Silver with Select Providers</t>
  </si>
  <si>
    <t>Focused Wellstar SELECT Silver with Select Providers</t>
  </si>
  <si>
    <t>Enhanced Wellstar SELECT Silver with Select Providers</t>
  </si>
  <si>
    <t>Clear Wellstar SELECT Gold with Select Providers</t>
  </si>
  <si>
    <t>Ambetter Select Wellstar Silver 31 (2022)</t>
  </si>
  <si>
    <t>Standard Gold SELECT Plus</t>
  </si>
  <si>
    <t>Standard Silver SELECT Plus</t>
  </si>
  <si>
    <t>Everyday Plus SELECT Gold with Select Providers</t>
  </si>
  <si>
    <t>Complete Plus SELECT Silver with Select Providers</t>
  </si>
  <si>
    <t>Clear Plus SELECT Silver with Select Providers</t>
  </si>
  <si>
    <t>Focused Plus SELECT Silver with Select Providers</t>
  </si>
  <si>
    <t>Enhanced Plus SELECT Silver with Select Providers</t>
  </si>
  <si>
    <t>Clear Plus SELECT Gold with Select Providers</t>
  </si>
  <si>
    <t>Ambetter Select Plus Silver 31 (2022)</t>
  </si>
  <si>
    <t>Standard Gold SELECT St. Joseph's/Candler</t>
  </si>
  <si>
    <t>Standard Silver SELECT St. Joseph's/Candler</t>
  </si>
  <si>
    <t>Complete St. Joseph's/Candler SELECT Silver with Select Providers</t>
  </si>
  <si>
    <t>Clear St. Joseph's/Candler SELECT Silver with Select Providers</t>
  </si>
  <si>
    <t>Focused St. Joseph's/Candler SELECT Silver with Select Providers</t>
  </si>
  <si>
    <t>Enhanced St. Joseph's/Candler SELECT Silver with Select Providers</t>
  </si>
  <si>
    <t>Everyday St. Joseph's/Candler SELECT Gold with Select Providers</t>
  </si>
  <si>
    <t>Clear St. Joseph's/Candler SELECT Gold with Select Providers</t>
  </si>
  <si>
    <t>Ambetter Virtual Access Bronze (Virtual PCP selection required)</t>
  </si>
  <si>
    <t>Ambetter Virtual Access Silver (Virtual PCP selection required)</t>
  </si>
  <si>
    <t>Ambetter Virtual Access Gold (Virtual PCP selection required)</t>
  </si>
  <si>
    <t>Standard Ambetter Virtual Access Expanded Bronze (Virtual PCP selection required)</t>
  </si>
  <si>
    <t>Standard Ambetter Virtual Access Gold (Virtual PCP selection required)</t>
  </si>
  <si>
    <t>Standard Ambetter Virtual Access Silver (Virtual PCP selection required)</t>
  </si>
  <si>
    <t>70893GA0010017</t>
  </si>
  <si>
    <t>70893GA0010022</t>
  </si>
  <si>
    <t>70893GA0010068</t>
  </si>
  <si>
    <t>70893GA0010006</t>
  </si>
  <si>
    <t>70893GA0010051</t>
  </si>
  <si>
    <t>70893GA0010020</t>
  </si>
  <si>
    <t>70893GA0010070</t>
  </si>
  <si>
    <t>70893GA0010067</t>
  </si>
  <si>
    <t>70893GA0010064</t>
  </si>
  <si>
    <t>70893GA0010071</t>
  </si>
  <si>
    <t>70893GA0010073</t>
  </si>
  <si>
    <t>70893GA0010074</t>
  </si>
  <si>
    <t>70893GA0010076</t>
  </si>
  <si>
    <t>70893GA0010078</t>
  </si>
  <si>
    <t>70893GA0010077</t>
  </si>
  <si>
    <t>70893GA0010009</t>
  </si>
  <si>
    <t>70893GA0010075</t>
  </si>
  <si>
    <t>70893GA0010030</t>
  </si>
  <si>
    <t>70893GA0010034</t>
  </si>
  <si>
    <t>70893GA0010069</t>
  </si>
  <si>
    <t>70893GA0010065</t>
  </si>
  <si>
    <t>70893GA0010066</t>
  </si>
  <si>
    <t>70893GA0030017</t>
  </si>
  <si>
    <t>70893GA0030013</t>
  </si>
  <si>
    <t>70893GA0030019</t>
  </si>
  <si>
    <t>70893GA0030051</t>
  </si>
  <si>
    <t>70893GA0030020</t>
  </si>
  <si>
    <t>70893GA0030072</t>
  </si>
  <si>
    <t>70893GA0030070</t>
  </si>
  <si>
    <t>70893GA0030067</t>
  </si>
  <si>
    <t>70893GA0030064</t>
  </si>
  <si>
    <t>70893GA0030071</t>
  </si>
  <si>
    <t>70893GA0030074</t>
  </si>
  <si>
    <t>70893GA0030075</t>
  </si>
  <si>
    <t>70893GA0030076</t>
  </si>
  <si>
    <t>70893GA0030078</t>
  </si>
  <si>
    <t>70893GA0030077</t>
  </si>
  <si>
    <t>70893GA0030014</t>
  </si>
  <si>
    <t>70893GA0030043</t>
  </si>
  <si>
    <t>70893GA0030034</t>
  </si>
  <si>
    <t>70893GA0030069</t>
  </si>
  <si>
    <t>70893GA0030065</t>
  </si>
  <si>
    <t>70893GA0030066</t>
  </si>
  <si>
    <t>70893GA0040023</t>
  </si>
  <si>
    <t>70893GA0040024</t>
  </si>
  <si>
    <t>70893GA0040025</t>
  </si>
  <si>
    <t>70893GA0040026</t>
  </si>
  <si>
    <t>70893GA0040028</t>
  </si>
  <si>
    <t>70893GA0040029</t>
  </si>
  <si>
    <t>70893GA0040027</t>
  </si>
  <si>
    <t>70893GA0040022</t>
  </si>
  <si>
    <t>70893GA0040021</t>
  </si>
  <si>
    <t>70893GA0040014</t>
  </si>
  <si>
    <t>70893GA0040011</t>
  </si>
  <si>
    <t>70893GA0040012</t>
  </si>
  <si>
    <t>70893GA0040018</t>
  </si>
  <si>
    <t>70893GA0050023</t>
  </si>
  <si>
    <t>70893GA0050024</t>
  </si>
  <si>
    <t>70893GA0050027</t>
  </si>
  <si>
    <t>70893GA0050028</t>
  </si>
  <si>
    <t>70893GA0050025</t>
  </si>
  <si>
    <t>70893GA0050026</t>
  </si>
  <si>
    <t>70893GA0050022</t>
  </si>
  <si>
    <t>70893GA0050021</t>
  </si>
  <si>
    <t>70893GA0060014</t>
  </si>
  <si>
    <t>70893GA0060013</t>
  </si>
  <si>
    <t>70893GA0060010</t>
  </si>
  <si>
    <t>70893GA0060006</t>
  </si>
  <si>
    <t>70893GA0060007</t>
  </si>
  <si>
    <t>70893GA0060009</t>
  </si>
  <si>
    <t>70893GA0060011</t>
  </si>
  <si>
    <t>70893GA0060012</t>
  </si>
  <si>
    <t>70893GA0060008</t>
  </si>
  <si>
    <t>70893GA0070014</t>
  </si>
  <si>
    <t>70893GA0070013</t>
  </si>
  <si>
    <t>70893GA0070010</t>
  </si>
  <si>
    <t>70893GA0070006</t>
  </si>
  <si>
    <t>70893GA0070007</t>
  </si>
  <si>
    <t>70893GA0070009</t>
  </si>
  <si>
    <t>70893GA0070011</t>
  </si>
  <si>
    <t>70893GA0070012</t>
  </si>
  <si>
    <t>70893GA0070008</t>
  </si>
  <si>
    <t>70893GA0090008</t>
  </si>
  <si>
    <t>70893GA0090007</t>
  </si>
  <si>
    <t>70893GA0090001</t>
  </si>
  <si>
    <t>70893GA0090002</t>
  </si>
  <si>
    <t>70893GA0090003</t>
  </si>
  <si>
    <t>70893GA0090004</t>
  </si>
  <si>
    <t>70893GA0090005</t>
  </si>
  <si>
    <t>70893GA0090006</t>
  </si>
  <si>
    <t>70893GA0100001</t>
  </si>
  <si>
    <t>70893GA0100002</t>
  </si>
  <si>
    <t>70893GA0100003</t>
  </si>
  <si>
    <t>70893GA0100004</t>
  </si>
  <si>
    <t>70893GA0100006</t>
  </si>
  <si>
    <t>70893GA0100005</t>
  </si>
  <si>
    <t>HMO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</si>
</sst>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4">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0" fillId="5" borderId="12"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11" xfId="0" applyFill="1" applyBorder="1" applyAlignment="1" applyProtection="1">
      <alignment horizontal="center"/>
      <protection locked="0"/>
    </xf>
    <xf numFmtId="10" fontId="0" fillId="0" borderId="12" xfId="0" applyNumberFormat="1" applyBorder="1" applyAlignment="1">
      <alignment horizontal="center"/>
    </xf>
    <xf numFmtId="10" fontId="0" fillId="0" borderId="37" xfId="0" applyNumberFormat="1" applyBorder="1" applyAlignment="1">
      <alignment horizontal="center"/>
    </xf>
    <xf numFmtId="10" fontId="0" fillId="0" borderId="11" xfId="0" applyNumberFormat="1" applyBorder="1" applyAlignment="1">
      <alignment horizontal="center"/>
    </xf>
    <xf numFmtId="170" fontId="0" fillId="0" borderId="12" xfId="0" applyNumberFormat="1" applyBorder="1" applyAlignment="1">
      <alignment horizontal="center"/>
    </xf>
    <xf numFmtId="170" fontId="0" fillId="0" borderId="37" xfId="0" applyNumberFormat="1" applyBorder="1" applyAlignment="1">
      <alignment horizontal="center"/>
    </xf>
    <xf numFmtId="170" fontId="0" fillId="0" borderId="11" xfId="0" applyNumberFormat="1" applyBorder="1" applyAlignment="1">
      <alignment horizontal="center"/>
    </xf>
    <xf numFmtId="168" fontId="0" fillId="0" borderId="12" xfId="0" applyNumberFormat="1" applyBorder="1" applyAlignment="1">
      <alignment horizontal="center"/>
    </xf>
    <xf numFmtId="168" fontId="0" fillId="0" borderId="37" xfId="0" applyNumberFormat="1" applyBorder="1" applyAlignment="1">
      <alignment horizontal="center"/>
    </xf>
    <xf numFmtId="168" fontId="0" fillId="0" borderId="11" xfId="0" applyNumberFormat="1" applyBorder="1" applyAlignment="1">
      <alignment horizontal="center"/>
    </xf>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1047750</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285750</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1390650</xdr:colOff>
          <xdr:row>0</xdr:row>
          <xdr:rowOff>0</xdr:rowOff>
        </xdr:from>
        <xdr:to>
          <xdr:col>7</xdr:col>
          <xdr:colOff>514350</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57150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171450</xdr:colOff>
          <xdr:row>1</xdr:row>
          <xdr:rowOff>57150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57150</xdr:colOff>
          <xdr:row>1</xdr:row>
          <xdr:rowOff>57150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57150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94</xdr:col>
          <xdr:colOff>228600</xdr:colOff>
          <xdr:row>0</xdr:row>
          <xdr:rowOff>0</xdr:rowOff>
        </xdr:from>
        <xdr:to>
          <xdr:col>95</xdr:col>
          <xdr:colOff>209550</xdr:colOff>
          <xdr:row>1</xdr:row>
          <xdr:rowOff>57150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1657350</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28515625" style="1" customWidth="1"/>
    <col min="21" max="16384" width="9.28515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245</v>
      </c>
      <c r="D3" s="211"/>
      <c r="E3" s="211"/>
      <c r="F3" s="211"/>
      <c r="G3" s="211"/>
      <c r="H3" s="212"/>
      <c r="K3" s="98" t="s">
        <v>215</v>
      </c>
    </row>
    <row r="4" spans="1:29" ht="18.75">
      <c r="B4" s="97" t="s">
        <v>6</v>
      </c>
      <c r="C4" s="213">
        <v>70893</v>
      </c>
      <c r="D4" s="207" t="s">
        <v>7</v>
      </c>
      <c r="E4" s="213" t="s">
        <v>37</v>
      </c>
      <c r="F4" s="4"/>
      <c r="G4" s="4"/>
      <c r="H4" s="4"/>
      <c r="K4" s="98" t="s">
        <v>216</v>
      </c>
    </row>
    <row r="5" spans="1:29" ht="15.75">
      <c r="B5" s="96" t="s">
        <v>14</v>
      </c>
      <c r="C5" s="219">
        <f>MAX('Wksh 2 - Plan Product Info'!E19:CV19)</f>
        <v>45292</v>
      </c>
      <c r="D5" s="207" t="s">
        <v>9</v>
      </c>
      <c r="E5" s="213" t="s">
        <v>246</v>
      </c>
    </row>
    <row r="6" spans="1:29" ht="18.75">
      <c r="B6" s="3"/>
      <c r="C6" s="3"/>
      <c r="D6" s="3"/>
      <c r="E6" s="3"/>
      <c r="F6" s="4"/>
    </row>
    <row r="7" spans="1:29">
      <c r="F7" s="2"/>
    </row>
    <row r="8" spans="1:29">
      <c r="B8" s="235" t="s">
        <v>3</v>
      </c>
      <c r="C8" s="236"/>
      <c r="D8" s="236"/>
      <c r="E8" s="236"/>
      <c r="F8" s="236"/>
      <c r="G8" s="236"/>
      <c r="H8" s="236"/>
      <c r="I8" s="236"/>
      <c r="J8" s="236"/>
      <c r="K8" s="236"/>
      <c r="L8" s="236"/>
      <c r="M8" s="236"/>
      <c r="N8" s="236"/>
      <c r="O8" s="236"/>
      <c r="P8" s="236"/>
      <c r="Q8" s="237"/>
      <c r="R8"/>
      <c r="S8"/>
      <c r="T8"/>
      <c r="U8"/>
      <c r="V8"/>
      <c r="W8"/>
      <c r="X8"/>
      <c r="Y8"/>
    </row>
    <row r="9" spans="1:29">
      <c r="B9" s="238"/>
      <c r="C9" s="239"/>
      <c r="D9" s="239"/>
      <c r="E9" s="239"/>
      <c r="F9" s="239"/>
      <c r="G9" s="239"/>
      <c r="H9" s="239"/>
      <c r="I9" s="239"/>
      <c r="J9" s="239"/>
      <c r="K9" s="239"/>
      <c r="L9" s="239"/>
      <c r="M9" s="239"/>
      <c r="N9" s="239"/>
      <c r="O9" s="239"/>
      <c r="P9" s="239"/>
      <c r="Q9" s="240"/>
      <c r="R9"/>
      <c r="S9"/>
      <c r="T9"/>
      <c r="U9"/>
      <c r="V9"/>
      <c r="W9"/>
      <c r="X9"/>
      <c r="Y9"/>
    </row>
    <row r="10" spans="1:29">
      <c r="B10" s="19"/>
      <c r="F10" s="2"/>
    </row>
    <row r="11" spans="1:29">
      <c r="B11" s="28" t="s">
        <v>85</v>
      </c>
      <c r="E11" s="29"/>
      <c r="F11" s="2"/>
    </row>
    <row r="12" spans="1:29">
      <c r="B12" s="75" t="s">
        <v>21</v>
      </c>
      <c r="D12" s="214">
        <v>44562</v>
      </c>
      <c r="E12" s="31" t="s">
        <v>11</v>
      </c>
      <c r="F12" s="84">
        <f>EDATE(D12,12)-1</f>
        <v>44926</v>
      </c>
      <c r="H12" s="33"/>
      <c r="I12" s="32"/>
    </row>
    <row r="13" spans="1:29">
      <c r="B13" s="30"/>
      <c r="E13" s="69" t="s">
        <v>2</v>
      </c>
      <c r="F13" s="34" t="s">
        <v>23</v>
      </c>
      <c r="G13"/>
      <c r="J13"/>
      <c r="P13"/>
      <c r="Q13"/>
      <c r="U13"/>
      <c r="V13"/>
      <c r="W13"/>
      <c r="X13"/>
      <c r="Y13"/>
      <c r="AC13" s="35"/>
    </row>
    <row r="14" spans="1:29">
      <c r="B14" s="244" t="s">
        <v>86</v>
      </c>
      <c r="C14" s="245"/>
      <c r="D14" s="246"/>
      <c r="E14" s="102">
        <v>2320234008.4400001</v>
      </c>
      <c r="F14" s="103">
        <f>E14/E19</f>
        <v>603.96604502789546</v>
      </c>
      <c r="G14" s="36"/>
      <c r="J14"/>
      <c r="P14"/>
      <c r="Q14"/>
      <c r="U14"/>
      <c r="V14"/>
      <c r="W14"/>
      <c r="X14"/>
      <c r="Y14"/>
      <c r="AC14" s="35"/>
    </row>
    <row r="15" spans="1:29">
      <c r="B15" s="247" t="s">
        <v>87</v>
      </c>
      <c r="C15" s="247"/>
      <c r="D15" s="247"/>
      <c r="E15" s="102">
        <v>242765892.78999999</v>
      </c>
      <c r="F15" s="104">
        <f>E15/E19</f>
        <v>63.192917439660896</v>
      </c>
      <c r="G15" s="36"/>
      <c r="J15"/>
      <c r="P15"/>
      <c r="Q15"/>
      <c r="U15"/>
      <c r="V15"/>
      <c r="W15"/>
      <c r="X15"/>
      <c r="Y15"/>
      <c r="AC15" s="35"/>
    </row>
    <row r="16" spans="1:29">
      <c r="B16" s="247" t="s">
        <v>88</v>
      </c>
      <c r="C16" s="247"/>
      <c r="D16" s="247"/>
      <c r="E16" s="102">
        <v>1811279643.9400001</v>
      </c>
      <c r="F16" s="104">
        <f>E16/E19</f>
        <v>471.48322066250995</v>
      </c>
      <c r="G16" s="36"/>
      <c r="J16"/>
      <c r="P16"/>
      <c r="Q16"/>
      <c r="U16"/>
      <c r="V16"/>
      <c r="W16"/>
      <c r="X16"/>
      <c r="Y16"/>
      <c r="AC16" s="35"/>
    </row>
    <row r="17" spans="2:31">
      <c r="B17" s="247" t="s">
        <v>89</v>
      </c>
      <c r="C17" s="247"/>
      <c r="D17" s="247"/>
      <c r="E17" s="105">
        <v>280095694.01999998</v>
      </c>
      <c r="F17" s="106">
        <f>E17/E19</f>
        <v>72.910011632982901</v>
      </c>
      <c r="G17" s="37"/>
      <c r="H17" s="38"/>
      <c r="I17" s="32"/>
      <c r="J17"/>
      <c r="O17" s="39"/>
      <c r="P17"/>
      <c r="Q17"/>
      <c r="U17"/>
      <c r="V17"/>
      <c r="W17"/>
      <c r="X17"/>
      <c r="Y17"/>
      <c r="AC17" s="35"/>
    </row>
    <row r="18" spans="2:31">
      <c r="B18" s="247" t="s">
        <v>90</v>
      </c>
      <c r="C18" s="247"/>
      <c r="D18" s="247"/>
      <c r="E18" s="105">
        <v>2106317102.78</v>
      </c>
      <c r="F18" s="107">
        <f>E18/E19</f>
        <v>548.2826324901481</v>
      </c>
      <c r="G18" s="40"/>
      <c r="H18" s="38"/>
      <c r="I18" s="32"/>
      <c r="J18"/>
      <c r="P18"/>
      <c r="Q18"/>
      <c r="U18"/>
      <c r="V18"/>
      <c r="W18"/>
      <c r="X18"/>
      <c r="Y18"/>
      <c r="AC18" s="35"/>
    </row>
    <row r="19" spans="2:31">
      <c r="B19" s="247" t="s">
        <v>22</v>
      </c>
      <c r="C19" s="247"/>
      <c r="D19" s="247"/>
      <c r="E19" s="215">
        <f>'Wksh 2 - Plan Product Info'!D33</f>
        <v>3841663</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41" t="s">
        <v>92</v>
      </c>
      <c r="E22" s="242"/>
      <c r="F22" s="243" t="s">
        <v>93</v>
      </c>
      <c r="G22" s="243"/>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132.47999999999999</v>
      </c>
      <c r="D24" s="122">
        <v>1.0764240261560376</v>
      </c>
      <c r="E24" s="125">
        <v>1.0135902736898306</v>
      </c>
      <c r="F24" s="122">
        <v>1.0764240261560376</v>
      </c>
      <c r="G24" s="127">
        <v>1.0135902736898306</v>
      </c>
      <c r="H24" s="131">
        <f t="shared" ref="H24:H29" si="0">PRODUCT(C24:G24)</f>
        <v>157.70372585495116</v>
      </c>
      <c r="I24" s="38"/>
      <c r="J24" s="32"/>
      <c r="K24" s="38"/>
      <c r="L24"/>
      <c r="R24"/>
      <c r="S24"/>
      <c r="W24"/>
      <c r="X24"/>
      <c r="Y24"/>
      <c r="Z24"/>
      <c r="AA24"/>
      <c r="AE24" s="35"/>
    </row>
    <row r="25" spans="2:31">
      <c r="B25" s="111" t="s">
        <v>19</v>
      </c>
      <c r="C25" s="130">
        <v>149.36000000000001</v>
      </c>
      <c r="D25" s="123">
        <v>1.0764240261560376</v>
      </c>
      <c r="E25" s="124">
        <v>1.0185346164883178</v>
      </c>
      <c r="F25" s="123">
        <v>1.0764240261560376</v>
      </c>
      <c r="G25" s="126">
        <v>1.0185346164883178</v>
      </c>
      <c r="H25" s="132">
        <f t="shared" si="0"/>
        <v>179.53646013100075</v>
      </c>
      <c r="I25" s="38"/>
      <c r="J25" s="32"/>
      <c r="K25" s="38"/>
      <c r="L25"/>
      <c r="R25"/>
      <c r="S25"/>
      <c r="W25"/>
      <c r="X25"/>
      <c r="Y25"/>
      <c r="Z25"/>
      <c r="AA25"/>
      <c r="AE25" s="35"/>
    </row>
    <row r="26" spans="2:31">
      <c r="B26" s="111" t="s">
        <v>0</v>
      </c>
      <c r="C26" s="130">
        <v>159.94</v>
      </c>
      <c r="D26" s="123">
        <v>1.006711117884562</v>
      </c>
      <c r="E26" s="124">
        <v>1.0185346164883178</v>
      </c>
      <c r="F26" s="123">
        <v>1.006711117884562</v>
      </c>
      <c r="G26" s="128">
        <v>1.0185346164883178</v>
      </c>
      <c r="H26" s="132">
        <f t="shared" si="0"/>
        <v>168.15833902227766</v>
      </c>
      <c r="I26" s="38"/>
      <c r="J26" s="32"/>
      <c r="K26" s="38"/>
      <c r="L26"/>
      <c r="R26"/>
      <c r="S26"/>
      <c r="W26"/>
      <c r="X26"/>
      <c r="Y26"/>
      <c r="Z26"/>
      <c r="AA26"/>
      <c r="AE26" s="35"/>
    </row>
    <row r="27" spans="2:31">
      <c r="B27" s="111" t="s">
        <v>18</v>
      </c>
      <c r="C27" s="130">
        <v>12.97</v>
      </c>
      <c r="D27" s="123">
        <v>1.0025521553729244</v>
      </c>
      <c r="E27" s="124">
        <v>1.018534616488318</v>
      </c>
      <c r="F27" s="123">
        <v>1.0025521553729244</v>
      </c>
      <c r="G27" s="126">
        <v>1.018534616488318</v>
      </c>
      <c r="H27" s="132">
        <f t="shared" si="0"/>
        <v>13.524010946845522</v>
      </c>
      <c r="I27" s="38"/>
      <c r="J27" s="32"/>
      <c r="K27" s="38"/>
      <c r="L27"/>
      <c r="R27"/>
      <c r="S27"/>
      <c r="W27"/>
      <c r="X27"/>
      <c r="Y27"/>
      <c r="Z27"/>
      <c r="AA27"/>
      <c r="AE27" s="35"/>
    </row>
    <row r="28" spans="2:31">
      <c r="B28" s="111" t="s">
        <v>1</v>
      </c>
      <c r="C28" s="130">
        <v>2.82</v>
      </c>
      <c r="D28" s="120">
        <v>1</v>
      </c>
      <c r="E28" s="121">
        <v>1</v>
      </c>
      <c r="F28" s="123">
        <v>1</v>
      </c>
      <c r="G28" s="126">
        <v>1</v>
      </c>
      <c r="H28" s="132">
        <f t="shared" si="0"/>
        <v>2.82</v>
      </c>
      <c r="I28" s="38"/>
      <c r="J28" s="32"/>
      <c r="K28" s="38"/>
      <c r="L28"/>
      <c r="R28"/>
      <c r="S28"/>
      <c r="W28"/>
      <c r="X28"/>
      <c r="Y28"/>
      <c r="Z28"/>
      <c r="AA28"/>
      <c r="AE28" s="35"/>
    </row>
    <row r="29" spans="2:31" ht="15.75" thickBot="1">
      <c r="B29" s="111" t="s">
        <v>20</v>
      </c>
      <c r="C29" s="114">
        <v>146.4</v>
      </c>
      <c r="D29" s="119">
        <v>1.0458409308648871</v>
      </c>
      <c r="E29" s="118">
        <v>1.0213345203736173</v>
      </c>
      <c r="F29" s="119">
        <v>1.0458409308648871</v>
      </c>
      <c r="G29" s="85">
        <v>1.0213345203736173</v>
      </c>
      <c r="H29" s="116">
        <f t="shared" si="0"/>
        <v>167.03534105449648</v>
      </c>
      <c r="I29" s="38"/>
      <c r="J29" s="32"/>
      <c r="K29" s="38"/>
      <c r="L29"/>
      <c r="R29"/>
      <c r="S29"/>
      <c r="W29"/>
      <c r="X29"/>
      <c r="Y29"/>
      <c r="Z29"/>
      <c r="AA29"/>
      <c r="AE29" s="35"/>
    </row>
    <row r="30" spans="2:31" ht="15.75" thickBot="1">
      <c r="B30" s="112" t="s">
        <v>2</v>
      </c>
      <c r="C30" s="113">
        <f>SUM(C24:C29)</f>
        <v>603.97</v>
      </c>
      <c r="D30" s="232"/>
      <c r="E30" s="233"/>
      <c r="F30" s="233"/>
      <c r="G30" s="233"/>
      <c r="H30" s="144">
        <f>SUM(H24:H29)</f>
        <v>688.77787700957163</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1.0016224085257637</v>
      </c>
      <c r="G32" s="40"/>
      <c r="H32" s="38"/>
      <c r="I32" s="38"/>
      <c r="J32" s="32"/>
      <c r="K32" s="38"/>
      <c r="L32"/>
      <c r="R32"/>
      <c r="S32"/>
      <c r="W32"/>
      <c r="X32"/>
      <c r="Y32"/>
      <c r="Z32"/>
      <c r="AA32"/>
      <c r="AE32" s="35"/>
    </row>
    <row r="33" spans="2:31">
      <c r="B33" s="223" t="s">
        <v>99</v>
      </c>
      <c r="C33" s="224"/>
      <c r="D33" s="224"/>
      <c r="E33" s="225"/>
      <c r="F33" s="136">
        <v>0.98223083543407119</v>
      </c>
      <c r="G33" s="40"/>
      <c r="H33" s="38"/>
      <c r="I33" s="38"/>
      <c r="J33" s="32"/>
      <c r="K33" s="38"/>
      <c r="L33"/>
      <c r="R33"/>
      <c r="S33"/>
      <c r="W33"/>
      <c r="X33"/>
      <c r="Y33"/>
      <c r="Z33"/>
      <c r="AA33"/>
      <c r="AE33" s="35"/>
    </row>
    <row r="34" spans="2:31">
      <c r="B34" s="223" t="s">
        <v>100</v>
      </c>
      <c r="C34" s="224"/>
      <c r="D34" s="224"/>
      <c r="E34" s="225"/>
      <c r="F34" s="136">
        <v>0.99407985591216363</v>
      </c>
      <c r="G34" s="40"/>
      <c r="H34" s="38"/>
      <c r="I34" s="38"/>
      <c r="J34" s="32"/>
      <c r="K34" s="38"/>
      <c r="L34"/>
      <c r="R34"/>
      <c r="S34"/>
      <c r="W34"/>
      <c r="X34"/>
      <c r="Y34"/>
      <c r="Z34"/>
      <c r="AA34"/>
      <c r="AE34" s="35"/>
    </row>
    <row r="35" spans="2:31">
      <c r="B35" s="223" t="s">
        <v>17</v>
      </c>
      <c r="C35" s="224"/>
      <c r="D35" s="224"/>
      <c r="E35" s="225"/>
      <c r="F35" s="136">
        <v>1.0235205064463015</v>
      </c>
      <c r="G35" s="40"/>
      <c r="H35" s="38"/>
      <c r="I35" s="38"/>
      <c r="J35" s="32"/>
      <c r="K35" s="38"/>
      <c r="L35"/>
      <c r="R35"/>
      <c r="S35"/>
      <c r="W35"/>
      <c r="X35"/>
      <c r="Y35"/>
      <c r="Z35"/>
      <c r="AA35"/>
      <c r="AE35" s="35"/>
    </row>
    <row r="36" spans="2:31">
      <c r="B36" s="223" t="s">
        <v>220</v>
      </c>
      <c r="C36" s="224"/>
      <c r="D36" s="137">
        <f>IF(C5&lt;&gt;"",C5,"")</f>
        <v>45292</v>
      </c>
      <c r="E36" s="138"/>
      <c r="F36" s="135">
        <f>H30*PRODUCT(F32:F35)</f>
        <v>689.46878245090102</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0</v>
      </c>
      <c r="G38" s="40"/>
      <c r="H38" s="38"/>
      <c r="I38" s="38"/>
      <c r="J38" s="32"/>
      <c r="K38" s="38"/>
      <c r="L38"/>
      <c r="R38"/>
      <c r="S38"/>
      <c r="W38"/>
      <c r="X38"/>
      <c r="Y38"/>
      <c r="Z38"/>
      <c r="AA38"/>
      <c r="AE38" s="35"/>
    </row>
    <row r="39" spans="2:31">
      <c r="B39" s="223" t="s">
        <v>219</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f>IF(C5&lt;&gt;"",C5,"")</f>
        <v>45292</v>
      </c>
      <c r="E42" s="139"/>
      <c r="F42" s="135">
        <f>ROUND(F39*F36+(1-F39)*F38,2)</f>
        <v>689.47</v>
      </c>
      <c r="G42" s="140">
        <f>F42*F48</f>
        <v>2623149977.8299999</v>
      </c>
      <c r="H42" s="38"/>
      <c r="I42" s="38"/>
      <c r="J42" s="32"/>
      <c r="K42" s="38"/>
      <c r="L42"/>
      <c r="R42"/>
      <c r="S42"/>
      <c r="W42"/>
      <c r="X42"/>
      <c r="Y42"/>
      <c r="Z42"/>
      <c r="AA42"/>
      <c r="AE42" s="35"/>
    </row>
    <row r="43" spans="2:31">
      <c r="B43" s="223" t="s">
        <v>87</v>
      </c>
      <c r="C43" s="224"/>
      <c r="D43" s="224"/>
      <c r="E43" s="225"/>
      <c r="F43" s="133">
        <v>67.13</v>
      </c>
      <c r="G43" s="140">
        <f>F43*F48</f>
        <v>255402059.56999999</v>
      </c>
      <c r="H43" s="38"/>
      <c r="I43" s="38"/>
      <c r="J43" s="32"/>
      <c r="K43" s="38"/>
      <c r="L43"/>
      <c r="R43"/>
      <c r="S43"/>
      <c r="W43"/>
      <c r="X43"/>
      <c r="Y43"/>
      <c r="Z43"/>
      <c r="AA43"/>
      <c r="AE43" s="35"/>
    </row>
    <row r="44" spans="2:31">
      <c r="B44" s="223" t="s">
        <v>138</v>
      </c>
      <c r="C44" s="224"/>
      <c r="D44" s="224"/>
      <c r="E44" s="225"/>
      <c r="F44" s="133">
        <v>82.97</v>
      </c>
      <c r="G44" s="140">
        <f>F44*F48</f>
        <v>315666749.32999998</v>
      </c>
      <c r="H44" s="38"/>
      <c r="I44" s="38"/>
      <c r="J44" s="32"/>
      <c r="K44" s="38"/>
      <c r="L44"/>
      <c r="R44"/>
      <c r="S44"/>
      <c r="W44"/>
      <c r="X44"/>
      <c r="Y44"/>
      <c r="Z44"/>
      <c r="AA44"/>
      <c r="AE44" s="35"/>
    </row>
    <row r="45" spans="2:31">
      <c r="B45" s="223" t="s">
        <v>102</v>
      </c>
      <c r="C45" s="224"/>
      <c r="D45" s="224"/>
      <c r="E45" s="225"/>
      <c r="F45" s="142">
        <v>3.1769231417214105E-2</v>
      </c>
      <c r="G45" s="141">
        <f>F45*F46*F48</f>
        <v>67332131.613694161</v>
      </c>
      <c r="H45" s="38"/>
      <c r="I45" s="38"/>
      <c r="J45" s="32"/>
      <c r="K45" s="38"/>
      <c r="L45"/>
      <c r="R45"/>
      <c r="S45"/>
      <c r="W45"/>
      <c r="X45"/>
      <c r="Y45"/>
      <c r="Z45"/>
      <c r="AA45"/>
      <c r="AE45" s="35"/>
    </row>
    <row r="46" spans="2:31">
      <c r="B46" s="223" t="s">
        <v>122</v>
      </c>
      <c r="C46" s="224"/>
      <c r="D46" s="224"/>
      <c r="E46" s="225"/>
      <c r="F46" s="135">
        <f>(F42-F43-F44)/(1-F45)</f>
        <v>557.06760981112393</v>
      </c>
      <c r="G46" s="143">
        <f>F46*F48</f>
        <v>2119413300.5436943</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3804589</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34" t="s">
        <v>148</v>
      </c>
      <c r="C50" s="234"/>
      <c r="D50" s="234"/>
      <c r="E50" s="234"/>
      <c r="F50" s="234"/>
      <c r="G50" s="234"/>
      <c r="H50" s="234"/>
      <c r="I50" s="234"/>
      <c r="J50" s="234"/>
      <c r="K50" s="234"/>
      <c r="L50" s="234"/>
      <c r="M50" s="234"/>
      <c r="N50" s="234"/>
      <c r="O50" s="234"/>
      <c r="P50" s="234"/>
      <c r="Q50" s="234"/>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34"/>
      <c r="B112" s="234"/>
      <c r="C112" s="234"/>
      <c r="D112" s="234"/>
      <c r="E112" s="234"/>
      <c r="F112" s="234"/>
      <c r="G112" s="234"/>
      <c r="H112" s="234"/>
      <c r="I112" s="234"/>
      <c r="J112" s="234"/>
      <c r="K112" s="234"/>
      <c r="L112" s="234"/>
      <c r="M112" s="234"/>
      <c r="N112" s="234"/>
      <c r="O112" s="234"/>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algorithmName="SHA-512" hashValue="qik3BpsO1bT2bhryCMqbJ6wYHW3AosQY5Qm3aqsggqdI4hz4JSbiZMncN0KBZsd0OPf94AZ14wf/UnUSRqTt3A==" saltValue="O+GYHpBr76Y3Q31Fsm2T7A=="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1047750</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285750</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1390650</xdr:colOff>
                    <xdr:row>0</xdr:row>
                    <xdr:rowOff>0</xdr:rowOff>
                  </from>
                  <to>
                    <xdr:col>7</xdr:col>
                    <xdr:colOff>514350</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Z83"/>
  <sheetViews>
    <sheetView showGridLines="0" tabSelected="1" zoomScaleNormal="100" workbookViewId="0">
      <selection activeCell="A6" sqref="A6"/>
    </sheetView>
  </sheetViews>
  <sheetFormatPr defaultColWidth="8.7109375" defaultRowHeight="15" zeroHeight="1"/>
  <cols>
    <col min="1" max="1" width="17.7109375" customWidth="1"/>
    <col min="2" max="2" width="6.7109375" customWidth="1"/>
    <col min="3" max="3" width="41.7109375" customWidth="1"/>
    <col min="4" max="4" width="14.5703125" customWidth="1"/>
    <col min="5" max="100" width="15.7109375" customWidth="1"/>
  </cols>
  <sheetData>
    <row r="1" spans="1:100" ht="18.600000000000001" customHeight="1">
      <c r="A1" s="100" t="s">
        <v>226</v>
      </c>
      <c r="C1" s="16" t="s">
        <v>221</v>
      </c>
      <c r="D1" s="16"/>
      <c r="E1" s="3"/>
      <c r="F1" s="3"/>
      <c r="G1" s="3"/>
      <c r="H1" s="4"/>
      <c r="I1" s="1"/>
      <c r="J1" s="1"/>
      <c r="K1" s="1"/>
      <c r="L1" s="1"/>
      <c r="M1" s="1"/>
      <c r="N1" s="1"/>
      <c r="O1" s="1"/>
      <c r="P1" s="98" t="s">
        <v>213</v>
      </c>
      <c r="Q1" s="1"/>
      <c r="S1" s="1"/>
      <c r="T1" s="1"/>
      <c r="U1" s="1"/>
    </row>
    <row r="2" spans="1:100" ht="18.75">
      <c r="C2" s="3"/>
      <c r="D2" s="3"/>
      <c r="E2" s="3"/>
      <c r="F2" s="3"/>
      <c r="G2" s="3"/>
      <c r="H2" s="4"/>
      <c r="I2" s="1"/>
      <c r="J2" s="1"/>
      <c r="K2" s="1"/>
      <c r="L2" s="1"/>
      <c r="M2" s="1"/>
      <c r="N2" s="1"/>
      <c r="O2" s="1"/>
      <c r="P2" s="98" t="s">
        <v>214</v>
      </c>
      <c r="Q2" s="1"/>
      <c r="S2" s="1"/>
      <c r="T2" s="1"/>
      <c r="U2" s="1"/>
    </row>
    <row r="3" spans="1:100" ht="18.75">
      <c r="C3" s="96" t="s">
        <v>5</v>
      </c>
      <c r="D3" s="93" t="str">
        <f>IF('Wksh 1 - Market Experience'!C3&lt;&gt;"", 'Wksh 1 - Market Experience'!C3,"")</f>
        <v>Ambetter of Peach State Inc.</v>
      </c>
      <c r="F3" s="6"/>
      <c r="G3" s="6"/>
      <c r="J3" s="1"/>
      <c r="K3" s="1"/>
      <c r="P3" s="99" t="s">
        <v>215</v>
      </c>
    </row>
    <row r="4" spans="1:100" ht="18.75">
      <c r="C4" s="97" t="s">
        <v>6</v>
      </c>
      <c r="D4" s="94">
        <f>IF('Wksh 1 - Market Experience'!C4&lt;&gt;"", 'Wksh 1 - Market Experience'!C4,"")</f>
        <v>70893</v>
      </c>
      <c r="E4" s="96" t="s">
        <v>7</v>
      </c>
      <c r="F4" s="101" t="str">
        <f>IF('Wksh 1 - Market Experience'!E4&lt;&gt;"",'Wksh 1 - Market Experience'!E4,"")</f>
        <v>GA</v>
      </c>
      <c r="G4" s="7"/>
      <c r="J4" s="1"/>
      <c r="K4" s="1"/>
      <c r="P4" s="99" t="s">
        <v>216</v>
      </c>
    </row>
    <row r="5" spans="1:100" ht="15.75">
      <c r="C5" s="96" t="s">
        <v>14</v>
      </c>
      <c r="D5" s="95">
        <f>IF('Wksh 1 - Market Experience'!C5&lt;&gt;"", 'Wksh 1 - Market Experience'!C5,"")</f>
        <v>45292</v>
      </c>
      <c r="E5" s="96" t="s">
        <v>9</v>
      </c>
      <c r="F5" s="101" t="str">
        <f>IF('Wksh 1 - Market Experience'!E5&lt;&gt;"",'Wksh 1 - Market Experience'!E5,"")</f>
        <v>Individual</v>
      </c>
      <c r="G5" s="1"/>
      <c r="H5" s="1"/>
      <c r="I5" s="1"/>
      <c r="J5" s="1"/>
      <c r="K5" s="1"/>
      <c r="L5" s="1"/>
      <c r="P5" s="99" t="s">
        <v>223</v>
      </c>
    </row>
    <row r="6" spans="1:100">
      <c r="C6" s="1"/>
      <c r="D6" s="1"/>
      <c r="E6" s="1"/>
      <c r="F6" s="1"/>
      <c r="G6" s="1"/>
      <c r="H6" s="2"/>
      <c r="I6" s="1"/>
      <c r="J6" s="1"/>
      <c r="K6" s="1"/>
      <c r="L6" s="1"/>
      <c r="M6" s="1"/>
      <c r="N6" s="1"/>
      <c r="O6" s="1"/>
      <c r="P6" s="99" t="s">
        <v>224</v>
      </c>
      <c r="Q6" s="1"/>
      <c r="R6" s="1"/>
      <c r="S6" s="1"/>
      <c r="T6" s="1"/>
      <c r="U6" s="1"/>
    </row>
    <row r="7" spans="1:100">
      <c r="C7" s="260" t="s">
        <v>15</v>
      </c>
      <c r="D7" s="261"/>
      <c r="E7" s="261"/>
      <c r="F7" s="261"/>
      <c r="G7" s="261"/>
      <c r="H7" s="261"/>
      <c r="I7" s="261"/>
      <c r="J7" s="261"/>
      <c r="K7" s="261"/>
      <c r="L7" s="261"/>
      <c r="M7" s="261"/>
      <c r="N7" s="261"/>
      <c r="O7" s="261"/>
      <c r="P7" s="261"/>
      <c r="Q7" s="261"/>
      <c r="R7" s="261"/>
      <c r="S7" s="261"/>
      <c r="T7" s="261"/>
      <c r="U7" s="261"/>
      <c r="V7" s="262"/>
    </row>
    <row r="8" spans="1:100">
      <c r="C8" s="263"/>
      <c r="D8" s="264"/>
      <c r="E8" s="264"/>
      <c r="F8" s="264"/>
      <c r="G8" s="264"/>
      <c r="H8" s="264"/>
      <c r="I8" s="264"/>
      <c r="J8" s="264"/>
      <c r="K8" s="264"/>
      <c r="L8" s="264"/>
      <c r="M8" s="264"/>
      <c r="N8" s="264"/>
      <c r="O8" s="264"/>
      <c r="P8" s="264"/>
      <c r="Q8" s="264"/>
      <c r="R8" s="264"/>
      <c r="S8" s="264"/>
      <c r="T8" s="264"/>
      <c r="U8" s="264"/>
      <c r="V8" s="265"/>
    </row>
    <row r="9" spans="1:100">
      <c r="B9" t="s">
        <v>103</v>
      </c>
      <c r="C9" s="19" t="s">
        <v>77</v>
      </c>
      <c r="D9" s="19"/>
      <c r="E9" s="17"/>
      <c r="F9" s="17"/>
      <c r="G9" s="17"/>
      <c r="H9" s="18"/>
      <c r="I9" s="17"/>
      <c r="J9" s="17"/>
      <c r="K9" s="17"/>
      <c r="L9" s="17"/>
      <c r="M9" s="17"/>
      <c r="N9" s="17"/>
      <c r="O9" s="17"/>
      <c r="P9" s="17"/>
      <c r="Q9" s="17"/>
      <c r="R9" s="17"/>
      <c r="S9" s="17"/>
      <c r="T9" s="17"/>
      <c r="U9" s="17"/>
    </row>
    <row r="10" spans="1:100" ht="15" customHeight="1">
      <c r="B10" s="146" t="s">
        <v>155</v>
      </c>
      <c r="C10" s="168" t="s">
        <v>104</v>
      </c>
      <c r="D10" s="220"/>
      <c r="E10" s="248" t="s">
        <v>247</v>
      </c>
      <c r="F10" s="249"/>
      <c r="G10" s="249"/>
      <c r="H10" s="249"/>
      <c r="I10" s="249"/>
      <c r="J10" s="249"/>
      <c r="K10" s="249"/>
      <c r="L10" s="249"/>
      <c r="M10" s="249"/>
      <c r="N10" s="249"/>
      <c r="O10" s="249"/>
      <c r="P10" s="249"/>
      <c r="Q10" s="249"/>
      <c r="R10" s="249"/>
      <c r="S10" s="249"/>
      <c r="T10" s="249"/>
      <c r="U10" s="249"/>
      <c r="V10" s="249"/>
      <c r="W10" s="249"/>
      <c r="X10" s="249"/>
      <c r="Y10" s="249"/>
      <c r="Z10" s="250"/>
      <c r="AA10" s="248" t="s">
        <v>249</v>
      </c>
      <c r="AB10" s="249"/>
      <c r="AC10" s="249"/>
      <c r="AD10" s="249"/>
      <c r="AE10" s="249"/>
      <c r="AF10" s="249"/>
      <c r="AG10" s="249"/>
      <c r="AH10" s="249"/>
      <c r="AI10" s="249"/>
      <c r="AJ10" s="249"/>
      <c r="AK10" s="249"/>
      <c r="AL10" s="249"/>
      <c r="AM10" s="249"/>
      <c r="AN10" s="249"/>
      <c r="AO10" s="249"/>
      <c r="AP10" s="249"/>
      <c r="AQ10" s="249"/>
      <c r="AR10" s="249"/>
      <c r="AS10" s="249"/>
      <c r="AT10" s="249"/>
      <c r="AU10" s="250"/>
      <c r="AV10" s="248" t="s">
        <v>247</v>
      </c>
      <c r="AW10" s="249"/>
      <c r="AX10" s="249"/>
      <c r="AY10" s="249"/>
      <c r="AZ10" s="249"/>
      <c r="BA10" s="249"/>
      <c r="BB10" s="249"/>
      <c r="BC10" s="249"/>
      <c r="BD10" s="249"/>
      <c r="BE10" s="249"/>
      <c r="BF10" s="249"/>
      <c r="BG10" s="249"/>
      <c r="BH10" s="250"/>
      <c r="BI10" s="248" t="s">
        <v>249</v>
      </c>
      <c r="BJ10" s="249"/>
      <c r="BK10" s="249"/>
      <c r="BL10" s="249"/>
      <c r="BM10" s="249"/>
      <c r="BN10" s="249"/>
      <c r="BO10" s="249"/>
      <c r="BP10" s="250"/>
      <c r="BQ10" s="248" t="s">
        <v>247</v>
      </c>
      <c r="BR10" s="249"/>
      <c r="BS10" s="249"/>
      <c r="BT10" s="249"/>
      <c r="BU10" s="249"/>
      <c r="BV10" s="249"/>
      <c r="BW10" s="249"/>
      <c r="BX10" s="249"/>
      <c r="BY10" s="250"/>
      <c r="BZ10" s="248" t="s">
        <v>247</v>
      </c>
      <c r="CA10" s="249"/>
      <c r="CB10" s="249"/>
      <c r="CC10" s="249"/>
      <c r="CD10" s="249"/>
      <c r="CE10" s="249"/>
      <c r="CF10" s="249"/>
      <c r="CG10" s="249"/>
      <c r="CH10" s="250"/>
      <c r="CI10" s="248" t="s">
        <v>247</v>
      </c>
      <c r="CJ10" s="249"/>
      <c r="CK10" s="249"/>
      <c r="CL10" s="249"/>
      <c r="CM10" s="249"/>
      <c r="CN10" s="249"/>
      <c r="CO10" s="249"/>
      <c r="CP10" s="250"/>
      <c r="CQ10" s="248" t="s">
        <v>247</v>
      </c>
      <c r="CR10" s="249"/>
      <c r="CS10" s="249"/>
      <c r="CT10" s="249"/>
      <c r="CU10" s="249"/>
      <c r="CV10" s="250"/>
    </row>
    <row r="11" spans="1:100" ht="15" customHeight="1">
      <c r="B11" s="146" t="s">
        <v>156</v>
      </c>
      <c r="C11" s="168" t="s">
        <v>105</v>
      </c>
      <c r="D11" s="221"/>
      <c r="E11" s="248" t="s">
        <v>248</v>
      </c>
      <c r="F11" s="249"/>
      <c r="G11" s="249"/>
      <c r="H11" s="249"/>
      <c r="I11" s="249"/>
      <c r="J11" s="249"/>
      <c r="K11" s="249"/>
      <c r="L11" s="249"/>
      <c r="M11" s="249"/>
      <c r="N11" s="249"/>
      <c r="O11" s="249"/>
      <c r="P11" s="249"/>
      <c r="Q11" s="249"/>
      <c r="R11" s="249"/>
      <c r="S11" s="249"/>
      <c r="T11" s="249"/>
      <c r="U11" s="249"/>
      <c r="V11" s="249"/>
      <c r="W11" s="249"/>
      <c r="X11" s="249"/>
      <c r="Y11" s="249"/>
      <c r="Z11" s="250"/>
      <c r="AA11" s="248" t="s">
        <v>250</v>
      </c>
      <c r="AB11" s="249"/>
      <c r="AC11" s="249"/>
      <c r="AD11" s="249"/>
      <c r="AE11" s="249"/>
      <c r="AF11" s="249"/>
      <c r="AG11" s="249"/>
      <c r="AH11" s="249"/>
      <c r="AI11" s="249"/>
      <c r="AJ11" s="249"/>
      <c r="AK11" s="249"/>
      <c r="AL11" s="249"/>
      <c r="AM11" s="249"/>
      <c r="AN11" s="249"/>
      <c r="AO11" s="249"/>
      <c r="AP11" s="249"/>
      <c r="AQ11" s="249"/>
      <c r="AR11" s="249"/>
      <c r="AS11" s="249"/>
      <c r="AT11" s="249"/>
      <c r="AU11" s="250"/>
      <c r="AV11" s="248" t="s">
        <v>251</v>
      </c>
      <c r="AW11" s="249"/>
      <c r="AX11" s="249"/>
      <c r="AY11" s="249"/>
      <c r="AZ11" s="249"/>
      <c r="BA11" s="249"/>
      <c r="BB11" s="249"/>
      <c r="BC11" s="249"/>
      <c r="BD11" s="249"/>
      <c r="BE11" s="249"/>
      <c r="BF11" s="249"/>
      <c r="BG11" s="249"/>
      <c r="BH11" s="250"/>
      <c r="BI11" s="248" t="s">
        <v>252</v>
      </c>
      <c r="BJ11" s="249"/>
      <c r="BK11" s="249"/>
      <c r="BL11" s="249"/>
      <c r="BM11" s="249"/>
      <c r="BN11" s="249"/>
      <c r="BO11" s="249"/>
      <c r="BP11" s="250"/>
      <c r="BQ11" s="248" t="s">
        <v>253</v>
      </c>
      <c r="BR11" s="249"/>
      <c r="BS11" s="249"/>
      <c r="BT11" s="249"/>
      <c r="BU11" s="249"/>
      <c r="BV11" s="249"/>
      <c r="BW11" s="249"/>
      <c r="BX11" s="249"/>
      <c r="BY11" s="250"/>
      <c r="BZ11" s="248" t="s">
        <v>254</v>
      </c>
      <c r="CA11" s="249"/>
      <c r="CB11" s="249"/>
      <c r="CC11" s="249"/>
      <c r="CD11" s="249"/>
      <c r="CE11" s="249"/>
      <c r="CF11" s="249"/>
      <c r="CG11" s="249"/>
      <c r="CH11" s="250"/>
      <c r="CI11" s="248" t="s">
        <v>255</v>
      </c>
      <c r="CJ11" s="249"/>
      <c r="CK11" s="249"/>
      <c r="CL11" s="249"/>
      <c r="CM11" s="249"/>
      <c r="CN11" s="249"/>
      <c r="CO11" s="249"/>
      <c r="CP11" s="250"/>
      <c r="CQ11" s="248" t="s">
        <v>256</v>
      </c>
      <c r="CR11" s="249"/>
      <c r="CS11" s="249"/>
      <c r="CT11" s="249"/>
      <c r="CU11" s="249"/>
      <c r="CV11" s="250"/>
    </row>
    <row r="12" spans="1:100" ht="15" customHeight="1">
      <c r="B12" s="146" t="s">
        <v>157</v>
      </c>
      <c r="C12" s="168" t="s">
        <v>10</v>
      </c>
      <c r="D12" s="221"/>
      <c r="E12" s="179" t="s">
        <v>257</v>
      </c>
      <c r="F12" s="179" t="s">
        <v>258</v>
      </c>
      <c r="G12" s="179" t="s">
        <v>259</v>
      </c>
      <c r="H12" s="179" t="s">
        <v>260</v>
      </c>
      <c r="I12" s="179" t="s">
        <v>261</v>
      </c>
      <c r="J12" s="179" t="s">
        <v>262</v>
      </c>
      <c r="K12" s="179" t="s">
        <v>263</v>
      </c>
      <c r="L12" s="179" t="s">
        <v>264</v>
      </c>
      <c r="M12" s="179" t="s">
        <v>265</v>
      </c>
      <c r="N12" s="179" t="s">
        <v>266</v>
      </c>
      <c r="O12" s="179" t="s">
        <v>267</v>
      </c>
      <c r="P12" s="179" t="s">
        <v>268</v>
      </c>
      <c r="Q12" s="179" t="s">
        <v>269</v>
      </c>
      <c r="R12" s="179" t="s">
        <v>270</v>
      </c>
      <c r="S12" s="179" t="s">
        <v>271</v>
      </c>
      <c r="T12" s="179" t="s">
        <v>272</v>
      </c>
      <c r="U12" s="179" t="s">
        <v>273</v>
      </c>
      <c r="V12" s="179" t="s">
        <v>274</v>
      </c>
      <c r="W12" s="179" t="s">
        <v>275</v>
      </c>
      <c r="X12" s="179" t="s">
        <v>276</v>
      </c>
      <c r="Y12" s="179" t="s">
        <v>277</v>
      </c>
      <c r="Z12" s="179" t="s">
        <v>278</v>
      </c>
      <c r="AA12" s="179" t="s">
        <v>279</v>
      </c>
      <c r="AB12" s="179" t="s">
        <v>280</v>
      </c>
      <c r="AC12" s="179" t="s">
        <v>281</v>
      </c>
      <c r="AD12" s="179" t="s">
        <v>282</v>
      </c>
      <c r="AE12" s="179" t="s">
        <v>283</v>
      </c>
      <c r="AF12" s="179" t="s">
        <v>284</v>
      </c>
      <c r="AG12" s="179" t="s">
        <v>285</v>
      </c>
      <c r="AH12" s="179" t="s">
        <v>286</v>
      </c>
      <c r="AI12" s="179" t="s">
        <v>287</v>
      </c>
      <c r="AJ12" s="179" t="s">
        <v>288</v>
      </c>
      <c r="AK12" s="179" t="s">
        <v>289</v>
      </c>
      <c r="AL12" s="179" t="s">
        <v>290</v>
      </c>
      <c r="AM12" s="179" t="s">
        <v>291</v>
      </c>
      <c r="AN12" s="179" t="s">
        <v>292</v>
      </c>
      <c r="AO12" s="179" t="s">
        <v>293</v>
      </c>
      <c r="AP12" s="179" t="s">
        <v>294</v>
      </c>
      <c r="AQ12" s="179" t="s">
        <v>295</v>
      </c>
      <c r="AR12" s="179" t="s">
        <v>296</v>
      </c>
      <c r="AS12" s="179" t="s">
        <v>297</v>
      </c>
      <c r="AT12" s="179" t="s">
        <v>298</v>
      </c>
      <c r="AU12" s="179" t="s">
        <v>299</v>
      </c>
      <c r="AV12" s="179" t="s">
        <v>300</v>
      </c>
      <c r="AW12" s="179" t="s">
        <v>301</v>
      </c>
      <c r="AX12" s="179" t="s">
        <v>302</v>
      </c>
      <c r="AY12" s="179" t="s">
        <v>303</v>
      </c>
      <c r="AZ12" s="179" t="s">
        <v>304</v>
      </c>
      <c r="BA12" s="179" t="s">
        <v>305</v>
      </c>
      <c r="BB12" s="179" t="s">
        <v>306</v>
      </c>
      <c r="BC12" s="179" t="s">
        <v>307</v>
      </c>
      <c r="BD12" s="179" t="s">
        <v>308</v>
      </c>
      <c r="BE12" s="179" t="s">
        <v>309</v>
      </c>
      <c r="BF12" s="179" t="s">
        <v>310</v>
      </c>
      <c r="BG12" s="179" t="s">
        <v>311</v>
      </c>
      <c r="BH12" s="179" t="s">
        <v>312</v>
      </c>
      <c r="BI12" s="179" t="s">
        <v>313</v>
      </c>
      <c r="BJ12" s="179" t="s">
        <v>314</v>
      </c>
      <c r="BK12" s="179" t="s">
        <v>315</v>
      </c>
      <c r="BL12" s="179" t="s">
        <v>316</v>
      </c>
      <c r="BM12" s="179" t="s">
        <v>317</v>
      </c>
      <c r="BN12" s="179" t="s">
        <v>318</v>
      </c>
      <c r="BO12" s="179" t="s">
        <v>319</v>
      </c>
      <c r="BP12" s="179" t="s">
        <v>320</v>
      </c>
      <c r="BQ12" s="179" t="s">
        <v>321</v>
      </c>
      <c r="BR12" s="179" t="s">
        <v>322</v>
      </c>
      <c r="BS12" s="179" t="s">
        <v>323</v>
      </c>
      <c r="BT12" s="179" t="s">
        <v>324</v>
      </c>
      <c r="BU12" s="179" t="s">
        <v>325</v>
      </c>
      <c r="BV12" s="179" t="s">
        <v>326</v>
      </c>
      <c r="BW12" s="179" t="s">
        <v>327</v>
      </c>
      <c r="BX12" s="179" t="s">
        <v>328</v>
      </c>
      <c r="BY12" s="179" t="s">
        <v>329</v>
      </c>
      <c r="BZ12" s="179" t="s">
        <v>330</v>
      </c>
      <c r="CA12" s="179" t="s">
        <v>331</v>
      </c>
      <c r="CB12" s="179" t="s">
        <v>332</v>
      </c>
      <c r="CC12" s="179" t="s">
        <v>333</v>
      </c>
      <c r="CD12" s="179" t="s">
        <v>334</v>
      </c>
      <c r="CE12" s="179" t="s">
        <v>335</v>
      </c>
      <c r="CF12" s="179" t="s">
        <v>336</v>
      </c>
      <c r="CG12" s="179" t="s">
        <v>337</v>
      </c>
      <c r="CH12" s="179" t="s">
        <v>338</v>
      </c>
      <c r="CI12" s="179" t="s">
        <v>339</v>
      </c>
      <c r="CJ12" s="179" t="s">
        <v>340</v>
      </c>
      <c r="CK12" s="179" t="s">
        <v>341</v>
      </c>
      <c r="CL12" s="179" t="s">
        <v>342</v>
      </c>
      <c r="CM12" s="179" t="s">
        <v>343</v>
      </c>
      <c r="CN12" s="179" t="s">
        <v>344</v>
      </c>
      <c r="CO12" s="179" t="s">
        <v>345</v>
      </c>
      <c r="CP12" s="179" t="s">
        <v>346</v>
      </c>
      <c r="CQ12" s="179" t="s">
        <v>347</v>
      </c>
      <c r="CR12" s="179" t="s">
        <v>348</v>
      </c>
      <c r="CS12" s="179" t="s">
        <v>349</v>
      </c>
      <c r="CT12" s="179" t="s">
        <v>350</v>
      </c>
      <c r="CU12" s="179" t="s">
        <v>351</v>
      </c>
      <c r="CV12" s="179" t="s">
        <v>352</v>
      </c>
    </row>
    <row r="13" spans="1:100" ht="15" customHeight="1">
      <c r="B13" s="146" t="s">
        <v>158</v>
      </c>
      <c r="C13" s="168" t="s">
        <v>106</v>
      </c>
      <c r="D13" s="221"/>
      <c r="E13" s="180" t="s">
        <v>353</v>
      </c>
      <c r="F13" s="180" t="s">
        <v>354</v>
      </c>
      <c r="G13" s="180" t="s">
        <v>355</v>
      </c>
      <c r="H13" s="180" t="s">
        <v>356</v>
      </c>
      <c r="I13" s="180" t="s">
        <v>357</v>
      </c>
      <c r="J13" s="180" t="s">
        <v>358</v>
      </c>
      <c r="K13" s="180" t="s">
        <v>359</v>
      </c>
      <c r="L13" s="180" t="s">
        <v>360</v>
      </c>
      <c r="M13" s="180" t="s">
        <v>361</v>
      </c>
      <c r="N13" s="180" t="s">
        <v>362</v>
      </c>
      <c r="O13" s="180" t="s">
        <v>363</v>
      </c>
      <c r="P13" s="180" t="s">
        <v>364</v>
      </c>
      <c r="Q13" s="180" t="s">
        <v>365</v>
      </c>
      <c r="R13" s="180" t="s">
        <v>366</v>
      </c>
      <c r="S13" s="180" t="s">
        <v>367</v>
      </c>
      <c r="T13" s="180" t="s">
        <v>368</v>
      </c>
      <c r="U13" s="180" t="s">
        <v>369</v>
      </c>
      <c r="V13" s="180" t="s">
        <v>370</v>
      </c>
      <c r="W13" s="180" t="s">
        <v>371</v>
      </c>
      <c r="X13" s="180" t="s">
        <v>372</v>
      </c>
      <c r="Y13" s="180" t="s">
        <v>373</v>
      </c>
      <c r="Z13" s="180" t="s">
        <v>374</v>
      </c>
      <c r="AA13" s="180" t="s">
        <v>375</v>
      </c>
      <c r="AB13" s="180" t="s">
        <v>376</v>
      </c>
      <c r="AC13" s="180" t="s">
        <v>377</v>
      </c>
      <c r="AD13" s="180" t="s">
        <v>378</v>
      </c>
      <c r="AE13" s="180" t="s">
        <v>379</v>
      </c>
      <c r="AF13" s="180" t="s">
        <v>380</v>
      </c>
      <c r="AG13" s="180" t="s">
        <v>381</v>
      </c>
      <c r="AH13" s="180" t="s">
        <v>382</v>
      </c>
      <c r="AI13" s="180" t="s">
        <v>383</v>
      </c>
      <c r="AJ13" s="180" t="s">
        <v>384</v>
      </c>
      <c r="AK13" s="180" t="s">
        <v>385</v>
      </c>
      <c r="AL13" s="180" t="s">
        <v>386</v>
      </c>
      <c r="AM13" s="180" t="s">
        <v>387</v>
      </c>
      <c r="AN13" s="180" t="s">
        <v>388</v>
      </c>
      <c r="AO13" s="180" t="s">
        <v>389</v>
      </c>
      <c r="AP13" s="180" t="s">
        <v>390</v>
      </c>
      <c r="AQ13" s="180" t="s">
        <v>391</v>
      </c>
      <c r="AR13" s="180" t="s">
        <v>392</v>
      </c>
      <c r="AS13" s="180" t="s">
        <v>393</v>
      </c>
      <c r="AT13" s="180" t="s">
        <v>394</v>
      </c>
      <c r="AU13" s="180" t="s">
        <v>395</v>
      </c>
      <c r="AV13" s="180" t="s">
        <v>396</v>
      </c>
      <c r="AW13" s="180" t="s">
        <v>397</v>
      </c>
      <c r="AX13" s="180" t="s">
        <v>398</v>
      </c>
      <c r="AY13" s="180" t="s">
        <v>399</v>
      </c>
      <c r="AZ13" s="180" t="s">
        <v>400</v>
      </c>
      <c r="BA13" s="180" t="s">
        <v>401</v>
      </c>
      <c r="BB13" s="180" t="s">
        <v>402</v>
      </c>
      <c r="BC13" s="180" t="s">
        <v>403</v>
      </c>
      <c r="BD13" s="180" t="s">
        <v>404</v>
      </c>
      <c r="BE13" s="180" t="s">
        <v>405</v>
      </c>
      <c r="BF13" s="180" t="s">
        <v>406</v>
      </c>
      <c r="BG13" s="180" t="s">
        <v>407</v>
      </c>
      <c r="BH13" s="180" t="s">
        <v>408</v>
      </c>
      <c r="BI13" s="180" t="s">
        <v>409</v>
      </c>
      <c r="BJ13" s="180" t="s">
        <v>410</v>
      </c>
      <c r="BK13" s="180" t="s">
        <v>411</v>
      </c>
      <c r="BL13" s="180" t="s">
        <v>412</v>
      </c>
      <c r="BM13" s="180" t="s">
        <v>413</v>
      </c>
      <c r="BN13" s="180" t="s">
        <v>414</v>
      </c>
      <c r="BO13" s="180" t="s">
        <v>415</v>
      </c>
      <c r="BP13" s="180" t="s">
        <v>416</v>
      </c>
      <c r="BQ13" s="180" t="s">
        <v>417</v>
      </c>
      <c r="BR13" s="180" t="s">
        <v>418</v>
      </c>
      <c r="BS13" s="180" t="s">
        <v>419</v>
      </c>
      <c r="BT13" s="180" t="s">
        <v>420</v>
      </c>
      <c r="BU13" s="180" t="s">
        <v>421</v>
      </c>
      <c r="BV13" s="180" t="s">
        <v>422</v>
      </c>
      <c r="BW13" s="180" t="s">
        <v>423</v>
      </c>
      <c r="BX13" s="180" t="s">
        <v>424</v>
      </c>
      <c r="BY13" s="180" t="s">
        <v>425</v>
      </c>
      <c r="BZ13" s="180" t="s">
        <v>426</v>
      </c>
      <c r="CA13" s="180" t="s">
        <v>427</v>
      </c>
      <c r="CB13" s="180" t="s">
        <v>428</v>
      </c>
      <c r="CC13" s="180" t="s">
        <v>429</v>
      </c>
      <c r="CD13" s="180" t="s">
        <v>430</v>
      </c>
      <c r="CE13" s="180" t="s">
        <v>431</v>
      </c>
      <c r="CF13" s="180" t="s">
        <v>432</v>
      </c>
      <c r="CG13" s="180" t="s">
        <v>433</v>
      </c>
      <c r="CH13" s="180" t="s">
        <v>434</v>
      </c>
      <c r="CI13" s="180" t="s">
        <v>435</v>
      </c>
      <c r="CJ13" s="180" t="s">
        <v>436</v>
      </c>
      <c r="CK13" s="180" t="s">
        <v>437</v>
      </c>
      <c r="CL13" s="180" t="s">
        <v>438</v>
      </c>
      <c r="CM13" s="180" t="s">
        <v>439</v>
      </c>
      <c r="CN13" s="180" t="s">
        <v>440</v>
      </c>
      <c r="CO13" s="180" t="s">
        <v>441</v>
      </c>
      <c r="CP13" s="180" t="s">
        <v>442</v>
      </c>
      <c r="CQ13" s="180" t="s">
        <v>443</v>
      </c>
      <c r="CR13" s="180" t="s">
        <v>444</v>
      </c>
      <c r="CS13" s="180" t="s">
        <v>445</v>
      </c>
      <c r="CT13" s="180" t="s">
        <v>446</v>
      </c>
      <c r="CU13" s="180" t="s">
        <v>447</v>
      </c>
      <c r="CV13" s="180" t="s">
        <v>448</v>
      </c>
    </row>
    <row r="14" spans="1:100" ht="15" customHeight="1">
      <c r="B14" s="146" t="s">
        <v>159</v>
      </c>
      <c r="C14" s="168" t="s">
        <v>107</v>
      </c>
      <c r="D14" s="221"/>
      <c r="E14" s="181" t="s">
        <v>141</v>
      </c>
      <c r="F14" s="181" t="s">
        <v>141</v>
      </c>
      <c r="G14" s="181" t="s">
        <v>141</v>
      </c>
      <c r="H14" s="181" t="s">
        <v>142</v>
      </c>
      <c r="I14" s="181" t="s">
        <v>142</v>
      </c>
      <c r="J14" s="181" t="s">
        <v>140</v>
      </c>
      <c r="K14" s="181" t="s">
        <v>141</v>
      </c>
      <c r="L14" s="181" t="s">
        <v>142</v>
      </c>
      <c r="M14" s="181" t="s">
        <v>142</v>
      </c>
      <c r="N14" s="181" t="s">
        <v>140</v>
      </c>
      <c r="O14" s="181" t="s">
        <v>140</v>
      </c>
      <c r="P14" s="181" t="s">
        <v>140</v>
      </c>
      <c r="Q14" s="181" t="s">
        <v>142</v>
      </c>
      <c r="R14" s="181" t="s">
        <v>140</v>
      </c>
      <c r="S14" s="181" t="s">
        <v>141</v>
      </c>
      <c r="T14" s="181" t="s">
        <v>141</v>
      </c>
      <c r="U14" s="181" t="s">
        <v>142</v>
      </c>
      <c r="V14" s="181" t="s">
        <v>141</v>
      </c>
      <c r="W14" s="181" t="s">
        <v>141</v>
      </c>
      <c r="X14" s="181" t="s">
        <v>141</v>
      </c>
      <c r="Y14" s="181" t="s">
        <v>142</v>
      </c>
      <c r="Z14" s="181" t="s">
        <v>142</v>
      </c>
      <c r="AA14" s="181" t="s">
        <v>141</v>
      </c>
      <c r="AB14" s="181" t="s">
        <v>141</v>
      </c>
      <c r="AC14" s="181" t="s">
        <v>142</v>
      </c>
      <c r="AD14" s="181" t="s">
        <v>142</v>
      </c>
      <c r="AE14" s="181" t="s">
        <v>140</v>
      </c>
      <c r="AF14" s="181" t="s">
        <v>141</v>
      </c>
      <c r="AG14" s="181" t="s">
        <v>141</v>
      </c>
      <c r="AH14" s="181" t="s">
        <v>142</v>
      </c>
      <c r="AI14" s="181" t="s">
        <v>142</v>
      </c>
      <c r="AJ14" s="181" t="s">
        <v>140</v>
      </c>
      <c r="AK14" s="181" t="s">
        <v>140</v>
      </c>
      <c r="AL14" s="181" t="s">
        <v>140</v>
      </c>
      <c r="AM14" s="181" t="s">
        <v>142</v>
      </c>
      <c r="AN14" s="181" t="s">
        <v>140</v>
      </c>
      <c r="AO14" s="181" t="s">
        <v>141</v>
      </c>
      <c r="AP14" s="181" t="s">
        <v>141</v>
      </c>
      <c r="AQ14" s="181" t="s">
        <v>141</v>
      </c>
      <c r="AR14" s="181" t="s">
        <v>141</v>
      </c>
      <c r="AS14" s="181" t="s">
        <v>141</v>
      </c>
      <c r="AT14" s="181" t="s">
        <v>142</v>
      </c>
      <c r="AU14" s="181" t="s">
        <v>142</v>
      </c>
      <c r="AV14" s="181" t="s">
        <v>141</v>
      </c>
      <c r="AW14" s="181" t="s">
        <v>141</v>
      </c>
      <c r="AX14" s="181" t="s">
        <v>140</v>
      </c>
      <c r="AY14" s="181" t="s">
        <v>140</v>
      </c>
      <c r="AZ14" s="181" t="s">
        <v>141</v>
      </c>
      <c r="BA14" s="181" t="s">
        <v>141</v>
      </c>
      <c r="BB14" s="181" t="s">
        <v>142</v>
      </c>
      <c r="BC14" s="181" t="s">
        <v>141</v>
      </c>
      <c r="BD14" s="181" t="s">
        <v>141</v>
      </c>
      <c r="BE14" s="181" t="s">
        <v>141</v>
      </c>
      <c r="BF14" s="181" t="s">
        <v>142</v>
      </c>
      <c r="BG14" s="181" t="s">
        <v>142</v>
      </c>
      <c r="BH14" s="181" t="s">
        <v>140</v>
      </c>
      <c r="BI14" s="181" t="s">
        <v>141</v>
      </c>
      <c r="BJ14" s="181" t="s">
        <v>141</v>
      </c>
      <c r="BK14" s="181" t="s">
        <v>141</v>
      </c>
      <c r="BL14" s="181" t="s">
        <v>141</v>
      </c>
      <c r="BM14" s="181" t="s">
        <v>140</v>
      </c>
      <c r="BN14" s="181" t="s">
        <v>140</v>
      </c>
      <c r="BO14" s="181" t="s">
        <v>141</v>
      </c>
      <c r="BP14" s="181" t="s">
        <v>141</v>
      </c>
      <c r="BQ14" s="181" t="s">
        <v>140</v>
      </c>
      <c r="BR14" s="181" t="s">
        <v>141</v>
      </c>
      <c r="BS14" s="181" t="s">
        <v>140</v>
      </c>
      <c r="BT14" s="181" t="s">
        <v>141</v>
      </c>
      <c r="BU14" s="181" t="s">
        <v>141</v>
      </c>
      <c r="BV14" s="181" t="s">
        <v>141</v>
      </c>
      <c r="BW14" s="181" t="s">
        <v>141</v>
      </c>
      <c r="BX14" s="181" t="s">
        <v>140</v>
      </c>
      <c r="BY14" s="181" t="s">
        <v>141</v>
      </c>
      <c r="BZ14" s="181" t="s">
        <v>140</v>
      </c>
      <c r="CA14" s="181" t="s">
        <v>141</v>
      </c>
      <c r="CB14" s="181" t="s">
        <v>140</v>
      </c>
      <c r="CC14" s="181" t="s">
        <v>141</v>
      </c>
      <c r="CD14" s="181" t="s">
        <v>141</v>
      </c>
      <c r="CE14" s="181" t="s">
        <v>141</v>
      </c>
      <c r="CF14" s="181" t="s">
        <v>141</v>
      </c>
      <c r="CG14" s="181" t="s">
        <v>140</v>
      </c>
      <c r="CH14" s="181" t="s">
        <v>141</v>
      </c>
      <c r="CI14" s="181" t="s">
        <v>140</v>
      </c>
      <c r="CJ14" s="181" t="s">
        <v>141</v>
      </c>
      <c r="CK14" s="181" t="s">
        <v>141</v>
      </c>
      <c r="CL14" s="181" t="s">
        <v>141</v>
      </c>
      <c r="CM14" s="181" t="s">
        <v>141</v>
      </c>
      <c r="CN14" s="181" t="s">
        <v>141</v>
      </c>
      <c r="CO14" s="181" t="s">
        <v>140</v>
      </c>
      <c r="CP14" s="181" t="s">
        <v>140</v>
      </c>
      <c r="CQ14" s="181" t="s">
        <v>142</v>
      </c>
      <c r="CR14" s="181" t="s">
        <v>141</v>
      </c>
      <c r="CS14" s="181" t="s">
        <v>140</v>
      </c>
      <c r="CT14" s="181" t="s">
        <v>142</v>
      </c>
      <c r="CU14" s="181" t="s">
        <v>140</v>
      </c>
      <c r="CV14" s="181" t="s">
        <v>141</v>
      </c>
    </row>
    <row r="15" spans="1:100" ht="15" customHeight="1">
      <c r="B15" s="146" t="s">
        <v>160</v>
      </c>
      <c r="C15" s="168" t="s">
        <v>26</v>
      </c>
      <c r="D15" s="221"/>
      <c r="E15" s="182">
        <v>0.71489999999999998</v>
      </c>
      <c r="F15" s="182">
        <v>0.7077</v>
      </c>
      <c r="G15" s="182">
        <v>0.71040000000000003</v>
      </c>
      <c r="H15" s="182">
        <v>0.61499999999999999</v>
      </c>
      <c r="I15" s="182">
        <v>0.64500000000000002</v>
      </c>
      <c r="J15" s="182">
        <v>0.80759999999999998</v>
      </c>
      <c r="K15" s="182">
        <v>0.70230000000000004</v>
      </c>
      <c r="L15" s="182">
        <v>0.64880000000000004</v>
      </c>
      <c r="M15" s="182">
        <v>0.64649999999999996</v>
      </c>
      <c r="N15" s="182">
        <v>0.78310000000000002</v>
      </c>
      <c r="O15" s="182">
        <v>0.78580000000000005</v>
      </c>
      <c r="P15" s="182">
        <v>0.81620000000000004</v>
      </c>
      <c r="Q15" s="182">
        <v>0.64390000000000003</v>
      </c>
      <c r="R15" s="182">
        <v>0.7802</v>
      </c>
      <c r="S15" s="182">
        <v>0.70009999999999994</v>
      </c>
      <c r="T15" s="182">
        <v>0.71919999999999995</v>
      </c>
      <c r="U15" s="182">
        <v>0.59860000000000002</v>
      </c>
      <c r="V15" s="182">
        <v>0.66884318570657886</v>
      </c>
      <c r="W15" s="182">
        <v>0.69571631032603742</v>
      </c>
      <c r="X15" s="182">
        <v>0.66030165313203659</v>
      </c>
      <c r="Y15" s="182">
        <v>0.63840271664467296</v>
      </c>
      <c r="Z15" s="182">
        <v>0.63811847902905761</v>
      </c>
      <c r="AA15" s="182">
        <v>0.71489999999999998</v>
      </c>
      <c r="AB15" s="182">
        <v>0.7077</v>
      </c>
      <c r="AC15" s="182">
        <v>0.61499999999999999</v>
      </c>
      <c r="AD15" s="182">
        <v>0.64500000000000002</v>
      </c>
      <c r="AE15" s="182">
        <v>0.80759999999999998</v>
      </c>
      <c r="AF15" s="182">
        <v>0.71040000000000003</v>
      </c>
      <c r="AG15" s="182">
        <v>0.70230000000000004</v>
      </c>
      <c r="AH15" s="182">
        <v>0.64880000000000004</v>
      </c>
      <c r="AI15" s="182">
        <v>0.64649999999999996</v>
      </c>
      <c r="AJ15" s="182">
        <v>0.78310000000000002</v>
      </c>
      <c r="AK15" s="182">
        <v>0.78580000000000005</v>
      </c>
      <c r="AL15" s="182">
        <v>0.81620000000000004</v>
      </c>
      <c r="AM15" s="182">
        <v>0.64390000000000003</v>
      </c>
      <c r="AN15" s="182">
        <v>0.7802</v>
      </c>
      <c r="AO15" s="182">
        <v>0.70009999999999994</v>
      </c>
      <c r="AP15" s="182">
        <v>0.71919999999999995</v>
      </c>
      <c r="AQ15" s="182">
        <v>0.66884318570657886</v>
      </c>
      <c r="AR15" s="182">
        <v>0.69571631032603742</v>
      </c>
      <c r="AS15" s="182">
        <v>0.66030165313203659</v>
      </c>
      <c r="AT15" s="182">
        <v>0.63840271664467296</v>
      </c>
      <c r="AU15" s="182">
        <v>0.63811847902905761</v>
      </c>
      <c r="AV15" s="182">
        <v>0.69910000000000005</v>
      </c>
      <c r="AW15" s="182">
        <v>0.69340000000000002</v>
      </c>
      <c r="AX15" s="182">
        <v>0.80089999999999995</v>
      </c>
      <c r="AY15" s="182">
        <v>0.78139999999999998</v>
      </c>
      <c r="AZ15" s="182">
        <v>0.7117</v>
      </c>
      <c r="BA15" s="182">
        <v>0.71760000000000002</v>
      </c>
      <c r="BB15" s="182">
        <v>0.63990000000000002</v>
      </c>
      <c r="BC15" s="182">
        <v>0.69571631032603742</v>
      </c>
      <c r="BD15" s="182">
        <v>0.7137814440321022</v>
      </c>
      <c r="BE15" s="182">
        <v>0.66090000000000004</v>
      </c>
      <c r="BF15" s="182">
        <v>0.61620017098333557</v>
      </c>
      <c r="BG15" s="182">
        <v>0.64829999999999999</v>
      </c>
      <c r="BH15" s="182">
        <v>0.77948063354236385</v>
      </c>
      <c r="BI15" s="182">
        <v>0.68969999999999998</v>
      </c>
      <c r="BJ15" s="182">
        <v>0.68700000000000006</v>
      </c>
      <c r="BK15" s="182">
        <v>0.7117</v>
      </c>
      <c r="BL15" s="182">
        <v>0.71760000000000002</v>
      </c>
      <c r="BM15" s="182">
        <v>0.79330000000000001</v>
      </c>
      <c r="BN15" s="182">
        <v>0.79079999999999995</v>
      </c>
      <c r="BO15" s="182">
        <v>0.69571631032603742</v>
      </c>
      <c r="BP15" s="182">
        <v>0.7137814440321022</v>
      </c>
      <c r="BQ15" s="182">
        <v>0.7802</v>
      </c>
      <c r="BR15" s="182">
        <v>0.70009999999999994</v>
      </c>
      <c r="BS15" s="182">
        <v>0.78610000000000002</v>
      </c>
      <c r="BT15" s="182">
        <v>0.71179999999999999</v>
      </c>
      <c r="BU15" s="182">
        <v>0.70120000000000005</v>
      </c>
      <c r="BV15" s="182">
        <v>0.70150000000000001</v>
      </c>
      <c r="BW15" s="182">
        <v>0.70020000000000004</v>
      </c>
      <c r="BX15" s="182">
        <v>0.78790000000000004</v>
      </c>
      <c r="BY15" s="182">
        <v>0.66030165313203659</v>
      </c>
      <c r="BZ15" s="182">
        <v>0.7802</v>
      </c>
      <c r="CA15" s="182">
        <v>0.70009999999999994</v>
      </c>
      <c r="CB15" s="182">
        <v>0.78610000000000002</v>
      </c>
      <c r="CC15" s="182">
        <v>0.71179999999999999</v>
      </c>
      <c r="CD15" s="182">
        <v>0.70120000000000005</v>
      </c>
      <c r="CE15" s="182">
        <v>0.70150000000000001</v>
      </c>
      <c r="CF15" s="182">
        <v>0.70020000000000004</v>
      </c>
      <c r="CG15" s="182">
        <v>0.78790000000000004</v>
      </c>
      <c r="CH15" s="182">
        <v>0.66030165313203659</v>
      </c>
      <c r="CI15" s="182">
        <v>0.7802</v>
      </c>
      <c r="CJ15" s="182">
        <v>0.70009999999999994</v>
      </c>
      <c r="CK15" s="182">
        <v>0.71179999999999999</v>
      </c>
      <c r="CL15" s="182">
        <v>0.70120000000000005</v>
      </c>
      <c r="CM15" s="182">
        <v>0.70150000000000001</v>
      </c>
      <c r="CN15" s="182">
        <v>0.70020000000000004</v>
      </c>
      <c r="CO15" s="182">
        <v>0.78610000000000002</v>
      </c>
      <c r="CP15" s="182">
        <v>0.78790000000000004</v>
      </c>
      <c r="CQ15" s="182">
        <v>0.64549999999999996</v>
      </c>
      <c r="CR15" s="182">
        <v>0.71750000000000003</v>
      </c>
      <c r="CS15" s="182">
        <v>0.79810000000000003</v>
      </c>
      <c r="CT15" s="182">
        <v>0.64390000000000003</v>
      </c>
      <c r="CU15" s="182">
        <v>0.7802</v>
      </c>
      <c r="CV15" s="182">
        <v>0.70009999999999994</v>
      </c>
    </row>
    <row r="16" spans="1:100" ht="15" customHeight="1">
      <c r="B16" s="146" t="s">
        <v>161</v>
      </c>
      <c r="C16" s="168" t="s">
        <v>80</v>
      </c>
      <c r="D16" s="221"/>
      <c r="E16" s="179" t="s">
        <v>82</v>
      </c>
      <c r="F16" s="179" t="s">
        <v>82</v>
      </c>
      <c r="G16" s="179" t="s">
        <v>82</v>
      </c>
      <c r="H16" s="179" t="s">
        <v>82</v>
      </c>
      <c r="I16" s="179" t="s">
        <v>82</v>
      </c>
      <c r="J16" s="179" t="s">
        <v>82</v>
      </c>
      <c r="K16" s="179" t="s">
        <v>82</v>
      </c>
      <c r="L16" s="179" t="s">
        <v>82</v>
      </c>
      <c r="M16" s="179" t="s">
        <v>82</v>
      </c>
      <c r="N16" s="179" t="s">
        <v>82</v>
      </c>
      <c r="O16" s="179" t="s">
        <v>82</v>
      </c>
      <c r="P16" s="179" t="s">
        <v>82</v>
      </c>
      <c r="Q16" s="179" t="s">
        <v>82</v>
      </c>
      <c r="R16" s="179" t="s">
        <v>82</v>
      </c>
      <c r="S16" s="179" t="s">
        <v>82</v>
      </c>
      <c r="T16" s="179" t="s">
        <v>83</v>
      </c>
      <c r="U16" s="179" t="s">
        <v>83</v>
      </c>
      <c r="V16" s="179" t="s">
        <v>83</v>
      </c>
      <c r="W16" s="179" t="s">
        <v>83</v>
      </c>
      <c r="X16" s="179" t="s">
        <v>83</v>
      </c>
      <c r="Y16" s="179" t="s">
        <v>83</v>
      </c>
      <c r="Z16" s="179" t="s">
        <v>83</v>
      </c>
      <c r="AA16" s="179" t="s">
        <v>82</v>
      </c>
      <c r="AB16" s="179" t="s">
        <v>82</v>
      </c>
      <c r="AC16" s="179" t="s">
        <v>82</v>
      </c>
      <c r="AD16" s="179" t="s">
        <v>82</v>
      </c>
      <c r="AE16" s="179" t="s">
        <v>82</v>
      </c>
      <c r="AF16" s="179" t="s">
        <v>82</v>
      </c>
      <c r="AG16" s="179" t="s">
        <v>82</v>
      </c>
      <c r="AH16" s="179" t="s">
        <v>82</v>
      </c>
      <c r="AI16" s="179" t="s">
        <v>82</v>
      </c>
      <c r="AJ16" s="179" t="s">
        <v>82</v>
      </c>
      <c r="AK16" s="179" t="s">
        <v>82</v>
      </c>
      <c r="AL16" s="179" t="s">
        <v>82</v>
      </c>
      <c r="AM16" s="179" t="s">
        <v>81</v>
      </c>
      <c r="AN16" s="179" t="s">
        <v>81</v>
      </c>
      <c r="AO16" s="179" t="s">
        <v>81</v>
      </c>
      <c r="AP16" s="179" t="s">
        <v>83</v>
      </c>
      <c r="AQ16" s="179" t="s">
        <v>83</v>
      </c>
      <c r="AR16" s="179" t="s">
        <v>83</v>
      </c>
      <c r="AS16" s="179" t="s">
        <v>83</v>
      </c>
      <c r="AT16" s="179" t="s">
        <v>83</v>
      </c>
      <c r="AU16" s="179" t="s">
        <v>83</v>
      </c>
      <c r="AV16" s="179" t="s">
        <v>82</v>
      </c>
      <c r="AW16" s="179" t="s">
        <v>82</v>
      </c>
      <c r="AX16" s="179" t="s">
        <v>82</v>
      </c>
      <c r="AY16" s="179" t="s">
        <v>82</v>
      </c>
      <c r="AZ16" s="179" t="s">
        <v>83</v>
      </c>
      <c r="BA16" s="179" t="s">
        <v>83</v>
      </c>
      <c r="BB16" s="179" t="s">
        <v>83</v>
      </c>
      <c r="BC16" s="179" t="s">
        <v>83</v>
      </c>
      <c r="BD16" s="179" t="s">
        <v>83</v>
      </c>
      <c r="BE16" s="179" t="s">
        <v>83</v>
      </c>
      <c r="BF16" s="179" t="s">
        <v>83</v>
      </c>
      <c r="BG16" s="179" t="s">
        <v>83</v>
      </c>
      <c r="BH16" s="179" t="s">
        <v>83</v>
      </c>
      <c r="BI16" s="179" t="s">
        <v>83</v>
      </c>
      <c r="BJ16" s="179" t="s">
        <v>83</v>
      </c>
      <c r="BK16" s="179" t="s">
        <v>83</v>
      </c>
      <c r="BL16" s="179" t="s">
        <v>83</v>
      </c>
      <c r="BM16" s="179" t="s">
        <v>83</v>
      </c>
      <c r="BN16" s="179" t="s">
        <v>83</v>
      </c>
      <c r="BO16" s="179" t="s">
        <v>83</v>
      </c>
      <c r="BP16" s="179" t="s">
        <v>83</v>
      </c>
      <c r="BQ16" s="179" t="s">
        <v>82</v>
      </c>
      <c r="BR16" s="179" t="s">
        <v>82</v>
      </c>
      <c r="BS16" s="179" t="s">
        <v>83</v>
      </c>
      <c r="BT16" s="179" t="s">
        <v>83</v>
      </c>
      <c r="BU16" s="179" t="s">
        <v>83</v>
      </c>
      <c r="BV16" s="179" t="s">
        <v>83</v>
      </c>
      <c r="BW16" s="179" t="s">
        <v>83</v>
      </c>
      <c r="BX16" s="179" t="s">
        <v>83</v>
      </c>
      <c r="BY16" s="179" t="s">
        <v>83</v>
      </c>
      <c r="BZ16" s="179" t="s">
        <v>82</v>
      </c>
      <c r="CA16" s="179" t="s">
        <v>82</v>
      </c>
      <c r="CB16" s="179" t="s">
        <v>83</v>
      </c>
      <c r="CC16" s="179" t="s">
        <v>83</v>
      </c>
      <c r="CD16" s="179" t="s">
        <v>83</v>
      </c>
      <c r="CE16" s="179" t="s">
        <v>83</v>
      </c>
      <c r="CF16" s="179" t="s">
        <v>83</v>
      </c>
      <c r="CG16" s="179" t="s">
        <v>83</v>
      </c>
      <c r="CH16" s="179" t="s">
        <v>83</v>
      </c>
      <c r="CI16" s="179" t="s">
        <v>82</v>
      </c>
      <c r="CJ16" s="179" t="s">
        <v>82</v>
      </c>
      <c r="CK16" s="179" t="s">
        <v>83</v>
      </c>
      <c r="CL16" s="179" t="s">
        <v>83</v>
      </c>
      <c r="CM16" s="179" t="s">
        <v>83</v>
      </c>
      <c r="CN16" s="179" t="s">
        <v>83</v>
      </c>
      <c r="CO16" s="179" t="s">
        <v>83</v>
      </c>
      <c r="CP16" s="179" t="s">
        <v>83</v>
      </c>
      <c r="CQ16" s="179" t="s">
        <v>82</v>
      </c>
      <c r="CR16" s="179" t="s">
        <v>82</v>
      </c>
      <c r="CS16" s="179" t="s">
        <v>82</v>
      </c>
      <c r="CT16" s="179" t="s">
        <v>81</v>
      </c>
      <c r="CU16" s="179" t="s">
        <v>81</v>
      </c>
      <c r="CV16" s="179" t="s">
        <v>81</v>
      </c>
    </row>
    <row r="17" spans="1:100" ht="15" customHeight="1">
      <c r="B17" s="146" t="s">
        <v>154</v>
      </c>
      <c r="C17" s="169" t="s">
        <v>108</v>
      </c>
      <c r="D17" s="221"/>
      <c r="E17" s="179" t="s">
        <v>449</v>
      </c>
      <c r="F17" s="179" t="s">
        <v>449</v>
      </c>
      <c r="G17" s="179" t="s">
        <v>449</v>
      </c>
      <c r="H17" s="179" t="s">
        <v>449</v>
      </c>
      <c r="I17" s="179" t="s">
        <v>449</v>
      </c>
      <c r="J17" s="179" t="s">
        <v>449</v>
      </c>
      <c r="K17" s="179" t="s">
        <v>449</v>
      </c>
      <c r="L17" s="179" t="s">
        <v>449</v>
      </c>
      <c r="M17" s="179" t="s">
        <v>449</v>
      </c>
      <c r="N17" s="179" t="s">
        <v>449</v>
      </c>
      <c r="O17" s="179" t="s">
        <v>449</v>
      </c>
      <c r="P17" s="179" t="s">
        <v>449</v>
      </c>
      <c r="Q17" s="179" t="s">
        <v>449</v>
      </c>
      <c r="R17" s="179" t="s">
        <v>449</v>
      </c>
      <c r="S17" s="179" t="s">
        <v>449</v>
      </c>
      <c r="T17" s="179" t="s">
        <v>449</v>
      </c>
      <c r="U17" s="179" t="s">
        <v>449</v>
      </c>
      <c r="V17" s="179" t="s">
        <v>449</v>
      </c>
      <c r="W17" s="179" t="s">
        <v>449</v>
      </c>
      <c r="X17" s="179" t="s">
        <v>449</v>
      </c>
      <c r="Y17" s="179" t="s">
        <v>449</v>
      </c>
      <c r="Z17" s="179" t="s">
        <v>449</v>
      </c>
      <c r="AA17" s="179" t="s">
        <v>449</v>
      </c>
      <c r="AB17" s="179" t="s">
        <v>449</v>
      </c>
      <c r="AC17" s="179" t="s">
        <v>449</v>
      </c>
      <c r="AD17" s="179" t="s">
        <v>449</v>
      </c>
      <c r="AE17" s="179" t="s">
        <v>449</v>
      </c>
      <c r="AF17" s="179" t="s">
        <v>449</v>
      </c>
      <c r="AG17" s="179" t="s">
        <v>449</v>
      </c>
      <c r="AH17" s="179" t="s">
        <v>449</v>
      </c>
      <c r="AI17" s="179" t="s">
        <v>449</v>
      </c>
      <c r="AJ17" s="179" t="s">
        <v>449</v>
      </c>
      <c r="AK17" s="179" t="s">
        <v>449</v>
      </c>
      <c r="AL17" s="179" t="s">
        <v>449</v>
      </c>
      <c r="AM17" s="179" t="s">
        <v>449</v>
      </c>
      <c r="AN17" s="179" t="s">
        <v>449</v>
      </c>
      <c r="AO17" s="179" t="s">
        <v>449</v>
      </c>
      <c r="AP17" s="179" t="s">
        <v>449</v>
      </c>
      <c r="AQ17" s="179" t="s">
        <v>449</v>
      </c>
      <c r="AR17" s="179" t="s">
        <v>449</v>
      </c>
      <c r="AS17" s="179" t="s">
        <v>449</v>
      </c>
      <c r="AT17" s="179" t="s">
        <v>449</v>
      </c>
      <c r="AU17" s="179" t="s">
        <v>449</v>
      </c>
      <c r="AV17" s="179" t="s">
        <v>449</v>
      </c>
      <c r="AW17" s="179" t="s">
        <v>449</v>
      </c>
      <c r="AX17" s="179" t="s">
        <v>449</v>
      </c>
      <c r="AY17" s="179" t="s">
        <v>449</v>
      </c>
      <c r="AZ17" s="179" t="s">
        <v>449</v>
      </c>
      <c r="BA17" s="179" t="s">
        <v>449</v>
      </c>
      <c r="BB17" s="179" t="s">
        <v>449</v>
      </c>
      <c r="BC17" s="179" t="s">
        <v>449</v>
      </c>
      <c r="BD17" s="179" t="s">
        <v>449</v>
      </c>
      <c r="BE17" s="179" t="s">
        <v>449</v>
      </c>
      <c r="BF17" s="179" t="s">
        <v>449</v>
      </c>
      <c r="BG17" s="179" t="s">
        <v>449</v>
      </c>
      <c r="BH17" s="179" t="s">
        <v>449</v>
      </c>
      <c r="BI17" s="179" t="s">
        <v>449</v>
      </c>
      <c r="BJ17" s="179" t="s">
        <v>449</v>
      </c>
      <c r="BK17" s="179" t="s">
        <v>449</v>
      </c>
      <c r="BL17" s="179" t="s">
        <v>449</v>
      </c>
      <c r="BM17" s="179" t="s">
        <v>449</v>
      </c>
      <c r="BN17" s="179" t="s">
        <v>449</v>
      </c>
      <c r="BO17" s="179" t="s">
        <v>449</v>
      </c>
      <c r="BP17" s="179" t="s">
        <v>449</v>
      </c>
      <c r="BQ17" s="179" t="s">
        <v>449</v>
      </c>
      <c r="BR17" s="179" t="s">
        <v>449</v>
      </c>
      <c r="BS17" s="179" t="s">
        <v>449</v>
      </c>
      <c r="BT17" s="179" t="s">
        <v>449</v>
      </c>
      <c r="BU17" s="179" t="s">
        <v>449</v>
      </c>
      <c r="BV17" s="179" t="s">
        <v>449</v>
      </c>
      <c r="BW17" s="179" t="s">
        <v>449</v>
      </c>
      <c r="BX17" s="179" t="s">
        <v>449</v>
      </c>
      <c r="BY17" s="179" t="s">
        <v>449</v>
      </c>
      <c r="BZ17" s="179" t="s">
        <v>449</v>
      </c>
      <c r="CA17" s="179" t="s">
        <v>449</v>
      </c>
      <c r="CB17" s="179" t="s">
        <v>449</v>
      </c>
      <c r="CC17" s="179" t="s">
        <v>449</v>
      </c>
      <c r="CD17" s="179" t="s">
        <v>449</v>
      </c>
      <c r="CE17" s="179" t="s">
        <v>449</v>
      </c>
      <c r="CF17" s="179" t="s">
        <v>449</v>
      </c>
      <c r="CG17" s="179" t="s">
        <v>449</v>
      </c>
      <c r="CH17" s="179" t="s">
        <v>449</v>
      </c>
      <c r="CI17" s="179" t="s">
        <v>449</v>
      </c>
      <c r="CJ17" s="179" t="s">
        <v>449</v>
      </c>
      <c r="CK17" s="179" t="s">
        <v>449</v>
      </c>
      <c r="CL17" s="179" t="s">
        <v>449</v>
      </c>
      <c r="CM17" s="179" t="s">
        <v>449</v>
      </c>
      <c r="CN17" s="179" t="s">
        <v>449</v>
      </c>
      <c r="CO17" s="179" t="s">
        <v>449</v>
      </c>
      <c r="CP17" s="179" t="s">
        <v>449</v>
      </c>
      <c r="CQ17" s="179" t="s">
        <v>449</v>
      </c>
      <c r="CR17" s="179" t="s">
        <v>449</v>
      </c>
      <c r="CS17" s="179" t="s">
        <v>449</v>
      </c>
      <c r="CT17" s="179" t="s">
        <v>449</v>
      </c>
      <c r="CU17" s="179" t="s">
        <v>449</v>
      </c>
      <c r="CV17" s="179" t="s">
        <v>449</v>
      </c>
    </row>
    <row r="18" spans="1:100" ht="15" customHeight="1">
      <c r="B18" s="146" t="s">
        <v>153</v>
      </c>
      <c r="C18" s="168" t="s">
        <v>16</v>
      </c>
      <c r="D18" s="221"/>
      <c r="E18" s="183" t="s">
        <v>145</v>
      </c>
      <c r="F18" s="183" t="s">
        <v>145</v>
      </c>
      <c r="G18" s="183" t="s">
        <v>145</v>
      </c>
      <c r="H18" s="183" t="s">
        <v>145</v>
      </c>
      <c r="I18" s="183" t="s">
        <v>145</v>
      </c>
      <c r="J18" s="183" t="s">
        <v>145</v>
      </c>
      <c r="K18" s="183" t="s">
        <v>145</v>
      </c>
      <c r="L18" s="183" t="s">
        <v>145</v>
      </c>
      <c r="M18" s="183" t="s">
        <v>145</v>
      </c>
      <c r="N18" s="183" t="s">
        <v>145</v>
      </c>
      <c r="O18" s="183" t="s">
        <v>145</v>
      </c>
      <c r="P18" s="183" t="s">
        <v>145</v>
      </c>
      <c r="Q18" s="183" t="s">
        <v>145</v>
      </c>
      <c r="R18" s="183" t="s">
        <v>145</v>
      </c>
      <c r="S18" s="183" t="s">
        <v>145</v>
      </c>
      <c r="T18" s="183" t="s">
        <v>146</v>
      </c>
      <c r="U18" s="183" t="s">
        <v>146</v>
      </c>
      <c r="V18" s="183" t="s">
        <v>146</v>
      </c>
      <c r="W18" s="183" t="s">
        <v>146</v>
      </c>
      <c r="X18" s="183" t="s">
        <v>146</v>
      </c>
      <c r="Y18" s="183" t="s">
        <v>146</v>
      </c>
      <c r="Z18" s="183" t="s">
        <v>146</v>
      </c>
      <c r="AA18" s="183" t="s">
        <v>145</v>
      </c>
      <c r="AB18" s="183" t="s">
        <v>145</v>
      </c>
      <c r="AC18" s="183" t="s">
        <v>145</v>
      </c>
      <c r="AD18" s="183" t="s">
        <v>145</v>
      </c>
      <c r="AE18" s="183" t="s">
        <v>145</v>
      </c>
      <c r="AF18" s="183" t="s">
        <v>145</v>
      </c>
      <c r="AG18" s="183" t="s">
        <v>145</v>
      </c>
      <c r="AH18" s="183" t="s">
        <v>145</v>
      </c>
      <c r="AI18" s="183" t="s">
        <v>145</v>
      </c>
      <c r="AJ18" s="183" t="s">
        <v>145</v>
      </c>
      <c r="AK18" s="183" t="s">
        <v>145</v>
      </c>
      <c r="AL18" s="183" t="s">
        <v>145</v>
      </c>
      <c r="AM18" s="183" t="s">
        <v>145</v>
      </c>
      <c r="AN18" s="183" t="s">
        <v>145</v>
      </c>
      <c r="AO18" s="183" t="s">
        <v>145</v>
      </c>
      <c r="AP18" s="183" t="s">
        <v>146</v>
      </c>
      <c r="AQ18" s="183" t="s">
        <v>146</v>
      </c>
      <c r="AR18" s="183" t="s">
        <v>146</v>
      </c>
      <c r="AS18" s="183" t="s">
        <v>146</v>
      </c>
      <c r="AT18" s="183" t="s">
        <v>146</v>
      </c>
      <c r="AU18" s="183" t="s">
        <v>146</v>
      </c>
      <c r="AV18" s="183" t="s">
        <v>146</v>
      </c>
      <c r="AW18" s="183" t="s">
        <v>146</v>
      </c>
      <c r="AX18" s="183" t="s">
        <v>146</v>
      </c>
      <c r="AY18" s="183" t="s">
        <v>146</v>
      </c>
      <c r="AZ18" s="183" t="s">
        <v>146</v>
      </c>
      <c r="BA18" s="183" t="s">
        <v>146</v>
      </c>
      <c r="BB18" s="183" t="s">
        <v>146</v>
      </c>
      <c r="BC18" s="183" t="s">
        <v>146</v>
      </c>
      <c r="BD18" s="183" t="s">
        <v>146</v>
      </c>
      <c r="BE18" s="183" t="s">
        <v>146</v>
      </c>
      <c r="BF18" s="183" t="s">
        <v>146</v>
      </c>
      <c r="BG18" s="183" t="s">
        <v>146</v>
      </c>
      <c r="BH18" s="183" t="s">
        <v>146</v>
      </c>
      <c r="BI18" s="183" t="s">
        <v>146</v>
      </c>
      <c r="BJ18" s="183" t="s">
        <v>146</v>
      </c>
      <c r="BK18" s="183" t="s">
        <v>146</v>
      </c>
      <c r="BL18" s="183" t="s">
        <v>146</v>
      </c>
      <c r="BM18" s="183" t="s">
        <v>146</v>
      </c>
      <c r="BN18" s="183" t="s">
        <v>146</v>
      </c>
      <c r="BO18" s="183" t="s">
        <v>146</v>
      </c>
      <c r="BP18" s="183" t="s">
        <v>146</v>
      </c>
      <c r="BQ18" s="183" t="s">
        <v>145</v>
      </c>
      <c r="BR18" s="183" t="s">
        <v>145</v>
      </c>
      <c r="BS18" s="183" t="s">
        <v>146</v>
      </c>
      <c r="BT18" s="183" t="s">
        <v>146</v>
      </c>
      <c r="BU18" s="183" t="s">
        <v>146</v>
      </c>
      <c r="BV18" s="183" t="s">
        <v>146</v>
      </c>
      <c r="BW18" s="183" t="s">
        <v>146</v>
      </c>
      <c r="BX18" s="183" t="s">
        <v>146</v>
      </c>
      <c r="BY18" s="183" t="s">
        <v>146</v>
      </c>
      <c r="BZ18" s="183" t="s">
        <v>145</v>
      </c>
      <c r="CA18" s="183" t="s">
        <v>145</v>
      </c>
      <c r="CB18" s="183" t="s">
        <v>146</v>
      </c>
      <c r="CC18" s="183" t="s">
        <v>146</v>
      </c>
      <c r="CD18" s="183" t="s">
        <v>146</v>
      </c>
      <c r="CE18" s="183" t="s">
        <v>146</v>
      </c>
      <c r="CF18" s="183" t="s">
        <v>146</v>
      </c>
      <c r="CG18" s="183" t="s">
        <v>146</v>
      </c>
      <c r="CH18" s="183" t="s">
        <v>146</v>
      </c>
      <c r="CI18" s="183" t="s">
        <v>145</v>
      </c>
      <c r="CJ18" s="183" t="s">
        <v>145</v>
      </c>
      <c r="CK18" s="183" t="s">
        <v>146</v>
      </c>
      <c r="CL18" s="183" t="s">
        <v>146</v>
      </c>
      <c r="CM18" s="183" t="s">
        <v>146</v>
      </c>
      <c r="CN18" s="183" t="s">
        <v>146</v>
      </c>
      <c r="CO18" s="183" t="s">
        <v>146</v>
      </c>
      <c r="CP18" s="183" t="s">
        <v>146</v>
      </c>
      <c r="CQ18" s="183" t="s">
        <v>145</v>
      </c>
      <c r="CR18" s="183" t="s">
        <v>145</v>
      </c>
      <c r="CS18" s="183" t="s">
        <v>145</v>
      </c>
      <c r="CT18" s="183" t="s">
        <v>145</v>
      </c>
      <c r="CU18" s="183" t="s">
        <v>145</v>
      </c>
      <c r="CV18" s="183" t="s">
        <v>145</v>
      </c>
    </row>
    <row r="19" spans="1:100"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45292</v>
      </c>
      <c r="AZ19" s="184">
        <v>45292</v>
      </c>
      <c r="BA19" s="184">
        <v>45292</v>
      </c>
      <c r="BB19" s="184">
        <v>45292</v>
      </c>
      <c r="BC19" s="184">
        <v>45292</v>
      </c>
      <c r="BD19" s="184">
        <v>45292</v>
      </c>
      <c r="BE19" s="184">
        <v>45292</v>
      </c>
      <c r="BF19" s="184">
        <v>45292</v>
      </c>
      <c r="BG19" s="184">
        <v>45292</v>
      </c>
      <c r="BH19" s="184">
        <v>45292</v>
      </c>
      <c r="BI19" s="184">
        <v>45292</v>
      </c>
      <c r="BJ19" s="184">
        <v>45292</v>
      </c>
      <c r="BK19" s="184">
        <v>45292</v>
      </c>
      <c r="BL19" s="184">
        <v>45292</v>
      </c>
      <c r="BM19" s="184">
        <v>45292</v>
      </c>
      <c r="BN19" s="184">
        <v>45292</v>
      </c>
      <c r="BO19" s="184">
        <v>45292</v>
      </c>
      <c r="BP19" s="184">
        <v>45292</v>
      </c>
      <c r="BQ19" s="184">
        <v>45292</v>
      </c>
      <c r="BR19" s="184">
        <v>45292</v>
      </c>
      <c r="BS19" s="184">
        <v>45292</v>
      </c>
      <c r="BT19" s="184">
        <v>45292</v>
      </c>
      <c r="BU19" s="184">
        <v>45292</v>
      </c>
      <c r="BV19" s="184">
        <v>45292</v>
      </c>
      <c r="BW19" s="184">
        <v>45292</v>
      </c>
      <c r="BX19" s="184">
        <v>45292</v>
      </c>
      <c r="BY19" s="184">
        <v>45292</v>
      </c>
      <c r="BZ19" s="184">
        <v>45292</v>
      </c>
      <c r="CA19" s="184">
        <v>45292</v>
      </c>
      <c r="CB19" s="184">
        <v>45292</v>
      </c>
      <c r="CC19" s="184">
        <v>45292</v>
      </c>
      <c r="CD19" s="184">
        <v>45292</v>
      </c>
      <c r="CE19" s="184">
        <v>45292</v>
      </c>
      <c r="CF19" s="184">
        <v>45292</v>
      </c>
      <c r="CG19" s="184">
        <v>45292</v>
      </c>
      <c r="CH19" s="184">
        <v>45292</v>
      </c>
      <c r="CI19" s="184">
        <v>45292</v>
      </c>
      <c r="CJ19" s="184">
        <v>45292</v>
      </c>
      <c r="CK19" s="184">
        <v>45292</v>
      </c>
      <c r="CL19" s="184">
        <v>45292</v>
      </c>
      <c r="CM19" s="184">
        <v>45292</v>
      </c>
      <c r="CN19" s="184">
        <v>45292</v>
      </c>
      <c r="CO19" s="184">
        <v>45292</v>
      </c>
      <c r="CP19" s="184">
        <v>45292</v>
      </c>
      <c r="CQ19" s="184">
        <v>45292</v>
      </c>
      <c r="CR19" s="184">
        <v>45292</v>
      </c>
      <c r="CS19" s="184">
        <v>45292</v>
      </c>
      <c r="CT19" s="184">
        <v>45292</v>
      </c>
      <c r="CU19" s="184">
        <v>45292</v>
      </c>
      <c r="CV19" s="184">
        <v>45292</v>
      </c>
    </row>
    <row r="20" spans="1:100" ht="15" customHeight="1">
      <c r="B20" s="146" t="s">
        <v>150</v>
      </c>
      <c r="C20" s="168" t="s">
        <v>109</v>
      </c>
      <c r="D20" s="221"/>
      <c r="E20" s="185">
        <v>9.7271420842799605E-2</v>
      </c>
      <c r="F20" s="185">
        <v>8.1149457305092154E-2</v>
      </c>
      <c r="G20" s="185">
        <v>0.10170756162614802</v>
      </c>
      <c r="H20" s="185">
        <v>7.9212534800578549E-2</v>
      </c>
      <c r="I20" s="185">
        <v>9.8724621992279493E-2</v>
      </c>
      <c r="J20" s="185">
        <v>8.7232664194197618E-2</v>
      </c>
      <c r="K20" s="185">
        <v>9.3421073454356796E-2</v>
      </c>
      <c r="L20" s="185">
        <v>0.11018350005792787</v>
      </c>
      <c r="M20" s="185">
        <v>0.11069855289006414</v>
      </c>
      <c r="N20" s="185">
        <v>8.8491598666998961E-2</v>
      </c>
      <c r="O20" s="185">
        <v>8.5507449199162755E-2</v>
      </c>
      <c r="P20" s="185">
        <v>8.3089018616972377E-2</v>
      </c>
      <c r="Q20" s="185">
        <v>0.11343547661051301</v>
      </c>
      <c r="R20" s="185">
        <v>0.10676457310985543</v>
      </c>
      <c r="S20" s="185">
        <v>8.3511666228306636E-2</v>
      </c>
      <c r="T20" s="185">
        <v>0</v>
      </c>
      <c r="U20" s="185">
        <v>0</v>
      </c>
      <c r="V20" s="185">
        <v>0</v>
      </c>
      <c r="W20" s="185">
        <v>0</v>
      </c>
      <c r="X20" s="185">
        <v>0</v>
      </c>
      <c r="Y20" s="185">
        <v>0</v>
      </c>
      <c r="Z20" s="185">
        <v>0</v>
      </c>
      <c r="AA20" s="185">
        <v>8.0721942488490184E-2</v>
      </c>
      <c r="AB20" s="185">
        <v>7.8592787904639083E-2</v>
      </c>
      <c r="AC20" s="185">
        <v>7.8896377165776022E-2</v>
      </c>
      <c r="AD20" s="185">
        <v>9.2703178822004073E-2</v>
      </c>
      <c r="AE20" s="185">
        <v>7.8753199852125366E-2</v>
      </c>
      <c r="AF20" s="185">
        <v>7.9647963640373076E-2</v>
      </c>
      <c r="AG20" s="185">
        <v>8.8638184660097874E-2</v>
      </c>
      <c r="AH20" s="185">
        <v>9.8445339964311707E-2</v>
      </c>
      <c r="AI20" s="185">
        <v>8.791213256127195E-2</v>
      </c>
      <c r="AJ20" s="185">
        <v>8.5894754427357389E-2</v>
      </c>
      <c r="AK20" s="185">
        <v>8.3466084602934476E-2</v>
      </c>
      <c r="AL20" s="185">
        <v>7.4752646281876167E-2</v>
      </c>
      <c r="AM20" s="185">
        <v>0</v>
      </c>
      <c r="AN20" s="185">
        <v>0</v>
      </c>
      <c r="AO20" s="185">
        <v>0</v>
      </c>
      <c r="AP20" s="185">
        <v>0</v>
      </c>
      <c r="AQ20" s="185">
        <v>0</v>
      </c>
      <c r="AR20" s="185">
        <v>0</v>
      </c>
      <c r="AS20" s="185">
        <v>0</v>
      </c>
      <c r="AT20" s="185">
        <v>0</v>
      </c>
      <c r="AU20" s="185">
        <v>0</v>
      </c>
      <c r="AV20" s="185">
        <v>0.11699289299133286</v>
      </c>
      <c r="AW20" s="185">
        <v>0.11658110844720104</v>
      </c>
      <c r="AX20" s="185">
        <v>0.10055133489459633</v>
      </c>
      <c r="AY20" s="185">
        <v>9.9281926956850564E-2</v>
      </c>
      <c r="AZ20" s="185">
        <v>0</v>
      </c>
      <c r="BA20" s="185">
        <v>0</v>
      </c>
      <c r="BB20" s="185">
        <v>0</v>
      </c>
      <c r="BC20" s="185">
        <v>0</v>
      </c>
      <c r="BD20" s="185">
        <v>0</v>
      </c>
      <c r="BE20" s="185">
        <v>0</v>
      </c>
      <c r="BF20" s="185">
        <v>0</v>
      </c>
      <c r="BG20" s="185">
        <v>0</v>
      </c>
      <c r="BH20" s="185">
        <v>0</v>
      </c>
      <c r="BI20" s="185">
        <v>0</v>
      </c>
      <c r="BJ20" s="185">
        <v>0</v>
      </c>
      <c r="BK20" s="185">
        <v>0</v>
      </c>
      <c r="BL20" s="185">
        <v>0</v>
      </c>
      <c r="BM20" s="185">
        <v>0</v>
      </c>
      <c r="BN20" s="185">
        <v>0</v>
      </c>
      <c r="BO20" s="185">
        <v>0</v>
      </c>
      <c r="BP20" s="185">
        <v>0</v>
      </c>
      <c r="BQ20" s="185">
        <v>5.9951211024027673E-2</v>
      </c>
      <c r="BR20" s="185">
        <v>3.608474066272005E-2</v>
      </c>
      <c r="BS20" s="185">
        <v>0</v>
      </c>
      <c r="BT20" s="185">
        <v>0</v>
      </c>
      <c r="BU20" s="185">
        <v>0</v>
      </c>
      <c r="BV20" s="185">
        <v>0</v>
      </c>
      <c r="BW20" s="185">
        <v>0</v>
      </c>
      <c r="BX20" s="185">
        <v>0</v>
      </c>
      <c r="BY20" s="185">
        <v>0</v>
      </c>
      <c r="BZ20" s="185">
        <v>0.1129958235787536</v>
      </c>
      <c r="CA20" s="185">
        <v>8.7853562927942441E-2</v>
      </c>
      <c r="CB20" s="185">
        <v>0</v>
      </c>
      <c r="CC20" s="185">
        <v>0</v>
      </c>
      <c r="CD20" s="185">
        <v>0</v>
      </c>
      <c r="CE20" s="185">
        <v>0</v>
      </c>
      <c r="CF20" s="185">
        <v>0</v>
      </c>
      <c r="CG20" s="185">
        <v>0</v>
      </c>
      <c r="CH20" s="185">
        <v>0</v>
      </c>
      <c r="CI20" s="185">
        <v>-1.7336859624222933E-3</v>
      </c>
      <c r="CJ20" s="185">
        <v>-2.4297489920885096E-2</v>
      </c>
      <c r="CK20" s="185">
        <v>0</v>
      </c>
      <c r="CL20" s="185">
        <v>0</v>
      </c>
      <c r="CM20" s="185">
        <v>0</v>
      </c>
      <c r="CN20" s="185">
        <v>0</v>
      </c>
      <c r="CO20" s="185">
        <v>0</v>
      </c>
      <c r="CP20" s="185">
        <v>0</v>
      </c>
      <c r="CQ20" s="185">
        <v>0.15233294601204306</v>
      </c>
      <c r="CR20" s="185">
        <v>0.11381670845885772</v>
      </c>
      <c r="CS20" s="185">
        <v>9.4719183360326031E-2</v>
      </c>
      <c r="CT20" s="185">
        <v>0</v>
      </c>
      <c r="CU20" s="185">
        <v>0</v>
      </c>
      <c r="CV20" s="185">
        <v>0</v>
      </c>
    </row>
    <row r="21" spans="1:100" ht="15" customHeight="1">
      <c r="B21" s="146" t="s">
        <v>151</v>
      </c>
      <c r="C21" s="168" t="s">
        <v>84</v>
      </c>
      <c r="D21" s="221"/>
      <c r="E21" s="251">
        <f t="array" ref="E21">IF(SUMPRODUCT((E16:Z16="Renewing")*((E14:Z14="Platinum")+(E14:Z14="Gold")+(E14:Z14="Silver")+(E14:Z14="Bronze")+(E14:Z14="Catastrophic")))=0, 0, ROUND(ROUND(SUMPRODUCT(1+E20:Z20,E34:Z34,E35:Z35,--(E16:Z16="Renewing")*((E14:Z14="Platinum")+(E14:Z14="Gold")+(E14:Z14="Silver")+(E14:Z14="Bronze")+(E14:Z14="Catastrophic")))/SUMPRODUCT(E34:Z34,E35:Z35,--(E16:Z16="Renewing")*((E14:Z14="Platinum")+(E14:Z14="Gold")+(E14:Z14="Silver")+(E14:Z14="Bronze")+(E14:Z14="Catastrophic"))), 4)-1, 4))</f>
        <v>9.2399999999999996E-2</v>
      </c>
      <c r="F21" s="252"/>
      <c r="G21" s="252"/>
      <c r="H21" s="252"/>
      <c r="I21" s="252"/>
      <c r="J21" s="252"/>
      <c r="K21" s="252"/>
      <c r="L21" s="252"/>
      <c r="M21" s="252"/>
      <c r="N21" s="252"/>
      <c r="O21" s="252"/>
      <c r="P21" s="252"/>
      <c r="Q21" s="252"/>
      <c r="R21" s="252"/>
      <c r="S21" s="252"/>
      <c r="T21" s="252"/>
      <c r="U21" s="252"/>
      <c r="V21" s="252"/>
      <c r="W21" s="252"/>
      <c r="X21" s="252"/>
      <c r="Y21" s="252"/>
      <c r="Z21" s="253"/>
      <c r="AA21" s="251">
        <f t="array" ref="AA21">IF(SUMPRODUCT((AA16:AU16="Renewing")*((AA14:AU14="Platinum")+(AA14:AU14="Gold")+(AA14:AU14="Silver")+(AA14:AU14="Bronze")+(AA14:AU14="Catastrophic")))=0, 0, ROUND(ROUND(SUMPRODUCT(1+AA20:AU20,AA34:AU34,AA35:AU35,--(AA16:AU16="Renewing")*((AA14:AU14="Platinum")+(AA14:AU14="Gold")+(AA14:AU14="Silver")+(AA14:AU14="Bronze")+(AA14:AU14="Catastrophic")))/SUMPRODUCT(AA34:AU34,AA35:AU35,--(AA16:AU16="Renewing")*((AA14:AU14="Platinum")+(AA14:AU14="Gold")+(AA14:AU14="Silver")+(AA14:AU14="Bronze")+(AA14:AU14="Catastrophic"))), 4)-1, 4))</f>
        <v>8.3500000000000005E-2</v>
      </c>
      <c r="AB21" s="252"/>
      <c r="AC21" s="252"/>
      <c r="AD21" s="252"/>
      <c r="AE21" s="252"/>
      <c r="AF21" s="252"/>
      <c r="AG21" s="252"/>
      <c r="AH21" s="252"/>
      <c r="AI21" s="252"/>
      <c r="AJ21" s="252"/>
      <c r="AK21" s="252"/>
      <c r="AL21" s="252"/>
      <c r="AM21" s="252"/>
      <c r="AN21" s="252"/>
      <c r="AO21" s="252"/>
      <c r="AP21" s="252"/>
      <c r="AQ21" s="252"/>
      <c r="AR21" s="252"/>
      <c r="AS21" s="252"/>
      <c r="AT21" s="252"/>
      <c r="AU21" s="253"/>
      <c r="AV21" s="251">
        <f t="array" ref="AV21">IF(SUMPRODUCT((AV16:BH16="Renewing")*((AV14:BH14="Platinum")+(AV14:BH14="Gold")+(AV14:BH14="Silver")+(AV14:BH14="Bronze")+(AV14:BH14="Catastrophic")))=0, 0, ROUND(ROUND(SUMPRODUCT(1+AV20:BH20,AV34:BH34,AV35:BH35,--(AV16:BH16="Renewing")*((AV14:BH14="Platinum")+(AV14:BH14="Gold")+(AV14:BH14="Silver")+(AV14:BH14="Bronze")+(AV14:BH14="Catastrophic")))/SUMPRODUCT(AV34:BH34,AV35:BH35,--(AV16:BH16="Renewing")*((AV14:BH14="Platinum")+(AV14:BH14="Gold")+(AV14:BH14="Silver")+(AV14:BH14="Bronze")+(AV14:BH14="Catastrophic"))), 4)-1, 4))</f>
        <v>0.1099</v>
      </c>
      <c r="AW21" s="252"/>
      <c r="AX21" s="252"/>
      <c r="AY21" s="252"/>
      <c r="AZ21" s="252"/>
      <c r="BA21" s="252"/>
      <c r="BB21" s="252"/>
      <c r="BC21" s="252"/>
      <c r="BD21" s="252"/>
      <c r="BE21" s="252"/>
      <c r="BF21" s="252"/>
      <c r="BG21" s="252"/>
      <c r="BH21" s="253"/>
      <c r="BI21" s="251">
        <f t="array" ref="BI21">IF(SUMPRODUCT((BI16:BP16="Renewing")*((BI14:BP14="Platinum")+(BI14:BP14="Gold")+(BI14:BP14="Silver")+(BI14:BP14="Bronze")+(BI14:BP14="Catastrophic")))=0, 0, ROUND(ROUND(SUMPRODUCT(1+BI20:BP20,BI34:BP34,BI35:BP35,--(BI16:BP16="Renewing")*((BI14:BP14="Platinum")+(BI14:BP14="Gold")+(BI14:BP14="Silver")+(BI14:BP14="Bronze")+(BI14:BP14="Catastrophic")))/SUMPRODUCT(BI34:BP34,BI35:BP35,--(BI16:BP16="Renewing")*((BI14:BP14="Platinum")+(BI14:BP14="Gold")+(BI14:BP14="Silver")+(BI14:BP14="Bronze")+(BI14:BP14="Catastrophic"))), 4)-1, 4))</f>
        <v>0</v>
      </c>
      <c r="BJ21" s="252"/>
      <c r="BK21" s="252"/>
      <c r="BL21" s="252"/>
      <c r="BM21" s="252"/>
      <c r="BN21" s="252"/>
      <c r="BO21" s="252"/>
      <c r="BP21" s="253"/>
      <c r="BQ21" s="251">
        <f t="array" ref="BQ21">IF(SUMPRODUCT((BQ16:BY16="Renewing")*((BQ14:BY14="Platinum")+(BQ14:BY14="Gold")+(BQ14:BY14="Silver")+(BQ14:BY14="Bronze")+(BQ14:BY14="Catastrophic")))=0, 0, ROUND(ROUND(SUMPRODUCT(1+BQ20:BY20,BQ34:BY34,BQ35:BY35,--(BQ16:BY16="Renewing")*((BQ14:BY14="Platinum")+(BQ14:BY14="Gold")+(BQ14:BY14="Silver")+(BQ14:BY14="Bronze")+(BQ14:BY14="Catastrophic")))/SUMPRODUCT(BQ34:BY34,BQ35:BY35,--(BQ16:BY16="Renewing")*((BQ14:BY14="Platinum")+(BQ14:BY14="Gold")+(BQ14:BY14="Silver")+(BQ14:BY14="Bronze")+(BQ14:BY14="Catastrophic"))), 4)-1, 4))</f>
        <v>3.6900000000000002E-2</v>
      </c>
      <c r="BR21" s="252"/>
      <c r="BS21" s="252"/>
      <c r="BT21" s="252"/>
      <c r="BU21" s="252"/>
      <c r="BV21" s="252"/>
      <c r="BW21" s="252"/>
      <c r="BX21" s="252"/>
      <c r="BY21" s="253"/>
      <c r="BZ21" s="251">
        <f t="array" ref="BZ21">IF(SUMPRODUCT((BZ16:CH16="Renewing")*((BZ14:CH14="Platinum")+(BZ14:CH14="Gold")+(BZ14:CH14="Silver")+(BZ14:CH14="Bronze")+(BZ14:CH14="Catastrophic")))=0, 0, ROUND(ROUND(SUMPRODUCT(1+BZ20:CH20,BZ34:CH34,BZ35:CH35,--(BZ16:CH16="Renewing")*((BZ14:CH14="Platinum")+(BZ14:CH14="Gold")+(BZ14:CH14="Silver")+(BZ14:CH14="Bronze")+(BZ14:CH14="Catastrophic")))/SUMPRODUCT(BZ34:CH34,BZ35:CH35,--(BZ16:CH16="Renewing")*((BZ14:CH14="Platinum")+(BZ14:CH14="Gold")+(BZ14:CH14="Silver")+(BZ14:CH14="Bronze")+(BZ14:CH14="Catastrophic"))), 4)-1, 4))</f>
        <v>8.8800000000000004E-2</v>
      </c>
      <c r="CA21" s="252"/>
      <c r="CB21" s="252"/>
      <c r="CC21" s="252"/>
      <c r="CD21" s="252"/>
      <c r="CE21" s="252"/>
      <c r="CF21" s="252"/>
      <c r="CG21" s="252"/>
      <c r="CH21" s="253"/>
      <c r="CI21" s="251">
        <f t="array" ref="CI21">IF(SUMPRODUCT((CI16:CP16="Renewing")*((CI14:CP14="Platinum")+(CI14:CP14="Gold")+(CI14:CP14="Silver")+(CI14:CP14="Bronze")+(CI14:CP14="Catastrophic")))=0, 0, ROUND(ROUND(SUMPRODUCT(1+CI20:CP20,CI34:CP34,CI35:CP35,--(CI16:CP16="Renewing")*((CI14:CP14="Platinum")+(CI14:CP14="Gold")+(CI14:CP14="Silver")+(CI14:CP14="Bronze")+(CI14:CP14="Catastrophic")))/SUMPRODUCT(CI34:CP34,CI35:CP35,--(CI16:CP16="Renewing")*((CI14:CP14="Platinum")+(CI14:CP14="Gold")+(CI14:CP14="Silver")+(CI14:CP14="Bronze")+(CI14:CP14="Catastrophic"))), 4)-1, 4))</f>
        <v>-2.2599999999999999E-2</v>
      </c>
      <c r="CJ21" s="252"/>
      <c r="CK21" s="252"/>
      <c r="CL21" s="252"/>
      <c r="CM21" s="252"/>
      <c r="CN21" s="252"/>
      <c r="CO21" s="252"/>
      <c r="CP21" s="253"/>
      <c r="CQ21" s="251">
        <f t="array" ref="CQ21">IF(SUMPRODUCT((CQ16:CV16="Renewing")*((CQ14:CV14="Platinum")+(CQ14:CV14="Gold")+(CQ14:CV14="Silver")+(CQ14:CV14="Bronze")+(CQ14:CV14="Catastrophic")))=0, 0, ROUND(ROUND(SUMPRODUCT(1+CQ20:CV20,CQ34:CV34,CQ35:CV35,--(CQ16:CV16="Renewing")*((CQ14:CV14="Platinum")+(CQ14:CV14="Gold")+(CQ14:CV14="Silver")+(CQ14:CV14="Bronze")+(CQ14:CV14="Catastrophic")))/SUMPRODUCT(CQ34:CV34,CQ35:CV35,--(CQ16:CV16="Renewing")*((CQ14:CV14="Platinum")+(CQ14:CV14="Gold")+(CQ14:CV14="Silver")+(CQ14:CV14="Bronze")+(CQ14:CV14="Catastrophic"))), 4)-1, 4))</f>
        <v>0.1168</v>
      </c>
      <c r="CR21" s="252"/>
      <c r="CS21" s="252"/>
      <c r="CT21" s="252"/>
      <c r="CU21" s="252"/>
      <c r="CV21" s="253"/>
    </row>
    <row r="22" spans="1:100" ht="15" customHeight="1">
      <c r="B22" s="148" t="s">
        <v>152</v>
      </c>
      <c r="C22" s="139" t="s">
        <v>212</v>
      </c>
      <c r="D22" s="222"/>
      <c r="E22" s="251">
        <f t="array" ref="E22">IF(SUMPRODUCT((E16:CV16="Renewing")*((E14:CV14="Platinum")+(E14:CV14="Gold")+(E14:CV14="Silver")+(E14:CV14="Bronze")+(E14:CV14="Catastrophic")))=0, 0, ROUND(ROUND(SUMPRODUCT(1+E20:CV20,E34:CV34,E35:CV35,--(E16:CV16="Renewing")*((E14:CV14="Platinum")+(E14:CV14="Gold")+(E14:CV14="Silver")+(E14:CV14="Bronze")+(E14:CV14="Catastrophic")))/SUMPRODUCT(E34:CV34,E35:CV35,--(E16:CV16="Renewing")*((E14:CV14="Platinum")+(E14:CV14="Gold")+(E14:CV14="Silver")+(E14:CV14="Bronze")+(E14:CV14="Catastrophic"))), 4)-1, 4))</f>
        <v>9.2700000000000005E-2</v>
      </c>
      <c r="F22" s="252"/>
      <c r="G22" s="252"/>
      <c r="H22" s="252"/>
      <c r="I22" s="252"/>
      <c r="J22" s="252"/>
      <c r="K22" s="252"/>
      <c r="L22" s="252"/>
      <c r="M22" s="252"/>
      <c r="N22" s="252"/>
      <c r="O22" s="252"/>
      <c r="P22" s="252"/>
      <c r="Q22" s="252"/>
      <c r="R22" s="252"/>
      <c r="S22" s="252"/>
      <c r="T22" s="252"/>
      <c r="U22" s="252"/>
      <c r="V22" s="252"/>
      <c r="W22" s="252"/>
      <c r="X22" s="252"/>
      <c r="Y22" s="252"/>
      <c r="Z22" s="252"/>
      <c r="AA22" s="252"/>
      <c r="AB22" s="252"/>
      <c r="AC22" s="252"/>
      <c r="AD22" s="252"/>
      <c r="AE22" s="252"/>
      <c r="AF22" s="252"/>
      <c r="AG22" s="252"/>
      <c r="AH22" s="252"/>
      <c r="AI22" s="252"/>
      <c r="AJ22" s="252"/>
      <c r="AK22" s="252"/>
      <c r="AL22" s="252"/>
      <c r="AM22" s="252"/>
      <c r="AN22" s="252"/>
      <c r="AO22" s="252"/>
      <c r="AP22" s="252"/>
      <c r="AQ22" s="252"/>
      <c r="AR22" s="252"/>
      <c r="AS22" s="252"/>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c r="BW22" s="252"/>
      <c r="BX22" s="252"/>
      <c r="BY22" s="252"/>
      <c r="BZ22" s="252"/>
      <c r="CA22" s="252"/>
      <c r="CB22" s="252"/>
      <c r="CC22" s="252"/>
      <c r="CD22" s="252"/>
      <c r="CE22" s="252"/>
      <c r="CF22" s="252"/>
      <c r="CG22" s="252"/>
      <c r="CH22" s="252"/>
      <c r="CI22" s="252"/>
      <c r="CJ22" s="252"/>
      <c r="CK22" s="252"/>
      <c r="CL22" s="252"/>
      <c r="CM22" s="252"/>
      <c r="CN22" s="252"/>
      <c r="CO22" s="252"/>
      <c r="CP22" s="252"/>
      <c r="CQ22" s="252"/>
      <c r="CR22" s="252"/>
      <c r="CS22" s="252"/>
      <c r="CT22" s="252"/>
      <c r="CU22" s="252"/>
      <c r="CV22" s="253"/>
    </row>
    <row r="23" spans="1:100" ht="15" customHeight="1">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row>
    <row r="24" spans="1:100" ht="15" customHeight="1">
      <c r="A24" s="71" t="s">
        <v>119</v>
      </c>
      <c r="C24" s="19" t="s">
        <v>110</v>
      </c>
      <c r="D24" s="19"/>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row>
    <row r="25" spans="1:100" ht="15" customHeight="1">
      <c r="A25" s="149"/>
      <c r="B25" s="146" t="s">
        <v>162</v>
      </c>
      <c r="C25" s="152" t="s">
        <v>106</v>
      </c>
      <c r="D25" s="150" t="s">
        <v>2</v>
      </c>
      <c r="E25" s="90" t="str">
        <f t="shared" ref="E25:AJ25" si="0">IF(E13&lt;&gt;"",E13,"")</f>
        <v>70893GA0010017</v>
      </c>
      <c r="F25" s="90" t="str">
        <f t="shared" si="0"/>
        <v>70893GA0010022</v>
      </c>
      <c r="G25" s="90" t="str">
        <f t="shared" si="0"/>
        <v>70893GA0010068</v>
      </c>
      <c r="H25" s="90" t="str">
        <f t="shared" si="0"/>
        <v>70893GA0010006</v>
      </c>
      <c r="I25" s="90" t="str">
        <f t="shared" si="0"/>
        <v>70893GA0010051</v>
      </c>
      <c r="J25" s="90" t="str">
        <f t="shared" si="0"/>
        <v>70893GA0010020</v>
      </c>
      <c r="K25" s="90" t="str">
        <f t="shared" si="0"/>
        <v>70893GA0010070</v>
      </c>
      <c r="L25" s="90" t="str">
        <f t="shared" si="0"/>
        <v>70893GA0010067</v>
      </c>
      <c r="M25" s="90" t="str">
        <f t="shared" si="0"/>
        <v>70893GA0010064</v>
      </c>
      <c r="N25" s="90" t="str">
        <f t="shared" si="0"/>
        <v>70893GA0010071</v>
      </c>
      <c r="O25" s="90" t="str">
        <f t="shared" si="0"/>
        <v>70893GA0010073</v>
      </c>
      <c r="P25" s="90" t="str">
        <f t="shared" si="0"/>
        <v>70893GA0010074</v>
      </c>
      <c r="Q25" s="90" t="str">
        <f t="shared" si="0"/>
        <v>70893GA0010076</v>
      </c>
      <c r="R25" s="90" t="str">
        <f t="shared" si="0"/>
        <v>70893GA0010078</v>
      </c>
      <c r="S25" s="90" t="str">
        <f t="shared" si="0"/>
        <v>70893GA0010077</v>
      </c>
      <c r="T25" s="90" t="str">
        <f t="shared" si="0"/>
        <v>70893GA0010009</v>
      </c>
      <c r="U25" s="90" t="str">
        <f t="shared" si="0"/>
        <v>70893GA0010075</v>
      </c>
      <c r="V25" s="90" t="str">
        <f t="shared" si="0"/>
        <v>70893GA0010030</v>
      </c>
      <c r="W25" s="90" t="str">
        <f t="shared" si="0"/>
        <v>70893GA0010034</v>
      </c>
      <c r="X25" s="90" t="str">
        <f t="shared" si="0"/>
        <v>70893GA0010069</v>
      </c>
      <c r="Y25" s="90" t="str">
        <f t="shared" si="0"/>
        <v>70893GA0010065</v>
      </c>
      <c r="Z25" s="90" t="str">
        <f t="shared" si="0"/>
        <v>70893GA0010066</v>
      </c>
      <c r="AA25" s="90" t="str">
        <f t="shared" si="0"/>
        <v>70893GA0030017</v>
      </c>
      <c r="AB25" s="90" t="str">
        <f t="shared" si="0"/>
        <v>70893GA0030013</v>
      </c>
      <c r="AC25" s="90" t="str">
        <f t="shared" si="0"/>
        <v>70893GA0030019</v>
      </c>
      <c r="AD25" s="90" t="str">
        <f t="shared" si="0"/>
        <v>70893GA0030051</v>
      </c>
      <c r="AE25" s="90" t="str">
        <f t="shared" si="0"/>
        <v>70893GA0030020</v>
      </c>
      <c r="AF25" s="90" t="str">
        <f t="shared" si="0"/>
        <v>70893GA0030072</v>
      </c>
      <c r="AG25" s="90" t="str">
        <f t="shared" si="0"/>
        <v>70893GA0030070</v>
      </c>
      <c r="AH25" s="90" t="str">
        <f t="shared" si="0"/>
        <v>70893GA0030067</v>
      </c>
      <c r="AI25" s="90" t="str">
        <f t="shared" si="0"/>
        <v>70893GA0030064</v>
      </c>
      <c r="AJ25" s="90" t="str">
        <f t="shared" si="0"/>
        <v>70893GA0030071</v>
      </c>
      <c r="AK25" s="90" t="str">
        <f t="shared" ref="AK25:BP25" si="1">IF(AK13&lt;&gt;"",AK13,"")</f>
        <v>70893GA0030074</v>
      </c>
      <c r="AL25" s="90" t="str">
        <f t="shared" si="1"/>
        <v>70893GA0030075</v>
      </c>
      <c r="AM25" s="90" t="str">
        <f t="shared" si="1"/>
        <v>70893GA0030076</v>
      </c>
      <c r="AN25" s="90" t="str">
        <f t="shared" si="1"/>
        <v>70893GA0030078</v>
      </c>
      <c r="AO25" s="90" t="str">
        <f t="shared" si="1"/>
        <v>70893GA0030077</v>
      </c>
      <c r="AP25" s="90" t="str">
        <f t="shared" si="1"/>
        <v>70893GA0030014</v>
      </c>
      <c r="AQ25" s="90" t="str">
        <f t="shared" si="1"/>
        <v>70893GA0030043</v>
      </c>
      <c r="AR25" s="90" t="str">
        <f t="shared" si="1"/>
        <v>70893GA0030034</v>
      </c>
      <c r="AS25" s="90" t="str">
        <f t="shared" si="1"/>
        <v>70893GA0030069</v>
      </c>
      <c r="AT25" s="90" t="str">
        <f t="shared" si="1"/>
        <v>70893GA0030065</v>
      </c>
      <c r="AU25" s="90" t="str">
        <f t="shared" si="1"/>
        <v>70893GA0030066</v>
      </c>
      <c r="AV25" s="90" t="str">
        <f t="shared" si="1"/>
        <v>70893GA0040023</v>
      </c>
      <c r="AW25" s="90" t="str">
        <f t="shared" si="1"/>
        <v>70893GA0040024</v>
      </c>
      <c r="AX25" s="90" t="str">
        <f t="shared" si="1"/>
        <v>70893GA0040025</v>
      </c>
      <c r="AY25" s="90" t="str">
        <f t="shared" si="1"/>
        <v>70893GA0040026</v>
      </c>
      <c r="AZ25" s="90" t="str">
        <f t="shared" si="1"/>
        <v>70893GA0040028</v>
      </c>
      <c r="BA25" s="90" t="str">
        <f t="shared" si="1"/>
        <v>70893GA0040029</v>
      </c>
      <c r="BB25" s="90" t="str">
        <f t="shared" si="1"/>
        <v>70893GA0040027</v>
      </c>
      <c r="BC25" s="90" t="str">
        <f t="shared" si="1"/>
        <v>70893GA0040022</v>
      </c>
      <c r="BD25" s="90" t="str">
        <f t="shared" si="1"/>
        <v>70893GA0040021</v>
      </c>
      <c r="BE25" s="90" t="str">
        <f t="shared" si="1"/>
        <v>70893GA0040014</v>
      </c>
      <c r="BF25" s="90" t="str">
        <f t="shared" si="1"/>
        <v>70893GA0040011</v>
      </c>
      <c r="BG25" s="90" t="str">
        <f t="shared" si="1"/>
        <v>70893GA0040012</v>
      </c>
      <c r="BH25" s="90" t="str">
        <f t="shared" si="1"/>
        <v>70893GA0040018</v>
      </c>
      <c r="BI25" s="90" t="str">
        <f t="shared" si="1"/>
        <v>70893GA0050023</v>
      </c>
      <c r="BJ25" s="90" t="str">
        <f t="shared" si="1"/>
        <v>70893GA0050024</v>
      </c>
      <c r="BK25" s="90" t="str">
        <f t="shared" si="1"/>
        <v>70893GA0050027</v>
      </c>
      <c r="BL25" s="90" t="str">
        <f t="shared" si="1"/>
        <v>70893GA0050028</v>
      </c>
      <c r="BM25" s="90" t="str">
        <f t="shared" si="1"/>
        <v>70893GA0050025</v>
      </c>
      <c r="BN25" s="90" t="str">
        <f t="shared" si="1"/>
        <v>70893GA0050026</v>
      </c>
      <c r="BO25" s="90" t="str">
        <f t="shared" si="1"/>
        <v>70893GA0050022</v>
      </c>
      <c r="BP25" s="90" t="str">
        <f t="shared" si="1"/>
        <v>70893GA0050021</v>
      </c>
      <c r="BQ25" s="90" t="str">
        <f t="shared" ref="BQ25:CV25" si="2">IF(BQ13&lt;&gt;"",BQ13,"")</f>
        <v>70893GA0060014</v>
      </c>
      <c r="BR25" s="90" t="str">
        <f t="shared" si="2"/>
        <v>70893GA0060013</v>
      </c>
      <c r="BS25" s="90" t="str">
        <f t="shared" si="2"/>
        <v>70893GA0060010</v>
      </c>
      <c r="BT25" s="90" t="str">
        <f t="shared" si="2"/>
        <v>70893GA0060006</v>
      </c>
      <c r="BU25" s="90" t="str">
        <f t="shared" si="2"/>
        <v>70893GA0060007</v>
      </c>
      <c r="BV25" s="90" t="str">
        <f t="shared" si="2"/>
        <v>70893GA0060009</v>
      </c>
      <c r="BW25" s="90" t="str">
        <f t="shared" si="2"/>
        <v>70893GA0060011</v>
      </c>
      <c r="BX25" s="90" t="str">
        <f t="shared" si="2"/>
        <v>70893GA0060012</v>
      </c>
      <c r="BY25" s="90" t="str">
        <f t="shared" si="2"/>
        <v>70893GA0060008</v>
      </c>
      <c r="BZ25" s="90" t="str">
        <f t="shared" si="2"/>
        <v>70893GA0070014</v>
      </c>
      <c r="CA25" s="90" t="str">
        <f t="shared" si="2"/>
        <v>70893GA0070013</v>
      </c>
      <c r="CB25" s="90" t="str">
        <f t="shared" si="2"/>
        <v>70893GA0070010</v>
      </c>
      <c r="CC25" s="90" t="str">
        <f t="shared" si="2"/>
        <v>70893GA0070006</v>
      </c>
      <c r="CD25" s="90" t="str">
        <f t="shared" si="2"/>
        <v>70893GA0070007</v>
      </c>
      <c r="CE25" s="90" t="str">
        <f t="shared" si="2"/>
        <v>70893GA0070009</v>
      </c>
      <c r="CF25" s="90" t="str">
        <f t="shared" si="2"/>
        <v>70893GA0070011</v>
      </c>
      <c r="CG25" s="90" t="str">
        <f t="shared" si="2"/>
        <v>70893GA0070012</v>
      </c>
      <c r="CH25" s="90" t="str">
        <f t="shared" si="2"/>
        <v>70893GA0070008</v>
      </c>
      <c r="CI25" s="90" t="str">
        <f t="shared" si="2"/>
        <v>70893GA0090008</v>
      </c>
      <c r="CJ25" s="90" t="str">
        <f t="shared" si="2"/>
        <v>70893GA0090007</v>
      </c>
      <c r="CK25" s="90" t="str">
        <f t="shared" si="2"/>
        <v>70893GA0090001</v>
      </c>
      <c r="CL25" s="90" t="str">
        <f t="shared" si="2"/>
        <v>70893GA0090002</v>
      </c>
      <c r="CM25" s="90" t="str">
        <f t="shared" si="2"/>
        <v>70893GA0090003</v>
      </c>
      <c r="CN25" s="90" t="str">
        <f t="shared" si="2"/>
        <v>70893GA0090004</v>
      </c>
      <c r="CO25" s="90" t="str">
        <f t="shared" si="2"/>
        <v>70893GA0090005</v>
      </c>
      <c r="CP25" s="90" t="str">
        <f t="shared" si="2"/>
        <v>70893GA0090006</v>
      </c>
      <c r="CQ25" s="90" t="str">
        <f t="shared" si="2"/>
        <v>70893GA0100001</v>
      </c>
      <c r="CR25" s="90" t="str">
        <f t="shared" si="2"/>
        <v>70893GA0100002</v>
      </c>
      <c r="CS25" s="90" t="str">
        <f t="shared" si="2"/>
        <v>70893GA0100003</v>
      </c>
      <c r="CT25" s="90" t="str">
        <f t="shared" si="2"/>
        <v>70893GA0100004</v>
      </c>
      <c r="CU25" s="90" t="str">
        <f t="shared" si="2"/>
        <v>70893GA0100006</v>
      </c>
      <c r="CV25" s="90" t="str">
        <f t="shared" si="2"/>
        <v>70893GA0100005</v>
      </c>
    </row>
    <row r="26" spans="1:100" ht="15" customHeight="1">
      <c r="A26" s="151">
        <f>'Wksh 1 - Market Experience'!E14</f>
        <v>2320234008.4400001</v>
      </c>
      <c r="B26" s="146" t="s">
        <v>163</v>
      </c>
      <c r="C26" s="200" t="s">
        <v>86</v>
      </c>
      <c r="D26" s="198">
        <f>SUM(E26:CV26)</f>
        <v>2320209135.5435987</v>
      </c>
      <c r="E26" s="187">
        <v>301333762.2227</v>
      </c>
      <c r="F26" s="187">
        <v>150501689.3328</v>
      </c>
      <c r="G26" s="187">
        <v>179193639.35179999</v>
      </c>
      <c r="H26" s="187">
        <v>72331329.114800006</v>
      </c>
      <c r="I26" s="187">
        <v>49475764.049999997</v>
      </c>
      <c r="J26" s="187">
        <v>132112087.4913</v>
      </c>
      <c r="K26" s="187">
        <v>464243007.2554</v>
      </c>
      <c r="L26" s="187">
        <v>8738873.6839000005</v>
      </c>
      <c r="M26" s="187">
        <v>50110945.361099996</v>
      </c>
      <c r="N26" s="187">
        <v>42965867.876000002</v>
      </c>
      <c r="O26" s="187">
        <v>0</v>
      </c>
      <c r="P26" s="187">
        <v>0</v>
      </c>
      <c r="Q26" s="187">
        <v>0</v>
      </c>
      <c r="R26" s="187">
        <v>0</v>
      </c>
      <c r="S26" s="187">
        <v>0</v>
      </c>
      <c r="T26" s="187">
        <v>85925415.212500006</v>
      </c>
      <c r="U26" s="187">
        <v>0</v>
      </c>
      <c r="V26" s="187">
        <v>51812200.572699994</v>
      </c>
      <c r="W26" s="187">
        <v>21237599.8816</v>
      </c>
      <c r="X26" s="187">
        <v>42393134.022400007</v>
      </c>
      <c r="Y26" s="187">
        <v>9080006.7259999998</v>
      </c>
      <c r="Z26" s="187">
        <v>17094585.596799999</v>
      </c>
      <c r="AA26" s="187">
        <v>58817051.8957</v>
      </c>
      <c r="AB26" s="187">
        <v>46150130.602799997</v>
      </c>
      <c r="AC26" s="187">
        <v>29485837.330899999</v>
      </c>
      <c r="AD26" s="187">
        <v>17354456.7212</v>
      </c>
      <c r="AE26" s="187">
        <v>75038654.673500001</v>
      </c>
      <c r="AF26" s="187">
        <v>0</v>
      </c>
      <c r="AG26" s="187">
        <v>91975899.434599996</v>
      </c>
      <c r="AH26" s="187">
        <v>4806886.0418999996</v>
      </c>
      <c r="AI26" s="187">
        <v>5087166.1516000004</v>
      </c>
      <c r="AJ26" s="187">
        <v>15102284.300900001</v>
      </c>
      <c r="AK26" s="187">
        <v>0</v>
      </c>
      <c r="AL26" s="187">
        <v>0</v>
      </c>
      <c r="AM26" s="187">
        <v>0</v>
      </c>
      <c r="AN26" s="187">
        <v>0</v>
      </c>
      <c r="AO26" s="187">
        <v>0</v>
      </c>
      <c r="AP26" s="187">
        <v>43051285.5973</v>
      </c>
      <c r="AQ26" s="187">
        <v>8904303.2524999995</v>
      </c>
      <c r="AR26" s="187">
        <v>26783512.554200001</v>
      </c>
      <c r="AS26" s="187">
        <v>18557347.646200001</v>
      </c>
      <c r="AT26" s="187">
        <v>2868833.7638000003</v>
      </c>
      <c r="AU26" s="187">
        <v>1933187.1014</v>
      </c>
      <c r="AV26" s="187">
        <v>3865156.0554999998</v>
      </c>
      <c r="AW26" s="187">
        <v>2125293.9333000001</v>
      </c>
      <c r="AX26" s="187">
        <v>4050947.1949</v>
      </c>
      <c r="AY26" s="187">
        <v>5054977.1341000004</v>
      </c>
      <c r="AZ26" s="187">
        <v>0</v>
      </c>
      <c r="BA26" s="187">
        <v>8070.58</v>
      </c>
      <c r="BB26" s="187">
        <v>0</v>
      </c>
      <c r="BC26" s="187">
        <v>2572044.5805000002</v>
      </c>
      <c r="BD26" s="187">
        <v>2819836.5761000002</v>
      </c>
      <c r="BE26" s="187">
        <v>1967384.1984999999</v>
      </c>
      <c r="BF26" s="187">
        <v>1339241.4728000001</v>
      </c>
      <c r="BG26" s="187">
        <v>2454706.9515</v>
      </c>
      <c r="BH26" s="187">
        <v>1290521.1107000001</v>
      </c>
      <c r="BI26" s="187">
        <v>653792.00439999998</v>
      </c>
      <c r="BJ26" s="187">
        <v>386309.0417</v>
      </c>
      <c r="BK26" s="187">
        <v>0</v>
      </c>
      <c r="BL26" s="187">
        <v>0</v>
      </c>
      <c r="BM26" s="187">
        <v>646593.27130000002</v>
      </c>
      <c r="BN26" s="187">
        <v>1031129.3432999999</v>
      </c>
      <c r="BO26" s="187">
        <v>700393.4216</v>
      </c>
      <c r="BP26" s="187">
        <v>567278.64240000001</v>
      </c>
      <c r="BQ26" s="187">
        <v>0</v>
      </c>
      <c r="BR26" s="187">
        <v>0</v>
      </c>
      <c r="BS26" s="187">
        <v>5163996.3280000007</v>
      </c>
      <c r="BT26" s="187">
        <v>5785239.3758000005</v>
      </c>
      <c r="BU26" s="187">
        <v>10276882.8237</v>
      </c>
      <c r="BV26" s="187">
        <v>57114381.9036</v>
      </c>
      <c r="BW26" s="187">
        <v>0</v>
      </c>
      <c r="BX26" s="187">
        <v>0</v>
      </c>
      <c r="BY26" s="187">
        <v>1741266.8922000001</v>
      </c>
      <c r="BZ26" s="187">
        <v>0</v>
      </c>
      <c r="CA26" s="187">
        <v>0</v>
      </c>
      <c r="CB26" s="187">
        <v>4592773.8614999996</v>
      </c>
      <c r="CC26" s="187">
        <v>4507499.2172999997</v>
      </c>
      <c r="CD26" s="187">
        <v>13897811.489300001</v>
      </c>
      <c r="CE26" s="187">
        <v>56919611.332200006</v>
      </c>
      <c r="CF26" s="187">
        <v>0</v>
      </c>
      <c r="CG26" s="187">
        <v>0</v>
      </c>
      <c r="CH26" s="187">
        <v>4209251.9871000005</v>
      </c>
      <c r="CI26" s="187">
        <v>0</v>
      </c>
      <c r="CJ26" s="187">
        <v>0</v>
      </c>
      <c r="CK26" s="187">
        <v>0</v>
      </c>
      <c r="CL26" s="187">
        <v>0</v>
      </c>
      <c r="CM26" s="187">
        <v>0</v>
      </c>
      <c r="CN26" s="187">
        <v>0</v>
      </c>
      <c r="CO26" s="187">
        <v>0</v>
      </c>
      <c r="CP26" s="187">
        <v>0</v>
      </c>
      <c r="CQ26" s="187">
        <v>0</v>
      </c>
      <c r="CR26" s="187">
        <v>0</v>
      </c>
      <c r="CS26" s="187">
        <v>0</v>
      </c>
      <c r="CT26" s="187">
        <v>0</v>
      </c>
      <c r="CU26" s="187">
        <v>0</v>
      </c>
      <c r="CV26" s="187">
        <v>0</v>
      </c>
    </row>
    <row r="27" spans="1:100" ht="15" customHeight="1">
      <c r="A27" s="153">
        <f>'Wksh 1 - Market Experience'!E15</f>
        <v>242765892.78999999</v>
      </c>
      <c r="B27" s="146" t="s">
        <v>164</v>
      </c>
      <c r="C27" s="200" t="s">
        <v>87</v>
      </c>
      <c r="D27" s="198">
        <f>SUM(E27:CV27)</f>
        <v>242765892.79010004</v>
      </c>
      <c r="E27" s="187">
        <v>25311353.987500001</v>
      </c>
      <c r="F27" s="187">
        <v>13181718.804200001</v>
      </c>
      <c r="G27" s="187">
        <v>14166841.279800002</v>
      </c>
      <c r="H27" s="187">
        <v>12831433.9648</v>
      </c>
      <c r="I27" s="187">
        <v>5401670.1458000001</v>
      </c>
      <c r="J27" s="187">
        <v>9286498.4346999992</v>
      </c>
      <c r="K27" s="187">
        <v>60457072.853199996</v>
      </c>
      <c r="L27" s="187">
        <v>733043.90370000002</v>
      </c>
      <c r="M27" s="187">
        <v>9880133.0039999988</v>
      </c>
      <c r="N27" s="187">
        <v>4756697.6240999997</v>
      </c>
      <c r="O27" s="187">
        <v>0</v>
      </c>
      <c r="P27" s="187">
        <v>0</v>
      </c>
      <c r="Q27" s="187">
        <v>0</v>
      </c>
      <c r="R27" s="187">
        <v>0</v>
      </c>
      <c r="S27" s="187">
        <v>0</v>
      </c>
      <c r="T27" s="187">
        <v>5597787.5691</v>
      </c>
      <c r="U27" s="187">
        <v>0</v>
      </c>
      <c r="V27" s="187">
        <v>4893193.1316</v>
      </c>
      <c r="W27" s="187">
        <v>1751414.0860000001</v>
      </c>
      <c r="X27" s="187">
        <v>5481672.4199999999</v>
      </c>
      <c r="Y27" s="187">
        <v>1797768.6421999999</v>
      </c>
      <c r="Z27" s="187">
        <v>2777237.8768000002</v>
      </c>
      <c r="AA27" s="187">
        <v>4802980.1404999997</v>
      </c>
      <c r="AB27" s="187">
        <v>3961963.4990999997</v>
      </c>
      <c r="AC27" s="187">
        <v>3292832.3128999998</v>
      </c>
      <c r="AD27" s="187">
        <v>1222657.8222999999</v>
      </c>
      <c r="AE27" s="187">
        <v>3860471.8304000003</v>
      </c>
      <c r="AF27" s="187">
        <v>0</v>
      </c>
      <c r="AG27" s="187">
        <v>10400176.855700001</v>
      </c>
      <c r="AH27" s="187">
        <v>517772.69710000005</v>
      </c>
      <c r="AI27" s="187">
        <v>966109.61300000001</v>
      </c>
      <c r="AJ27" s="187">
        <v>1522275.8185000001</v>
      </c>
      <c r="AK27" s="187">
        <v>0</v>
      </c>
      <c r="AL27" s="187">
        <v>0</v>
      </c>
      <c r="AM27" s="187">
        <v>0</v>
      </c>
      <c r="AN27" s="187">
        <v>0</v>
      </c>
      <c r="AO27" s="187">
        <v>0</v>
      </c>
      <c r="AP27" s="187">
        <v>2607824.5300000003</v>
      </c>
      <c r="AQ27" s="187">
        <v>983533.8049000001</v>
      </c>
      <c r="AR27" s="187">
        <v>2431113.6612</v>
      </c>
      <c r="AS27" s="187">
        <v>1660453.5223000001</v>
      </c>
      <c r="AT27" s="187">
        <v>481174.50030000001</v>
      </c>
      <c r="AU27" s="187">
        <v>308137.66970000003</v>
      </c>
      <c r="AV27" s="187">
        <v>558729.31160000002</v>
      </c>
      <c r="AW27" s="187">
        <v>315271.52169999998</v>
      </c>
      <c r="AX27" s="187">
        <v>174313.32819999999</v>
      </c>
      <c r="AY27" s="187">
        <v>354157.30330000003</v>
      </c>
      <c r="AZ27" s="187">
        <v>126.38590000000001</v>
      </c>
      <c r="BA27" s="187">
        <v>480.26639999999998</v>
      </c>
      <c r="BB27" s="187">
        <v>0</v>
      </c>
      <c r="BC27" s="187">
        <v>325482.87050000002</v>
      </c>
      <c r="BD27" s="187">
        <v>476039.4412</v>
      </c>
      <c r="BE27" s="187">
        <v>64393.615700000002</v>
      </c>
      <c r="BF27" s="187">
        <v>197623.31150000001</v>
      </c>
      <c r="BG27" s="187">
        <v>350323.38709999999</v>
      </c>
      <c r="BH27" s="187">
        <v>130681.12420000001</v>
      </c>
      <c r="BI27" s="187">
        <v>60222.881000000001</v>
      </c>
      <c r="BJ27" s="187">
        <v>54788.287400000001</v>
      </c>
      <c r="BK27" s="187">
        <v>0</v>
      </c>
      <c r="BL27" s="187">
        <v>0</v>
      </c>
      <c r="BM27" s="187">
        <v>37063.296900000001</v>
      </c>
      <c r="BN27" s="187">
        <v>65802.186600000001</v>
      </c>
      <c r="BO27" s="187">
        <v>69704.351200000005</v>
      </c>
      <c r="BP27" s="187">
        <v>71723.997900000002</v>
      </c>
      <c r="BQ27" s="187">
        <v>0</v>
      </c>
      <c r="BR27" s="187">
        <v>0</v>
      </c>
      <c r="BS27" s="187">
        <v>589336.18480000005</v>
      </c>
      <c r="BT27" s="187">
        <v>645091.95620000002</v>
      </c>
      <c r="BU27" s="187">
        <v>1103896.1523</v>
      </c>
      <c r="BV27" s="187">
        <v>7859836.7086999994</v>
      </c>
      <c r="BW27" s="187">
        <v>0</v>
      </c>
      <c r="BX27" s="187">
        <v>0</v>
      </c>
      <c r="BY27" s="187">
        <v>222238.86130000002</v>
      </c>
      <c r="BZ27" s="187">
        <v>0</v>
      </c>
      <c r="CA27" s="187">
        <v>0</v>
      </c>
      <c r="CB27" s="187">
        <v>613692.64350000001</v>
      </c>
      <c r="CC27" s="187">
        <v>636339.7328</v>
      </c>
      <c r="CD27" s="187">
        <v>1491834.5108</v>
      </c>
      <c r="CE27" s="187">
        <v>8374684.2040999997</v>
      </c>
      <c r="CF27" s="187">
        <v>0</v>
      </c>
      <c r="CG27" s="187">
        <v>0</v>
      </c>
      <c r="CH27" s="187">
        <v>596998.96189999999</v>
      </c>
      <c r="CI27" s="187">
        <v>0</v>
      </c>
      <c r="CJ27" s="187">
        <v>0</v>
      </c>
      <c r="CK27" s="187">
        <v>0</v>
      </c>
      <c r="CL27" s="187">
        <v>0</v>
      </c>
      <c r="CM27" s="187">
        <v>0</v>
      </c>
      <c r="CN27" s="187">
        <v>0</v>
      </c>
      <c r="CO27" s="187">
        <v>0</v>
      </c>
      <c r="CP27" s="187">
        <v>0</v>
      </c>
      <c r="CQ27" s="187">
        <v>0</v>
      </c>
      <c r="CR27" s="187">
        <v>0</v>
      </c>
      <c r="CS27" s="187">
        <v>0</v>
      </c>
      <c r="CT27" s="187">
        <v>0</v>
      </c>
      <c r="CU27" s="187">
        <v>0</v>
      </c>
      <c r="CV27" s="187">
        <v>0</v>
      </c>
    </row>
    <row r="28" spans="1:100" ht="15" customHeight="1">
      <c r="A28" s="154"/>
      <c r="B28" s="146" t="s">
        <v>165</v>
      </c>
      <c r="C28" s="147" t="s">
        <v>111</v>
      </c>
      <c r="D28" s="201">
        <f>SUM(E28:CV28)</f>
        <v>266178503.16949996</v>
      </c>
      <c r="E28" s="187">
        <v>26127384.5339</v>
      </c>
      <c r="F28" s="187">
        <v>12187859.793900002</v>
      </c>
      <c r="G28" s="187">
        <v>10993438.557399999</v>
      </c>
      <c r="H28" s="187">
        <v>22490491.282500003</v>
      </c>
      <c r="I28" s="187">
        <v>10719172.418500001</v>
      </c>
      <c r="J28" s="187">
        <v>19709977.617600005</v>
      </c>
      <c r="K28" s="187">
        <v>36138416.225699998</v>
      </c>
      <c r="L28" s="187">
        <v>1571030.2209000001</v>
      </c>
      <c r="M28" s="187">
        <v>16008978.853700001</v>
      </c>
      <c r="N28" s="187">
        <v>9115478.7620999999</v>
      </c>
      <c r="O28" s="187">
        <v>0</v>
      </c>
      <c r="P28" s="187">
        <v>0</v>
      </c>
      <c r="Q28" s="187">
        <v>0</v>
      </c>
      <c r="R28" s="187">
        <v>0</v>
      </c>
      <c r="S28" s="187">
        <v>0</v>
      </c>
      <c r="T28" s="187">
        <v>5669512.0888</v>
      </c>
      <c r="U28" s="187">
        <v>0</v>
      </c>
      <c r="V28" s="187">
        <v>5167379.3429000005</v>
      </c>
      <c r="W28" s="187">
        <v>3326586.7270999993</v>
      </c>
      <c r="X28" s="187">
        <v>3309971.9222999997</v>
      </c>
      <c r="Y28" s="187">
        <v>2975442.8569</v>
      </c>
      <c r="Z28" s="187">
        <v>4674941.3956000004</v>
      </c>
      <c r="AA28" s="187">
        <v>5095053.4058999997</v>
      </c>
      <c r="AB28" s="187">
        <v>3727058.6405999996</v>
      </c>
      <c r="AC28" s="187">
        <v>7265807.875</v>
      </c>
      <c r="AD28" s="187">
        <v>4104851.8610000005</v>
      </c>
      <c r="AE28" s="187">
        <v>9524930.4729999993</v>
      </c>
      <c r="AF28" s="187">
        <v>0</v>
      </c>
      <c r="AG28" s="187">
        <v>8114854.7544</v>
      </c>
      <c r="AH28" s="187">
        <v>1129908.0455999998</v>
      </c>
      <c r="AI28" s="187">
        <v>1485686.8567000001</v>
      </c>
      <c r="AJ28" s="187">
        <v>2926934.5896000001</v>
      </c>
      <c r="AK28" s="187">
        <v>0</v>
      </c>
      <c r="AL28" s="187">
        <v>0</v>
      </c>
      <c r="AM28" s="187">
        <v>0</v>
      </c>
      <c r="AN28" s="187">
        <v>0</v>
      </c>
      <c r="AO28" s="187">
        <v>0</v>
      </c>
      <c r="AP28" s="187">
        <v>2983424.2662999998</v>
      </c>
      <c r="AQ28" s="187">
        <v>1031895.5556000001</v>
      </c>
      <c r="AR28" s="187">
        <v>3933949.3160000001</v>
      </c>
      <c r="AS28" s="187">
        <v>1667047.3968</v>
      </c>
      <c r="AT28" s="187">
        <v>885360.75569999998</v>
      </c>
      <c r="AU28" s="187">
        <v>671821.51080000005</v>
      </c>
      <c r="AV28" s="187">
        <v>1200760.6284</v>
      </c>
      <c r="AW28" s="187">
        <v>552310.179</v>
      </c>
      <c r="AX28" s="187">
        <v>510322.2512</v>
      </c>
      <c r="AY28" s="187">
        <v>672638.39060000004</v>
      </c>
      <c r="AZ28" s="187">
        <v>0</v>
      </c>
      <c r="BA28" s="187">
        <v>3442.0630999999998</v>
      </c>
      <c r="BB28" s="187">
        <v>0</v>
      </c>
      <c r="BC28" s="187">
        <v>671623.69129999995</v>
      </c>
      <c r="BD28" s="187">
        <v>820580.14630000002</v>
      </c>
      <c r="BE28" s="187">
        <v>243401.8524</v>
      </c>
      <c r="BF28" s="187">
        <v>391853.0061</v>
      </c>
      <c r="BG28" s="187">
        <v>737118.38659999997</v>
      </c>
      <c r="BH28" s="187">
        <v>260524.6874</v>
      </c>
      <c r="BI28" s="187">
        <v>165574.89129999999</v>
      </c>
      <c r="BJ28" s="187">
        <v>127231.8909</v>
      </c>
      <c r="BK28" s="187">
        <v>0</v>
      </c>
      <c r="BL28" s="187">
        <v>0</v>
      </c>
      <c r="BM28" s="187">
        <v>110736.8299</v>
      </c>
      <c r="BN28" s="187">
        <v>114765.91160000001</v>
      </c>
      <c r="BO28" s="187">
        <v>248576.35630000001</v>
      </c>
      <c r="BP28" s="187">
        <v>166604.88769999999</v>
      </c>
      <c r="BQ28" s="187">
        <v>0</v>
      </c>
      <c r="BR28" s="187">
        <v>0</v>
      </c>
      <c r="BS28" s="187">
        <v>1022336.3790000001</v>
      </c>
      <c r="BT28" s="187">
        <v>461173.53110000002</v>
      </c>
      <c r="BU28" s="187">
        <v>944244.47860000003</v>
      </c>
      <c r="BV28" s="187">
        <v>4341735.2207000004</v>
      </c>
      <c r="BW28" s="187">
        <v>0</v>
      </c>
      <c r="BX28" s="187">
        <v>0</v>
      </c>
      <c r="BY28" s="187">
        <v>195537.51130000001</v>
      </c>
      <c r="BZ28" s="187">
        <v>0</v>
      </c>
      <c r="CA28" s="187">
        <v>0</v>
      </c>
      <c r="CB28" s="187">
        <v>951098.03989999997</v>
      </c>
      <c r="CC28" s="187">
        <v>456429.04280000005</v>
      </c>
      <c r="CD28" s="187">
        <v>1094192.1417999999</v>
      </c>
      <c r="CE28" s="187">
        <v>4653981.2703999998</v>
      </c>
      <c r="CF28" s="187">
        <v>0</v>
      </c>
      <c r="CG28" s="187">
        <v>0</v>
      </c>
      <c r="CH28" s="187">
        <v>325061.60100000002</v>
      </c>
      <c r="CI28" s="187">
        <v>0</v>
      </c>
      <c r="CJ28" s="187">
        <v>0</v>
      </c>
      <c r="CK28" s="187">
        <v>0</v>
      </c>
      <c r="CL28" s="187">
        <v>0</v>
      </c>
      <c r="CM28" s="187">
        <v>0</v>
      </c>
      <c r="CN28" s="187">
        <v>0</v>
      </c>
      <c r="CO28" s="187">
        <v>0</v>
      </c>
      <c r="CP28" s="187">
        <v>0</v>
      </c>
      <c r="CQ28" s="187">
        <v>0</v>
      </c>
      <c r="CR28" s="187">
        <v>0</v>
      </c>
      <c r="CS28" s="187">
        <v>0</v>
      </c>
      <c r="CT28" s="187">
        <v>0</v>
      </c>
      <c r="CU28" s="187">
        <v>0</v>
      </c>
      <c r="CV28" s="187">
        <v>0</v>
      </c>
    </row>
    <row r="29" spans="1:100" ht="15" customHeight="1">
      <c r="A29" s="154"/>
      <c r="B29" s="146" t="s">
        <v>166</v>
      </c>
      <c r="C29" s="156" t="s">
        <v>112</v>
      </c>
      <c r="D29" s="201">
        <f>SUM(E29:CV29)</f>
        <v>0</v>
      </c>
      <c r="E29" s="187">
        <v>0</v>
      </c>
      <c r="F29" s="187">
        <v>0</v>
      </c>
      <c r="G29" s="187">
        <v>0</v>
      </c>
      <c r="H29" s="187">
        <v>0</v>
      </c>
      <c r="I29" s="187">
        <v>0</v>
      </c>
      <c r="J29" s="187">
        <v>0</v>
      </c>
      <c r="K29" s="187">
        <v>0</v>
      </c>
      <c r="L29" s="187">
        <v>0</v>
      </c>
      <c r="M29" s="187">
        <v>0</v>
      </c>
      <c r="N29" s="187">
        <v>0</v>
      </c>
      <c r="O29" s="187">
        <v>0</v>
      </c>
      <c r="P29" s="187">
        <v>0</v>
      </c>
      <c r="Q29" s="187">
        <v>0</v>
      </c>
      <c r="R29" s="187">
        <v>0</v>
      </c>
      <c r="S29" s="187">
        <v>0</v>
      </c>
      <c r="T29" s="187">
        <v>0</v>
      </c>
      <c r="U29" s="187">
        <v>0</v>
      </c>
      <c r="V29" s="187">
        <v>0</v>
      </c>
      <c r="W29" s="187">
        <v>0</v>
      </c>
      <c r="X29" s="187">
        <v>0</v>
      </c>
      <c r="Y29" s="187">
        <v>0</v>
      </c>
      <c r="Z29" s="187">
        <v>0</v>
      </c>
      <c r="AA29" s="187">
        <v>0</v>
      </c>
      <c r="AB29" s="187">
        <v>0</v>
      </c>
      <c r="AC29" s="187">
        <v>0</v>
      </c>
      <c r="AD29" s="187">
        <v>0</v>
      </c>
      <c r="AE29" s="187">
        <v>0</v>
      </c>
      <c r="AF29" s="187">
        <v>0</v>
      </c>
      <c r="AG29" s="187">
        <v>0</v>
      </c>
      <c r="AH29" s="187">
        <v>0</v>
      </c>
      <c r="AI29" s="187">
        <v>0</v>
      </c>
      <c r="AJ29" s="187">
        <v>0</v>
      </c>
      <c r="AK29" s="187">
        <v>0</v>
      </c>
      <c r="AL29" s="187">
        <v>0</v>
      </c>
      <c r="AM29" s="187">
        <v>0</v>
      </c>
      <c r="AN29" s="187">
        <v>0</v>
      </c>
      <c r="AO29" s="187">
        <v>0</v>
      </c>
      <c r="AP29" s="187">
        <v>0</v>
      </c>
      <c r="AQ29" s="187">
        <v>0</v>
      </c>
      <c r="AR29" s="187">
        <v>0</v>
      </c>
      <c r="AS29" s="187">
        <v>0</v>
      </c>
      <c r="AT29" s="187">
        <v>0</v>
      </c>
      <c r="AU29" s="187">
        <v>0</v>
      </c>
      <c r="AV29" s="187">
        <v>0</v>
      </c>
      <c r="AW29" s="187">
        <v>0</v>
      </c>
      <c r="AX29" s="187">
        <v>0</v>
      </c>
      <c r="AY29" s="187">
        <v>0</v>
      </c>
      <c r="AZ29" s="187">
        <v>0</v>
      </c>
      <c r="BA29" s="187">
        <v>0</v>
      </c>
      <c r="BB29" s="187">
        <v>0</v>
      </c>
      <c r="BC29" s="187">
        <v>0</v>
      </c>
      <c r="BD29" s="187">
        <v>0</v>
      </c>
      <c r="BE29" s="187">
        <v>0</v>
      </c>
      <c r="BF29" s="187">
        <v>0</v>
      </c>
      <c r="BG29" s="187">
        <v>0</v>
      </c>
      <c r="BH29" s="187">
        <v>0</v>
      </c>
      <c r="BI29" s="187">
        <v>0</v>
      </c>
      <c r="BJ29" s="187">
        <v>0</v>
      </c>
      <c r="BK29" s="187">
        <v>0</v>
      </c>
      <c r="BL29" s="187">
        <v>0</v>
      </c>
      <c r="BM29" s="187">
        <v>0</v>
      </c>
      <c r="BN29" s="187">
        <v>0</v>
      </c>
      <c r="BO29" s="187">
        <v>0</v>
      </c>
      <c r="BP29" s="187">
        <v>0</v>
      </c>
      <c r="BQ29" s="187">
        <v>0</v>
      </c>
      <c r="BR29" s="187">
        <v>0</v>
      </c>
      <c r="BS29" s="187">
        <v>0</v>
      </c>
      <c r="BT29" s="187">
        <v>0</v>
      </c>
      <c r="BU29" s="187">
        <v>0</v>
      </c>
      <c r="BV29" s="187">
        <v>0</v>
      </c>
      <c r="BW29" s="187">
        <v>0</v>
      </c>
      <c r="BX29" s="187">
        <v>0</v>
      </c>
      <c r="BY29" s="187">
        <v>0</v>
      </c>
      <c r="BZ29" s="187">
        <v>0</v>
      </c>
      <c r="CA29" s="187">
        <v>0</v>
      </c>
      <c r="CB29" s="187">
        <v>0</v>
      </c>
      <c r="CC29" s="187">
        <v>0</v>
      </c>
      <c r="CD29" s="187">
        <v>0</v>
      </c>
      <c r="CE29" s="187">
        <v>0</v>
      </c>
      <c r="CF29" s="187">
        <v>0</v>
      </c>
      <c r="CG29" s="187">
        <v>0</v>
      </c>
      <c r="CH29" s="187">
        <v>0</v>
      </c>
      <c r="CI29" s="187">
        <v>0</v>
      </c>
      <c r="CJ29" s="187">
        <v>0</v>
      </c>
      <c r="CK29" s="187">
        <v>0</v>
      </c>
      <c r="CL29" s="187">
        <v>0</v>
      </c>
      <c r="CM29" s="187">
        <v>0</v>
      </c>
      <c r="CN29" s="187">
        <v>0</v>
      </c>
      <c r="CO29" s="187">
        <v>0</v>
      </c>
      <c r="CP29" s="187">
        <v>0</v>
      </c>
      <c r="CQ29" s="187">
        <v>0</v>
      </c>
      <c r="CR29" s="187">
        <v>0</v>
      </c>
      <c r="CS29" s="187">
        <v>0</v>
      </c>
      <c r="CT29" s="187">
        <v>0</v>
      </c>
      <c r="CU29" s="187">
        <v>0</v>
      </c>
      <c r="CV29" s="187">
        <v>0</v>
      </c>
    </row>
    <row r="30" spans="1:100" ht="15" customHeight="1">
      <c r="A30" s="153">
        <f>'Wksh 1 - Market Experience'!E16</f>
        <v>1811279643.9400001</v>
      </c>
      <c r="B30" s="146" t="s">
        <v>167</v>
      </c>
      <c r="C30" s="147" t="s">
        <v>113</v>
      </c>
      <c r="D30" s="201">
        <f t="shared" ref="D30:AI30" si="3">D26-D27-D28-D29</f>
        <v>1811264739.5839987</v>
      </c>
      <c r="E30" s="217">
        <f t="shared" si="3"/>
        <v>249895023.7013</v>
      </c>
      <c r="F30" s="217">
        <f t="shared" si="3"/>
        <v>125132110.73470001</v>
      </c>
      <c r="G30" s="217">
        <f t="shared" si="3"/>
        <v>154033359.51460001</v>
      </c>
      <c r="H30" s="217">
        <f t="shared" si="3"/>
        <v>37009403.867500007</v>
      </c>
      <c r="I30" s="217">
        <f t="shared" si="3"/>
        <v>33354921.485699996</v>
      </c>
      <c r="J30" s="217">
        <f t="shared" si="3"/>
        <v>103115611.439</v>
      </c>
      <c r="K30" s="217">
        <f t="shared" si="3"/>
        <v>367647518.17649996</v>
      </c>
      <c r="L30" s="217">
        <f t="shared" si="3"/>
        <v>6434799.5593000008</v>
      </c>
      <c r="M30" s="217">
        <f t="shared" si="3"/>
        <v>24221833.503399994</v>
      </c>
      <c r="N30" s="217">
        <f t="shared" si="3"/>
        <v>29093691.489800002</v>
      </c>
      <c r="O30" s="217">
        <f t="shared" si="3"/>
        <v>0</v>
      </c>
      <c r="P30" s="217">
        <f t="shared" si="3"/>
        <v>0</v>
      </c>
      <c r="Q30" s="217">
        <f t="shared" si="3"/>
        <v>0</v>
      </c>
      <c r="R30" s="217">
        <f t="shared" si="3"/>
        <v>0</v>
      </c>
      <c r="S30" s="217">
        <f t="shared" si="3"/>
        <v>0</v>
      </c>
      <c r="T30" s="217">
        <f t="shared" si="3"/>
        <v>74658115.554600015</v>
      </c>
      <c r="U30" s="217">
        <f t="shared" si="3"/>
        <v>0</v>
      </c>
      <c r="V30" s="217">
        <f t="shared" si="3"/>
        <v>41751628.098199993</v>
      </c>
      <c r="W30" s="217">
        <f t="shared" si="3"/>
        <v>16159599.068500001</v>
      </c>
      <c r="X30" s="217">
        <f t="shared" si="3"/>
        <v>33601489.680100009</v>
      </c>
      <c r="Y30" s="217">
        <f t="shared" si="3"/>
        <v>4306795.2269000001</v>
      </c>
      <c r="Z30" s="217">
        <f t="shared" si="3"/>
        <v>9642406.3243999984</v>
      </c>
      <c r="AA30" s="217">
        <f t="shared" si="3"/>
        <v>48919018.349299997</v>
      </c>
      <c r="AB30" s="217">
        <f t="shared" si="3"/>
        <v>38461108.463100001</v>
      </c>
      <c r="AC30" s="217">
        <f t="shared" si="3"/>
        <v>18927197.142999999</v>
      </c>
      <c r="AD30" s="217">
        <f t="shared" si="3"/>
        <v>12026947.037900001</v>
      </c>
      <c r="AE30" s="217">
        <f t="shared" si="3"/>
        <v>61653252.370099999</v>
      </c>
      <c r="AF30" s="217">
        <f t="shared" si="3"/>
        <v>0</v>
      </c>
      <c r="AG30" s="217">
        <f t="shared" si="3"/>
        <v>73460867.824499995</v>
      </c>
      <c r="AH30" s="217">
        <f t="shared" si="3"/>
        <v>3159205.2991999993</v>
      </c>
      <c r="AI30" s="217">
        <f t="shared" si="3"/>
        <v>2635369.6819000002</v>
      </c>
      <c r="AJ30" s="217">
        <f t="shared" ref="AJ30:BO30" si="4">AJ26-AJ27-AJ28-AJ29</f>
        <v>10653073.8928</v>
      </c>
      <c r="AK30" s="217">
        <f t="shared" si="4"/>
        <v>0</v>
      </c>
      <c r="AL30" s="217">
        <f t="shared" si="4"/>
        <v>0</v>
      </c>
      <c r="AM30" s="217">
        <f t="shared" si="4"/>
        <v>0</v>
      </c>
      <c r="AN30" s="217">
        <f t="shared" si="4"/>
        <v>0</v>
      </c>
      <c r="AO30" s="217">
        <f t="shared" si="4"/>
        <v>0</v>
      </c>
      <c r="AP30" s="217">
        <f t="shared" si="4"/>
        <v>37460036.800999999</v>
      </c>
      <c r="AQ30" s="217">
        <f t="shared" si="4"/>
        <v>6888873.8919999991</v>
      </c>
      <c r="AR30" s="217">
        <f t="shared" si="4"/>
        <v>20418449.577</v>
      </c>
      <c r="AS30" s="217">
        <f t="shared" si="4"/>
        <v>15229846.7271</v>
      </c>
      <c r="AT30" s="217">
        <f t="shared" si="4"/>
        <v>1502298.5078000003</v>
      </c>
      <c r="AU30" s="217">
        <f t="shared" si="4"/>
        <v>953227.92090000003</v>
      </c>
      <c r="AV30" s="217">
        <f t="shared" si="4"/>
        <v>2105666.1154999994</v>
      </c>
      <c r="AW30" s="217">
        <f t="shared" si="4"/>
        <v>1257712.2326000002</v>
      </c>
      <c r="AX30" s="217">
        <f t="shared" si="4"/>
        <v>3366311.6155000003</v>
      </c>
      <c r="AY30" s="217">
        <f t="shared" si="4"/>
        <v>4028181.4402000005</v>
      </c>
      <c r="AZ30" s="217">
        <f t="shared" si="4"/>
        <v>-126.38590000000001</v>
      </c>
      <c r="BA30" s="217">
        <f t="shared" si="4"/>
        <v>4148.2505000000001</v>
      </c>
      <c r="BB30" s="217">
        <f t="shared" si="4"/>
        <v>0</v>
      </c>
      <c r="BC30" s="217">
        <f t="shared" si="4"/>
        <v>1574938.0186999999</v>
      </c>
      <c r="BD30" s="217">
        <f t="shared" si="4"/>
        <v>1523216.9885999998</v>
      </c>
      <c r="BE30" s="217">
        <f t="shared" si="4"/>
        <v>1659588.7304</v>
      </c>
      <c r="BF30" s="217">
        <f t="shared" si="4"/>
        <v>749765.15520000004</v>
      </c>
      <c r="BG30" s="217">
        <f t="shared" si="4"/>
        <v>1367265.1778000002</v>
      </c>
      <c r="BH30" s="217">
        <f t="shared" si="4"/>
        <v>899315.29910000018</v>
      </c>
      <c r="BI30" s="217">
        <f t="shared" si="4"/>
        <v>427994.23209999991</v>
      </c>
      <c r="BJ30" s="217">
        <f t="shared" si="4"/>
        <v>204288.86340000003</v>
      </c>
      <c r="BK30" s="217">
        <f t="shared" si="4"/>
        <v>0</v>
      </c>
      <c r="BL30" s="217">
        <f t="shared" si="4"/>
        <v>0</v>
      </c>
      <c r="BM30" s="217">
        <f t="shared" si="4"/>
        <v>498793.14450000005</v>
      </c>
      <c r="BN30" s="217">
        <f t="shared" si="4"/>
        <v>850561.24509999994</v>
      </c>
      <c r="BO30" s="217">
        <f t="shared" si="4"/>
        <v>382112.71409999998</v>
      </c>
      <c r="BP30" s="217">
        <f t="shared" ref="BP30:CU30" si="5">BP26-BP27-BP28-BP29</f>
        <v>328949.75679999997</v>
      </c>
      <c r="BQ30" s="217">
        <f t="shared" si="5"/>
        <v>0</v>
      </c>
      <c r="BR30" s="217">
        <f t="shared" si="5"/>
        <v>0</v>
      </c>
      <c r="BS30" s="217">
        <f t="shared" si="5"/>
        <v>3552323.7642000006</v>
      </c>
      <c r="BT30" s="217">
        <f t="shared" si="5"/>
        <v>4678973.8885000004</v>
      </c>
      <c r="BU30" s="217">
        <f t="shared" si="5"/>
        <v>8228742.1927999994</v>
      </c>
      <c r="BV30" s="217">
        <f t="shared" si="5"/>
        <v>44912809.974199995</v>
      </c>
      <c r="BW30" s="217">
        <f t="shared" si="5"/>
        <v>0</v>
      </c>
      <c r="BX30" s="217">
        <f t="shared" si="5"/>
        <v>0</v>
      </c>
      <c r="BY30" s="217">
        <f t="shared" si="5"/>
        <v>1323490.5196000002</v>
      </c>
      <c r="BZ30" s="217">
        <f t="shared" si="5"/>
        <v>0</v>
      </c>
      <c r="CA30" s="217">
        <f t="shared" si="5"/>
        <v>0</v>
      </c>
      <c r="CB30" s="217">
        <f t="shared" si="5"/>
        <v>3027983.1780999992</v>
      </c>
      <c r="CC30" s="217">
        <f t="shared" si="5"/>
        <v>3414730.4416999999</v>
      </c>
      <c r="CD30" s="217">
        <f t="shared" si="5"/>
        <v>11311784.836700002</v>
      </c>
      <c r="CE30" s="217">
        <f t="shared" si="5"/>
        <v>43890945.857700005</v>
      </c>
      <c r="CF30" s="217">
        <f t="shared" si="5"/>
        <v>0</v>
      </c>
      <c r="CG30" s="217">
        <f t="shared" si="5"/>
        <v>0</v>
      </c>
      <c r="CH30" s="217">
        <f t="shared" si="5"/>
        <v>3287191.4242000002</v>
      </c>
      <c r="CI30" s="217">
        <f t="shared" si="5"/>
        <v>0</v>
      </c>
      <c r="CJ30" s="217">
        <f t="shared" si="5"/>
        <v>0</v>
      </c>
      <c r="CK30" s="217">
        <f t="shared" si="5"/>
        <v>0</v>
      </c>
      <c r="CL30" s="217">
        <f t="shared" si="5"/>
        <v>0</v>
      </c>
      <c r="CM30" s="217">
        <f t="shared" si="5"/>
        <v>0</v>
      </c>
      <c r="CN30" s="217">
        <f t="shared" si="5"/>
        <v>0</v>
      </c>
      <c r="CO30" s="217">
        <f t="shared" si="5"/>
        <v>0</v>
      </c>
      <c r="CP30" s="217">
        <f t="shared" si="5"/>
        <v>0</v>
      </c>
      <c r="CQ30" s="217">
        <f t="shared" si="5"/>
        <v>0</v>
      </c>
      <c r="CR30" s="217">
        <f t="shared" si="5"/>
        <v>0</v>
      </c>
      <c r="CS30" s="217">
        <f t="shared" si="5"/>
        <v>0</v>
      </c>
      <c r="CT30" s="217">
        <f t="shared" si="5"/>
        <v>0</v>
      </c>
      <c r="CU30" s="217">
        <f t="shared" si="5"/>
        <v>0</v>
      </c>
      <c r="CV30" s="217">
        <f t="shared" ref="CV30:EA30" si="6">CV26-CV27-CV28-CV29</f>
        <v>0</v>
      </c>
    </row>
    <row r="31" spans="1:100" ht="15" customHeight="1">
      <c r="A31" s="153">
        <f>'Wksh 1 - Market Experience'!E17</f>
        <v>280095694.01999998</v>
      </c>
      <c r="B31" s="146" t="s">
        <v>168</v>
      </c>
      <c r="C31" s="156" t="s">
        <v>114</v>
      </c>
      <c r="D31" s="201">
        <f>SUM(E31:CV31)</f>
        <v>280053671.9734</v>
      </c>
      <c r="E31" s="187">
        <v>65213434.152400002</v>
      </c>
      <c r="F31" s="187">
        <v>24364407.081599999</v>
      </c>
      <c r="G31" s="187">
        <v>51263608.911399998</v>
      </c>
      <c r="H31" s="187">
        <v>-18522277.003399998</v>
      </c>
      <c r="I31" s="187">
        <v>2254632.7999999998</v>
      </c>
      <c r="J31" s="187">
        <v>33967236.412900001</v>
      </c>
      <c r="K31" s="187">
        <v>-18294768.239999998</v>
      </c>
      <c r="L31" s="187">
        <v>-107327.0129</v>
      </c>
      <c r="M31" s="187">
        <v>-16589491.797999999</v>
      </c>
      <c r="N31" s="187">
        <v>-5669346.0592999998</v>
      </c>
      <c r="O31" s="187">
        <v>0</v>
      </c>
      <c r="P31" s="187">
        <v>0</v>
      </c>
      <c r="Q31" s="187">
        <v>0</v>
      </c>
      <c r="R31" s="187">
        <v>0</v>
      </c>
      <c r="S31" s="187">
        <v>0</v>
      </c>
      <c r="T31" s="187">
        <v>26453816.033800002</v>
      </c>
      <c r="U31" s="187">
        <v>0</v>
      </c>
      <c r="V31" s="187">
        <v>5368520.6142999995</v>
      </c>
      <c r="W31" s="187">
        <v>5388215.9665000001</v>
      </c>
      <c r="X31" s="187">
        <v>3684346.8360000001</v>
      </c>
      <c r="Y31" s="187">
        <v>-3244116.1258</v>
      </c>
      <c r="Z31" s="187">
        <v>-2209808.5723999999</v>
      </c>
      <c r="AA31" s="187">
        <v>19746104.460500002</v>
      </c>
      <c r="AB31" s="187">
        <v>10636402.1756</v>
      </c>
      <c r="AC31" s="187">
        <v>3262671.3075999999</v>
      </c>
      <c r="AD31" s="187">
        <v>10126522.3256</v>
      </c>
      <c r="AE31" s="187">
        <v>45608362.4186</v>
      </c>
      <c r="AF31" s="187">
        <v>0</v>
      </c>
      <c r="AG31" s="187">
        <v>26081720.610699996</v>
      </c>
      <c r="AH31" s="187">
        <v>808257.23030000005</v>
      </c>
      <c r="AI31" s="187">
        <v>-1295910.0199000002</v>
      </c>
      <c r="AJ31" s="187">
        <v>402811.46510000003</v>
      </c>
      <c r="AK31" s="187">
        <v>0</v>
      </c>
      <c r="AL31" s="187">
        <v>0</v>
      </c>
      <c r="AM31" s="187">
        <v>0</v>
      </c>
      <c r="AN31" s="187">
        <v>0</v>
      </c>
      <c r="AO31" s="187">
        <v>0</v>
      </c>
      <c r="AP31" s="187">
        <v>21775960.974799998</v>
      </c>
      <c r="AQ31" s="187">
        <v>2200151.9446999999</v>
      </c>
      <c r="AR31" s="187">
        <v>8144850.0142000001</v>
      </c>
      <c r="AS31" s="187">
        <v>4285212.9372000005</v>
      </c>
      <c r="AT31" s="187">
        <v>-836716.09259999997</v>
      </c>
      <c r="AU31" s="187">
        <v>-411626.97930000001</v>
      </c>
      <c r="AV31" s="187">
        <v>-1241168.6575</v>
      </c>
      <c r="AW31" s="187">
        <v>-586570.90619999997</v>
      </c>
      <c r="AX31" s="187">
        <v>1517713.121</v>
      </c>
      <c r="AY31" s="187">
        <v>1378633.8899000001</v>
      </c>
      <c r="AZ31" s="187">
        <v>0</v>
      </c>
      <c r="BA31" s="187">
        <v>0</v>
      </c>
      <c r="BB31" s="187">
        <v>0</v>
      </c>
      <c r="BC31" s="187">
        <v>-286085.4032</v>
      </c>
      <c r="BD31" s="187">
        <v>-601807.25450000004</v>
      </c>
      <c r="BE31" s="187">
        <v>1404956.1802000001</v>
      </c>
      <c r="BF31" s="187">
        <v>-272385.83539999998</v>
      </c>
      <c r="BG31" s="187">
        <v>-492922.8247</v>
      </c>
      <c r="BH31" s="187">
        <v>-73055.774999999994</v>
      </c>
      <c r="BI31" s="187">
        <v>419770.11259999999</v>
      </c>
      <c r="BJ31" s="187">
        <v>2905.1073000000001</v>
      </c>
      <c r="BK31" s="187">
        <v>0</v>
      </c>
      <c r="BL31" s="187">
        <v>0</v>
      </c>
      <c r="BM31" s="187">
        <v>518925.43170000002</v>
      </c>
      <c r="BN31" s="187">
        <v>474174.23129999998</v>
      </c>
      <c r="BO31" s="187">
        <v>533793.40579999995</v>
      </c>
      <c r="BP31" s="187">
        <v>-117840.7752</v>
      </c>
      <c r="BQ31" s="187">
        <v>0</v>
      </c>
      <c r="BR31" s="187">
        <v>0</v>
      </c>
      <c r="BS31" s="187">
        <v>-445754.79579999996</v>
      </c>
      <c r="BT31" s="187">
        <v>-692944.7548</v>
      </c>
      <c r="BU31" s="187">
        <v>-653655.99680000008</v>
      </c>
      <c r="BV31" s="187">
        <v>-12247889.359299999</v>
      </c>
      <c r="BW31" s="187">
        <v>0</v>
      </c>
      <c r="BX31" s="187">
        <v>0</v>
      </c>
      <c r="BY31" s="187">
        <v>-130186.7362</v>
      </c>
      <c r="BZ31" s="187">
        <v>0</v>
      </c>
      <c r="CA31" s="187">
        <v>0</v>
      </c>
      <c r="CB31" s="187">
        <v>-1568535.8374000001</v>
      </c>
      <c r="CC31" s="187">
        <v>-781170.65960000001</v>
      </c>
      <c r="CD31" s="187">
        <v>699470.93479999993</v>
      </c>
      <c r="CE31" s="187">
        <v>-10014593.366900001</v>
      </c>
      <c r="CF31" s="187">
        <v>0</v>
      </c>
      <c r="CG31" s="187">
        <v>0</v>
      </c>
      <c r="CH31" s="187">
        <v>-545960.27289999998</v>
      </c>
      <c r="CI31" s="187">
        <v>0</v>
      </c>
      <c r="CJ31" s="187">
        <v>0</v>
      </c>
      <c r="CK31" s="187">
        <v>0</v>
      </c>
      <c r="CL31" s="187">
        <v>0</v>
      </c>
      <c r="CM31" s="187">
        <v>0</v>
      </c>
      <c r="CN31" s="187">
        <v>0</v>
      </c>
      <c r="CO31" s="187">
        <v>0</v>
      </c>
      <c r="CP31" s="187">
        <v>0</v>
      </c>
      <c r="CQ31" s="187">
        <v>0</v>
      </c>
      <c r="CR31" s="187">
        <v>0</v>
      </c>
      <c r="CS31" s="187">
        <v>0</v>
      </c>
      <c r="CT31" s="187">
        <v>0</v>
      </c>
      <c r="CU31" s="187">
        <v>0</v>
      </c>
      <c r="CV31" s="187">
        <v>0</v>
      </c>
    </row>
    <row r="32" spans="1:100" ht="15" customHeight="1">
      <c r="A32" s="153">
        <f>'Wksh 1 - Market Experience'!E18</f>
        <v>2106317102.78</v>
      </c>
      <c r="B32" s="146" t="s">
        <v>169</v>
      </c>
      <c r="C32" s="156" t="s">
        <v>115</v>
      </c>
      <c r="D32" s="201">
        <f>SUM(E32:CV32)</f>
        <v>2106307854.2700007</v>
      </c>
      <c r="E32" s="187">
        <v>226976994.12771097</v>
      </c>
      <c r="F32" s="187">
        <v>122059885.52122493</v>
      </c>
      <c r="G32" s="187">
        <v>127585225.0208959</v>
      </c>
      <c r="H32" s="187">
        <v>96495719.89952828</v>
      </c>
      <c r="I32" s="187">
        <v>44765731.174986094</v>
      </c>
      <c r="J32" s="187">
        <v>90122319.329494953</v>
      </c>
      <c r="K32" s="187">
        <v>512597978.69869304</v>
      </c>
      <c r="L32" s="187">
        <v>6203603.650085994</v>
      </c>
      <c r="M32" s="187">
        <v>76069001.676082879</v>
      </c>
      <c r="N32" s="187">
        <v>43707995.772724278</v>
      </c>
      <c r="O32" s="187">
        <v>0</v>
      </c>
      <c r="P32" s="187">
        <v>0</v>
      </c>
      <c r="Q32" s="187">
        <v>0</v>
      </c>
      <c r="R32" s="187">
        <v>0</v>
      </c>
      <c r="S32" s="187">
        <v>0</v>
      </c>
      <c r="T32" s="187">
        <v>57745761.64137876</v>
      </c>
      <c r="U32" s="187">
        <v>0</v>
      </c>
      <c r="V32" s="187">
        <v>46248339.868667275</v>
      </c>
      <c r="W32" s="187">
        <v>15883215.632162059</v>
      </c>
      <c r="X32" s="187">
        <v>44770053.059020378</v>
      </c>
      <c r="Y32" s="187">
        <v>15716200.30841597</v>
      </c>
      <c r="Z32" s="187">
        <v>22474865.903553266</v>
      </c>
      <c r="AA32" s="187">
        <v>42105302.135259554</v>
      </c>
      <c r="AB32" s="187">
        <v>35451398.343422793</v>
      </c>
      <c r="AC32" s="187">
        <v>24250750.34284221</v>
      </c>
      <c r="AD32" s="187">
        <v>9950824.4987132177</v>
      </c>
      <c r="AE32" s="187">
        <v>36209304.692784727</v>
      </c>
      <c r="AF32" s="187">
        <v>0</v>
      </c>
      <c r="AG32" s="187">
        <v>84924601.103711382</v>
      </c>
      <c r="AH32" s="187">
        <v>4240370.4535918701</v>
      </c>
      <c r="AI32" s="187">
        <v>8028411.9248876804</v>
      </c>
      <c r="AJ32" s="187">
        <v>13214742.640364513</v>
      </c>
      <c r="AK32" s="187">
        <v>0</v>
      </c>
      <c r="AL32" s="187">
        <v>0</v>
      </c>
      <c r="AM32" s="187">
        <v>0</v>
      </c>
      <c r="AN32" s="187">
        <v>0</v>
      </c>
      <c r="AO32" s="187">
        <v>0</v>
      </c>
      <c r="AP32" s="187">
        <v>25259407.783997875</v>
      </c>
      <c r="AQ32" s="187">
        <v>8418238.3649465404</v>
      </c>
      <c r="AR32" s="187">
        <v>20716200.665339276</v>
      </c>
      <c r="AS32" s="187">
        <v>14868111.217692556</v>
      </c>
      <c r="AT32" s="187">
        <v>4359544.8678960418</v>
      </c>
      <c r="AU32" s="187">
        <v>2623363.3268497642</v>
      </c>
      <c r="AV32" s="187">
        <v>4246124.2354748929</v>
      </c>
      <c r="AW32" s="187">
        <v>2272457.7707605278</v>
      </c>
      <c r="AX32" s="187">
        <v>1475977.1422948674</v>
      </c>
      <c r="AY32" s="187">
        <v>3006878.7785911467</v>
      </c>
      <c r="AZ32" s="187">
        <v>633.23000165340272</v>
      </c>
      <c r="BA32" s="187">
        <v>2650.1998069198353</v>
      </c>
      <c r="BB32" s="187">
        <v>0</v>
      </c>
      <c r="BC32" s="187">
        <v>2433218.3072272833</v>
      </c>
      <c r="BD32" s="187">
        <v>3579327.0934058442</v>
      </c>
      <c r="BE32" s="187">
        <v>441069.46375165961</v>
      </c>
      <c r="BF32" s="187">
        <v>1402979.3370232659</v>
      </c>
      <c r="BG32" s="187">
        <v>2633439.6555960737</v>
      </c>
      <c r="BH32" s="187">
        <v>1088368.2711047968</v>
      </c>
      <c r="BI32" s="187">
        <v>462383.21220731112</v>
      </c>
      <c r="BJ32" s="187">
        <v>384750.23830460664</v>
      </c>
      <c r="BK32" s="187">
        <v>0</v>
      </c>
      <c r="BL32" s="187">
        <v>0</v>
      </c>
      <c r="BM32" s="187">
        <v>322069.18142294255</v>
      </c>
      <c r="BN32" s="187">
        <v>553339.52899380377</v>
      </c>
      <c r="BO32" s="187">
        <v>460515.89208243549</v>
      </c>
      <c r="BP32" s="187">
        <v>529011.0163812805</v>
      </c>
      <c r="BQ32" s="187">
        <v>0</v>
      </c>
      <c r="BR32" s="187">
        <v>0</v>
      </c>
      <c r="BS32" s="187">
        <v>5283789.1071582995</v>
      </c>
      <c r="BT32" s="187">
        <v>5514130.1682057343</v>
      </c>
      <c r="BU32" s="187">
        <v>10653058.673835795</v>
      </c>
      <c r="BV32" s="187">
        <v>68632689.426254198</v>
      </c>
      <c r="BW32" s="187">
        <v>0</v>
      </c>
      <c r="BX32" s="187">
        <v>0</v>
      </c>
      <c r="BY32" s="187">
        <v>2174289.1504292036</v>
      </c>
      <c r="BZ32" s="187">
        <v>0</v>
      </c>
      <c r="CA32" s="187">
        <v>0</v>
      </c>
      <c r="CB32" s="187">
        <v>5820407.3503674427</v>
      </c>
      <c r="CC32" s="187">
        <v>5599287.4814030854</v>
      </c>
      <c r="CD32" s="187">
        <v>13937994.231507964</v>
      </c>
      <c r="CE32" s="187">
        <v>73994721.81284678</v>
      </c>
      <c r="CF32" s="187">
        <v>0</v>
      </c>
      <c r="CG32" s="187">
        <v>0</v>
      </c>
      <c r="CH32" s="187">
        <v>5358830.6666352367</v>
      </c>
      <c r="CI32" s="187">
        <v>0</v>
      </c>
      <c r="CJ32" s="187">
        <v>0</v>
      </c>
      <c r="CK32" s="187">
        <v>0</v>
      </c>
      <c r="CL32" s="187">
        <v>0</v>
      </c>
      <c r="CM32" s="187">
        <v>0</v>
      </c>
      <c r="CN32" s="187">
        <v>0</v>
      </c>
      <c r="CO32" s="187">
        <v>0</v>
      </c>
      <c r="CP32" s="187">
        <v>0</v>
      </c>
      <c r="CQ32" s="187">
        <v>0</v>
      </c>
      <c r="CR32" s="187">
        <v>0</v>
      </c>
      <c r="CS32" s="187">
        <v>0</v>
      </c>
      <c r="CT32" s="187">
        <v>0</v>
      </c>
      <c r="CU32" s="187">
        <v>0</v>
      </c>
      <c r="CV32" s="187">
        <v>0</v>
      </c>
    </row>
    <row r="33" spans="1:104" ht="15" customHeight="1">
      <c r="A33" s="157">
        <f>'Wksh 1 - Market Experience'!E19</f>
        <v>3841663</v>
      </c>
      <c r="B33" s="146" t="s">
        <v>170</v>
      </c>
      <c r="C33" s="156" t="s">
        <v>22</v>
      </c>
      <c r="D33" s="202">
        <f>SUM(E33:CV33)</f>
        <v>3841663</v>
      </c>
      <c r="E33" s="218">
        <v>400541</v>
      </c>
      <c r="F33" s="218">
        <v>208595</v>
      </c>
      <c r="G33" s="218">
        <v>224184</v>
      </c>
      <c r="H33" s="218">
        <v>203052</v>
      </c>
      <c r="I33" s="218">
        <v>85479</v>
      </c>
      <c r="J33" s="218">
        <v>146955</v>
      </c>
      <c r="K33" s="218">
        <v>956706</v>
      </c>
      <c r="L33" s="218">
        <v>11600</v>
      </c>
      <c r="M33" s="218">
        <v>156349</v>
      </c>
      <c r="N33" s="218">
        <v>75273</v>
      </c>
      <c r="O33" s="218">
        <v>0</v>
      </c>
      <c r="P33" s="218">
        <v>0</v>
      </c>
      <c r="Q33" s="218">
        <v>0</v>
      </c>
      <c r="R33" s="218">
        <v>0</v>
      </c>
      <c r="S33" s="218">
        <v>0</v>
      </c>
      <c r="T33" s="218">
        <v>88582</v>
      </c>
      <c r="U33" s="218">
        <v>0</v>
      </c>
      <c r="V33" s="218">
        <v>77433</v>
      </c>
      <c r="W33" s="218">
        <v>27715</v>
      </c>
      <c r="X33" s="218">
        <v>86745</v>
      </c>
      <c r="Y33" s="218">
        <v>28449</v>
      </c>
      <c r="Z33" s="218">
        <v>43949</v>
      </c>
      <c r="AA33" s="218">
        <v>76005</v>
      </c>
      <c r="AB33" s="218">
        <v>62696</v>
      </c>
      <c r="AC33" s="218">
        <v>52108</v>
      </c>
      <c r="AD33" s="218">
        <v>19348</v>
      </c>
      <c r="AE33" s="218">
        <v>61090</v>
      </c>
      <c r="AF33" s="218">
        <v>0</v>
      </c>
      <c r="AG33" s="218">
        <v>164578</v>
      </c>
      <c r="AH33" s="218">
        <v>8194</v>
      </c>
      <c r="AI33" s="218">
        <v>15288</v>
      </c>
      <c r="AJ33" s="218">
        <v>24089</v>
      </c>
      <c r="AK33" s="218">
        <v>0</v>
      </c>
      <c r="AL33" s="218">
        <v>0</v>
      </c>
      <c r="AM33" s="218">
        <v>0</v>
      </c>
      <c r="AN33" s="218">
        <v>0</v>
      </c>
      <c r="AO33" s="218">
        <v>0</v>
      </c>
      <c r="AP33" s="218">
        <v>41268</v>
      </c>
      <c r="AQ33" s="218">
        <v>15564</v>
      </c>
      <c r="AR33" s="218">
        <v>38471</v>
      </c>
      <c r="AS33" s="218">
        <v>26276</v>
      </c>
      <c r="AT33" s="218">
        <v>7614</v>
      </c>
      <c r="AU33" s="218">
        <v>4876</v>
      </c>
      <c r="AV33" s="218">
        <v>8842</v>
      </c>
      <c r="AW33" s="218">
        <v>4989</v>
      </c>
      <c r="AX33" s="218">
        <v>2758</v>
      </c>
      <c r="AY33" s="218">
        <v>5604</v>
      </c>
      <c r="AZ33" s="218">
        <v>2</v>
      </c>
      <c r="BA33" s="218">
        <v>8</v>
      </c>
      <c r="BB33" s="218">
        <v>0</v>
      </c>
      <c r="BC33" s="218">
        <v>5151</v>
      </c>
      <c r="BD33" s="218">
        <v>7533</v>
      </c>
      <c r="BE33" s="218">
        <v>1019</v>
      </c>
      <c r="BF33" s="218">
        <v>3127</v>
      </c>
      <c r="BG33" s="218">
        <v>5544</v>
      </c>
      <c r="BH33" s="218">
        <v>2068</v>
      </c>
      <c r="BI33" s="218">
        <v>953</v>
      </c>
      <c r="BJ33" s="218">
        <v>867</v>
      </c>
      <c r="BK33" s="218">
        <v>0</v>
      </c>
      <c r="BL33" s="218">
        <v>0</v>
      </c>
      <c r="BM33" s="218">
        <v>587</v>
      </c>
      <c r="BN33" s="218">
        <v>1041</v>
      </c>
      <c r="BO33" s="218">
        <v>1103</v>
      </c>
      <c r="BP33" s="218">
        <v>1135</v>
      </c>
      <c r="BQ33" s="218">
        <v>0</v>
      </c>
      <c r="BR33" s="218">
        <v>0</v>
      </c>
      <c r="BS33" s="218">
        <v>9326</v>
      </c>
      <c r="BT33" s="218">
        <v>10208</v>
      </c>
      <c r="BU33" s="218">
        <v>17469</v>
      </c>
      <c r="BV33" s="218">
        <v>124378</v>
      </c>
      <c r="BW33" s="218">
        <v>0</v>
      </c>
      <c r="BX33" s="218">
        <v>0</v>
      </c>
      <c r="BY33" s="218">
        <v>3517</v>
      </c>
      <c r="BZ33" s="218">
        <v>0</v>
      </c>
      <c r="CA33" s="218">
        <v>0</v>
      </c>
      <c r="CB33" s="218">
        <v>9711</v>
      </c>
      <c r="CC33" s="218">
        <v>10070</v>
      </c>
      <c r="CD33" s="218">
        <v>23608</v>
      </c>
      <c r="CE33" s="218">
        <v>132526</v>
      </c>
      <c r="CF33" s="218">
        <v>0</v>
      </c>
      <c r="CG33" s="218">
        <v>0</v>
      </c>
      <c r="CH33" s="218">
        <v>9447</v>
      </c>
      <c r="CI33" s="218">
        <v>0</v>
      </c>
      <c r="CJ33" s="218">
        <v>0</v>
      </c>
      <c r="CK33" s="218">
        <v>0</v>
      </c>
      <c r="CL33" s="218">
        <v>0</v>
      </c>
      <c r="CM33" s="218">
        <v>0</v>
      </c>
      <c r="CN33" s="218">
        <v>0</v>
      </c>
      <c r="CO33" s="218">
        <v>0</v>
      </c>
      <c r="CP33" s="218">
        <v>0</v>
      </c>
      <c r="CQ33" s="218">
        <v>0</v>
      </c>
      <c r="CR33" s="218">
        <v>0</v>
      </c>
      <c r="CS33" s="218">
        <v>0</v>
      </c>
      <c r="CT33" s="218">
        <v>0</v>
      </c>
      <c r="CU33" s="218">
        <v>0</v>
      </c>
      <c r="CV33" s="218">
        <v>0</v>
      </c>
    </row>
    <row r="34" spans="1:104" ht="15" customHeight="1">
      <c r="A34" s="154"/>
      <c r="B34" s="146" t="s">
        <v>171</v>
      </c>
      <c r="C34" s="156" t="s">
        <v>116</v>
      </c>
      <c r="D34" s="202">
        <f>SUM(E34:CV34)</f>
        <v>324549</v>
      </c>
      <c r="E34" s="218">
        <v>19798</v>
      </c>
      <c r="F34" s="218">
        <v>11960</v>
      </c>
      <c r="G34" s="218">
        <v>18672</v>
      </c>
      <c r="H34" s="218">
        <v>19936</v>
      </c>
      <c r="I34" s="218">
        <v>5689</v>
      </c>
      <c r="J34" s="218">
        <v>8610</v>
      </c>
      <c r="K34" s="218">
        <v>59081</v>
      </c>
      <c r="L34" s="218">
        <v>1268</v>
      </c>
      <c r="M34" s="218">
        <v>14015</v>
      </c>
      <c r="N34" s="218">
        <v>7633</v>
      </c>
      <c r="O34" s="218">
        <v>4439</v>
      </c>
      <c r="P34" s="218">
        <v>2059</v>
      </c>
      <c r="Q34" s="218">
        <v>6923</v>
      </c>
      <c r="R34" s="218">
        <v>596</v>
      </c>
      <c r="S34" s="218">
        <v>27329</v>
      </c>
      <c r="T34" s="218">
        <v>7735</v>
      </c>
      <c r="U34" s="218">
        <v>6569</v>
      </c>
      <c r="V34" s="218">
        <v>0</v>
      </c>
      <c r="W34" s="218">
        <v>0</v>
      </c>
      <c r="X34" s="218">
        <v>0</v>
      </c>
      <c r="Y34" s="218">
        <v>0</v>
      </c>
      <c r="Z34" s="218">
        <v>0</v>
      </c>
      <c r="AA34" s="218">
        <v>4843</v>
      </c>
      <c r="AB34" s="218">
        <v>4453</v>
      </c>
      <c r="AC34" s="218">
        <v>3346</v>
      </c>
      <c r="AD34" s="218">
        <v>860</v>
      </c>
      <c r="AE34" s="218">
        <v>3301</v>
      </c>
      <c r="AF34" s="218">
        <v>4415</v>
      </c>
      <c r="AG34" s="218">
        <v>15065</v>
      </c>
      <c r="AH34" s="218">
        <v>598</v>
      </c>
      <c r="AI34" s="218">
        <v>1399</v>
      </c>
      <c r="AJ34" s="218">
        <v>2563</v>
      </c>
      <c r="AK34" s="218">
        <v>1071</v>
      </c>
      <c r="AL34" s="218">
        <v>1581</v>
      </c>
      <c r="AM34" s="218">
        <v>0</v>
      </c>
      <c r="AN34" s="218">
        <v>0</v>
      </c>
      <c r="AO34" s="218">
        <v>0</v>
      </c>
      <c r="AP34" s="218">
        <v>4817</v>
      </c>
      <c r="AQ34" s="218">
        <v>0</v>
      </c>
      <c r="AR34" s="218">
        <v>0</v>
      </c>
      <c r="AS34" s="218">
        <v>0</v>
      </c>
      <c r="AT34" s="218">
        <v>0</v>
      </c>
      <c r="AU34" s="218">
        <v>0</v>
      </c>
      <c r="AV34" s="218">
        <v>1119</v>
      </c>
      <c r="AW34" s="218">
        <v>386</v>
      </c>
      <c r="AX34" s="218">
        <v>291</v>
      </c>
      <c r="AY34" s="218">
        <v>700</v>
      </c>
      <c r="AZ34" s="218">
        <v>260</v>
      </c>
      <c r="BA34" s="218">
        <v>718</v>
      </c>
      <c r="BB34" s="218">
        <v>160</v>
      </c>
      <c r="BC34" s="218">
        <v>0</v>
      </c>
      <c r="BD34" s="218">
        <v>0</v>
      </c>
      <c r="BE34" s="218">
        <v>0</v>
      </c>
      <c r="BF34" s="218">
        <v>0</v>
      </c>
      <c r="BG34" s="218">
        <v>0</v>
      </c>
      <c r="BH34" s="218">
        <v>0</v>
      </c>
      <c r="BI34" s="218">
        <v>72</v>
      </c>
      <c r="BJ34" s="218">
        <v>66</v>
      </c>
      <c r="BK34" s="218">
        <v>66</v>
      </c>
      <c r="BL34" s="218">
        <v>82</v>
      </c>
      <c r="BM34" s="218">
        <v>54</v>
      </c>
      <c r="BN34" s="218">
        <v>89</v>
      </c>
      <c r="BO34" s="218">
        <v>0</v>
      </c>
      <c r="BP34" s="218">
        <v>0</v>
      </c>
      <c r="BQ34" s="218">
        <v>84</v>
      </c>
      <c r="BR34" s="218">
        <v>2532</v>
      </c>
      <c r="BS34" s="218">
        <v>607</v>
      </c>
      <c r="BT34" s="218">
        <v>500</v>
      </c>
      <c r="BU34" s="218">
        <v>1171</v>
      </c>
      <c r="BV34" s="218">
        <v>4391</v>
      </c>
      <c r="BW34" s="218">
        <v>283</v>
      </c>
      <c r="BX34" s="218">
        <v>306</v>
      </c>
      <c r="BY34" s="218">
        <v>0</v>
      </c>
      <c r="BZ34" s="218">
        <v>100</v>
      </c>
      <c r="CA34" s="218">
        <v>2653</v>
      </c>
      <c r="CB34" s="218">
        <v>642</v>
      </c>
      <c r="CC34" s="218">
        <v>687</v>
      </c>
      <c r="CD34" s="218">
        <v>1205</v>
      </c>
      <c r="CE34" s="218">
        <v>5583</v>
      </c>
      <c r="CF34" s="218">
        <v>379</v>
      </c>
      <c r="CG34" s="218">
        <v>311</v>
      </c>
      <c r="CH34" s="218">
        <v>0</v>
      </c>
      <c r="CI34" s="218">
        <v>28</v>
      </c>
      <c r="CJ34" s="218">
        <v>413</v>
      </c>
      <c r="CK34" s="218">
        <v>63</v>
      </c>
      <c r="CL34" s="218">
        <v>110</v>
      </c>
      <c r="CM34" s="218">
        <v>273</v>
      </c>
      <c r="CN34" s="218">
        <v>66</v>
      </c>
      <c r="CO34" s="218">
        <v>95</v>
      </c>
      <c r="CP34" s="218">
        <v>112</v>
      </c>
      <c r="CQ34" s="218">
        <v>2694</v>
      </c>
      <c r="CR34" s="218">
        <v>24372</v>
      </c>
      <c r="CS34" s="218">
        <v>202</v>
      </c>
      <c r="CT34" s="218">
        <v>0</v>
      </c>
      <c r="CU34" s="218">
        <v>0</v>
      </c>
      <c r="CV34" s="218">
        <v>0</v>
      </c>
      <c r="CX34" s="5"/>
      <c r="CY34" s="5"/>
    </row>
    <row r="35" spans="1:104" ht="15" customHeight="1">
      <c r="A35" s="149"/>
      <c r="B35" s="148" t="s">
        <v>172</v>
      </c>
      <c r="C35" s="138" t="s">
        <v>117</v>
      </c>
      <c r="D35" s="203">
        <f>SUMPRODUCT(E35:CV35,E34:CV34)/D34</f>
        <v>566.39501300001882</v>
      </c>
      <c r="E35" s="188">
        <v>596.40111473432103</v>
      </c>
      <c r="F35" s="188">
        <v>620.068105834672</v>
      </c>
      <c r="G35" s="188">
        <v>606.38002482079298</v>
      </c>
      <c r="H35" s="188">
        <v>515.17847350870295</v>
      </c>
      <c r="I35" s="188">
        <v>531.380370537408</v>
      </c>
      <c r="J35" s="188">
        <v>653.25189069440705</v>
      </c>
      <c r="K35" s="188">
        <v>554.20653565324096</v>
      </c>
      <c r="L35" s="188">
        <v>596.98857681717004</v>
      </c>
      <c r="M35" s="188">
        <v>473.35740406755798</v>
      </c>
      <c r="N35" s="188">
        <v>615.56209376530501</v>
      </c>
      <c r="O35" s="188">
        <v>596.30184079741105</v>
      </c>
      <c r="P35" s="188">
        <v>632.42316786516005</v>
      </c>
      <c r="Q35" s="188">
        <v>512.52581561195404</v>
      </c>
      <c r="R35" s="188">
        <v>628.22842417896095</v>
      </c>
      <c r="S35" s="188">
        <v>549.295580877936</v>
      </c>
      <c r="T35" s="188">
        <v>654.74097943107802</v>
      </c>
      <c r="U35" s="188">
        <v>516.32465894227596</v>
      </c>
      <c r="V35" s="188">
        <v>0</v>
      </c>
      <c r="W35" s="188">
        <v>0</v>
      </c>
      <c r="X35" s="188">
        <v>0</v>
      </c>
      <c r="Y35" s="188">
        <v>0</v>
      </c>
      <c r="Z35" s="188">
        <v>0</v>
      </c>
      <c r="AA35" s="188">
        <v>573.81683085651196</v>
      </c>
      <c r="AB35" s="188">
        <v>580.03316705887198</v>
      </c>
      <c r="AC35" s="188">
        <v>528.48961582047195</v>
      </c>
      <c r="AD35" s="188">
        <v>549.73609949250795</v>
      </c>
      <c r="AE35" s="188">
        <v>635.636579195011</v>
      </c>
      <c r="AF35" s="188">
        <v>597.25486649775405</v>
      </c>
      <c r="AG35" s="188">
        <v>539.36070028060601</v>
      </c>
      <c r="AH35" s="188">
        <v>580.49208544706903</v>
      </c>
      <c r="AI35" s="188">
        <v>561.73265126837305</v>
      </c>
      <c r="AJ35" s="188">
        <v>583.78366134545001</v>
      </c>
      <c r="AK35" s="188">
        <v>576.44074840360304</v>
      </c>
      <c r="AL35" s="188">
        <v>644.290105031346</v>
      </c>
      <c r="AM35" s="188">
        <v>0</v>
      </c>
      <c r="AN35" s="188">
        <v>0</v>
      </c>
      <c r="AO35" s="188">
        <v>0</v>
      </c>
      <c r="AP35" s="188">
        <v>598.88309276417101</v>
      </c>
      <c r="AQ35" s="188">
        <v>0</v>
      </c>
      <c r="AR35" s="188">
        <v>0</v>
      </c>
      <c r="AS35" s="188">
        <v>0</v>
      </c>
      <c r="AT35" s="188">
        <v>0</v>
      </c>
      <c r="AU35" s="188">
        <v>0</v>
      </c>
      <c r="AV35" s="188">
        <v>561.25932258917203</v>
      </c>
      <c r="AW35" s="188">
        <v>509.61115171899399</v>
      </c>
      <c r="AX35" s="188">
        <v>619.62671963240302</v>
      </c>
      <c r="AY35" s="188">
        <v>555.48022669304805</v>
      </c>
      <c r="AZ35" s="188">
        <v>500.71201822280898</v>
      </c>
      <c r="BA35" s="188">
        <v>519.60398511353799</v>
      </c>
      <c r="BB35" s="188">
        <v>575.28385909568897</v>
      </c>
      <c r="BC35" s="188">
        <v>0</v>
      </c>
      <c r="BD35" s="188">
        <v>0</v>
      </c>
      <c r="BE35" s="188">
        <v>0</v>
      </c>
      <c r="BF35" s="188">
        <v>0</v>
      </c>
      <c r="BG35" s="188">
        <v>0</v>
      </c>
      <c r="BH35" s="188">
        <v>0</v>
      </c>
      <c r="BI35" s="188">
        <v>523.55953106682296</v>
      </c>
      <c r="BJ35" s="188">
        <v>497.52279336734699</v>
      </c>
      <c r="BK35" s="188">
        <v>459.44216560509602</v>
      </c>
      <c r="BL35" s="188">
        <v>482.82921106557399</v>
      </c>
      <c r="BM35" s="188">
        <v>572.246246105919</v>
      </c>
      <c r="BN35" s="188">
        <v>544.90494339622603</v>
      </c>
      <c r="BO35" s="188">
        <v>0</v>
      </c>
      <c r="BP35" s="188">
        <v>0</v>
      </c>
      <c r="BQ35" s="188">
        <v>606.40901109989898</v>
      </c>
      <c r="BR35" s="188">
        <v>591.22954057577704</v>
      </c>
      <c r="BS35" s="188">
        <v>635.087467332355</v>
      </c>
      <c r="BT35" s="188">
        <v>590.05262887920003</v>
      </c>
      <c r="BU35" s="188">
        <v>653.895957099817</v>
      </c>
      <c r="BV35" s="188">
        <v>580.22119232931004</v>
      </c>
      <c r="BW35" s="188">
        <v>608.839511701932</v>
      </c>
      <c r="BX35" s="188">
        <v>619.50758910515697</v>
      </c>
      <c r="BY35" s="188">
        <v>0</v>
      </c>
      <c r="BZ35" s="188">
        <v>598.81797089041095</v>
      </c>
      <c r="CA35" s="188">
        <v>594.17711523299295</v>
      </c>
      <c r="CB35" s="188">
        <v>628.54458465956805</v>
      </c>
      <c r="CC35" s="188">
        <v>563.50457630546805</v>
      </c>
      <c r="CD35" s="188">
        <v>643.42570398422095</v>
      </c>
      <c r="CE35" s="188">
        <v>586.95780466614406</v>
      </c>
      <c r="CF35" s="188">
        <v>574.68201363821595</v>
      </c>
      <c r="CG35" s="188">
        <v>619.33746933018699</v>
      </c>
      <c r="CH35" s="188">
        <v>0</v>
      </c>
      <c r="CI35" s="188">
        <v>732.89392097264397</v>
      </c>
      <c r="CJ35" s="188">
        <v>616.07144444444396</v>
      </c>
      <c r="CK35" s="188">
        <v>571.69370420624205</v>
      </c>
      <c r="CL35" s="188">
        <v>669.54128705148196</v>
      </c>
      <c r="CM35" s="188">
        <v>568.24533998752304</v>
      </c>
      <c r="CN35" s="188">
        <v>618.11035479632096</v>
      </c>
      <c r="CO35" s="188">
        <v>669.91786929274895</v>
      </c>
      <c r="CP35" s="188">
        <v>684.95361082410795</v>
      </c>
      <c r="CQ35" s="188">
        <v>453.23647247422502</v>
      </c>
      <c r="CR35" s="188">
        <v>554.37370272169801</v>
      </c>
      <c r="CS35" s="188">
        <v>580.84791030037002</v>
      </c>
      <c r="CT35" s="188">
        <v>0</v>
      </c>
      <c r="CU35" s="188">
        <v>0</v>
      </c>
      <c r="CV35" s="188">
        <v>0</v>
      </c>
      <c r="CX35" s="5"/>
      <c r="CY35" s="20"/>
    </row>
    <row r="36" spans="1:104" ht="15" customHeight="1">
      <c r="A36" s="149"/>
      <c r="B36" s="204" t="s">
        <v>173</v>
      </c>
      <c r="C36" s="205" t="s">
        <v>118</v>
      </c>
      <c r="D36" s="158">
        <f t="shared" ref="D36:AI36" si="7">D30/(D31+D32)</f>
        <v>0.75900684773244875</v>
      </c>
      <c r="E36" s="88">
        <f t="shared" si="7"/>
        <v>0.85524712487068844</v>
      </c>
      <c r="F36" s="88">
        <f t="shared" si="7"/>
        <v>0.85458572829933455</v>
      </c>
      <c r="G36" s="88">
        <f t="shared" si="7"/>
        <v>0.86124888895227636</v>
      </c>
      <c r="H36" s="88">
        <f t="shared" si="7"/>
        <v>0.47464114053296064</v>
      </c>
      <c r="I36" s="88">
        <f t="shared" si="7"/>
        <v>0.70937182671414789</v>
      </c>
      <c r="J36" s="88">
        <f t="shared" si="7"/>
        <v>0.83097736003716505</v>
      </c>
      <c r="K36" s="88">
        <f t="shared" si="7"/>
        <v>0.74376922989300065</v>
      </c>
      <c r="L36" s="88">
        <f t="shared" si="7"/>
        <v>1.055529455479282</v>
      </c>
      <c r="M36" s="88">
        <f t="shared" si="7"/>
        <v>0.40722987719717746</v>
      </c>
      <c r="N36" s="88">
        <f t="shared" si="7"/>
        <v>0.76484553760415164</v>
      </c>
      <c r="O36" s="88" t="e">
        <f t="shared" si="7"/>
        <v>#DIV/0!</v>
      </c>
      <c r="P36" s="88" t="e">
        <f t="shared" si="7"/>
        <v>#DIV/0!</v>
      </c>
      <c r="Q36" s="88" t="e">
        <f t="shared" si="7"/>
        <v>#DIV/0!</v>
      </c>
      <c r="R36" s="88" t="e">
        <f t="shared" si="7"/>
        <v>#DIV/0!</v>
      </c>
      <c r="S36" s="88" t="e">
        <f t="shared" si="7"/>
        <v>#DIV/0!</v>
      </c>
      <c r="T36" s="88">
        <f t="shared" si="7"/>
        <v>0.88668040405870729</v>
      </c>
      <c r="U36" s="88" t="e">
        <f t="shared" si="7"/>
        <v>#DIV/0!</v>
      </c>
      <c r="V36" s="88">
        <f t="shared" si="7"/>
        <v>0.80887577639436936</v>
      </c>
      <c r="W36" s="88">
        <f t="shared" si="7"/>
        <v>0.75968554319195025</v>
      </c>
      <c r="X36" s="88">
        <f t="shared" si="7"/>
        <v>0.69346622294156623</v>
      </c>
      <c r="Y36" s="88">
        <f t="shared" si="7"/>
        <v>0.34531479773869417</v>
      </c>
      <c r="Z36" s="88">
        <f t="shared" si="7"/>
        <v>0.47581441132055546</v>
      </c>
      <c r="AA36" s="88">
        <f t="shared" si="7"/>
        <v>0.79091197826782833</v>
      </c>
      <c r="AB36" s="88">
        <f t="shared" si="7"/>
        <v>0.8345182028642294</v>
      </c>
      <c r="AC36" s="88">
        <f t="shared" si="7"/>
        <v>0.68792596513330406</v>
      </c>
      <c r="AD36" s="88">
        <f t="shared" si="7"/>
        <v>0.59903069579570334</v>
      </c>
      <c r="AE36" s="88">
        <f t="shared" si="7"/>
        <v>0.75354449163365478</v>
      </c>
      <c r="AF36" s="88" t="e">
        <f t="shared" si="7"/>
        <v>#DIV/0!</v>
      </c>
      <c r="AG36" s="88">
        <f t="shared" si="7"/>
        <v>0.66177193055269889</v>
      </c>
      <c r="AH36" s="88">
        <f t="shared" si="7"/>
        <v>0.62575525410197042</v>
      </c>
      <c r="AI36" s="88">
        <f t="shared" si="7"/>
        <v>0.39143987169875488</v>
      </c>
      <c r="AJ36" s="88">
        <f t="shared" ref="AJ36:BO36" si="8">AJ30/(AJ31+AJ32)</f>
        <v>0.78230450272454488</v>
      </c>
      <c r="AK36" s="88" t="e">
        <f t="shared" si="8"/>
        <v>#DIV/0!</v>
      </c>
      <c r="AL36" s="88" t="e">
        <f t="shared" si="8"/>
        <v>#DIV/0!</v>
      </c>
      <c r="AM36" s="88" t="e">
        <f t="shared" si="8"/>
        <v>#DIV/0!</v>
      </c>
      <c r="AN36" s="88" t="e">
        <f t="shared" si="8"/>
        <v>#DIV/0!</v>
      </c>
      <c r="AO36" s="88" t="e">
        <f t="shared" si="8"/>
        <v>#DIV/0!</v>
      </c>
      <c r="AP36" s="88">
        <f t="shared" si="8"/>
        <v>0.7964227301607617</v>
      </c>
      <c r="AQ36" s="88">
        <f t="shared" si="8"/>
        <v>0.6487681928344291</v>
      </c>
      <c r="AR36" s="88">
        <f t="shared" si="8"/>
        <v>0.70747422897792955</v>
      </c>
      <c r="AS36" s="88">
        <f t="shared" si="8"/>
        <v>0.79515423035377719</v>
      </c>
      <c r="AT36" s="88">
        <f t="shared" si="8"/>
        <v>0.42644664376960933</v>
      </c>
      <c r="AU36" s="88">
        <f t="shared" si="8"/>
        <v>0.43098623484486198</v>
      </c>
      <c r="AV36" s="88">
        <f t="shared" si="8"/>
        <v>0.70073119580657994</v>
      </c>
      <c r="AW36" s="88">
        <f t="shared" si="8"/>
        <v>0.74602410104657713</v>
      </c>
      <c r="AX36" s="88">
        <f t="shared" si="8"/>
        <v>1.1244689060768178</v>
      </c>
      <c r="AY36" s="88">
        <f t="shared" si="8"/>
        <v>0.91852007842583949</v>
      </c>
      <c r="AZ36" s="88">
        <f t="shared" si="8"/>
        <v>-0.19958924825102822</v>
      </c>
      <c r="BA36" s="88">
        <f t="shared" si="8"/>
        <v>1.5652595284207107</v>
      </c>
      <c r="BB36" s="88" t="e">
        <f t="shared" si="8"/>
        <v>#DIV/0!</v>
      </c>
      <c r="BC36" s="88">
        <f t="shared" si="8"/>
        <v>0.73350746744458972</v>
      </c>
      <c r="BD36" s="88">
        <f t="shared" si="8"/>
        <v>0.51157240623449207</v>
      </c>
      <c r="BE36" s="88">
        <f t="shared" si="8"/>
        <v>0.89900632520327994</v>
      </c>
      <c r="BF36" s="88">
        <f t="shared" si="8"/>
        <v>0.66316067987611282</v>
      </c>
      <c r="BG36" s="88">
        <f t="shared" si="8"/>
        <v>0.63875469609254543</v>
      </c>
      <c r="BH36" s="88">
        <f t="shared" si="8"/>
        <v>0.88575222165607648</v>
      </c>
      <c r="BI36" s="88">
        <f t="shared" si="8"/>
        <v>0.48516989061225463</v>
      </c>
      <c r="BJ36" s="88">
        <f t="shared" si="8"/>
        <v>0.52698580250810401</v>
      </c>
      <c r="BK36" s="88" t="e">
        <f t="shared" si="8"/>
        <v>#DIV/0!</v>
      </c>
      <c r="BL36" s="88" t="e">
        <f t="shared" si="8"/>
        <v>#DIV/0!</v>
      </c>
      <c r="BM36" s="88">
        <f t="shared" si="8"/>
        <v>0.5930990956622012</v>
      </c>
      <c r="BN36" s="88">
        <f t="shared" si="8"/>
        <v>0.82778574649627401</v>
      </c>
      <c r="BO36" s="88">
        <f t="shared" si="8"/>
        <v>0.38429964892592205</v>
      </c>
      <c r="BP36" s="88">
        <f t="shared" ref="BP36:CV36" si="9">BP30/(BP31+BP32)</f>
        <v>0.80003298841603088</v>
      </c>
      <c r="BQ36" s="88" t="e">
        <f t="shared" si="9"/>
        <v>#DIV/0!</v>
      </c>
      <c r="BR36" s="88" t="e">
        <f t="shared" si="9"/>
        <v>#DIV/0!</v>
      </c>
      <c r="BS36" s="88">
        <f t="shared" si="9"/>
        <v>0.73424939460643679</v>
      </c>
      <c r="BT36" s="88">
        <f t="shared" si="9"/>
        <v>0.97050278868962347</v>
      </c>
      <c r="BU36" s="88">
        <f t="shared" si="9"/>
        <v>0.82292337438292984</v>
      </c>
      <c r="BV36" s="88">
        <f t="shared" si="9"/>
        <v>0.79654108768441545</v>
      </c>
      <c r="BW36" s="88" t="e">
        <f t="shared" si="9"/>
        <v>#DIV/0!</v>
      </c>
      <c r="BX36" s="88" t="e">
        <f t="shared" si="9"/>
        <v>#DIV/0!</v>
      </c>
      <c r="BY36" s="88">
        <f t="shared" si="9"/>
        <v>0.64746781295645894</v>
      </c>
      <c r="BZ36" s="88" t="e">
        <f t="shared" si="9"/>
        <v>#DIV/0!</v>
      </c>
      <c r="CA36" s="88" t="e">
        <f t="shared" si="9"/>
        <v>#DIV/0!</v>
      </c>
      <c r="CB36" s="88">
        <f t="shared" si="9"/>
        <v>0.71215302928726687</v>
      </c>
      <c r="CC36" s="88">
        <f t="shared" si="9"/>
        <v>0.70872719944181517</v>
      </c>
      <c r="CD36" s="88">
        <f t="shared" si="9"/>
        <v>0.77279670408624412</v>
      </c>
      <c r="CE36" s="88">
        <f t="shared" si="9"/>
        <v>0.6860090300503382</v>
      </c>
      <c r="CF36" s="88" t="e">
        <f t="shared" si="9"/>
        <v>#DIV/0!</v>
      </c>
      <c r="CG36" s="88" t="e">
        <f t="shared" si="9"/>
        <v>#DIV/0!</v>
      </c>
      <c r="CH36" s="88">
        <f t="shared" si="9"/>
        <v>0.68300019640645948</v>
      </c>
      <c r="CI36" s="88" t="e">
        <f t="shared" si="9"/>
        <v>#DIV/0!</v>
      </c>
      <c r="CJ36" s="88" t="e">
        <f t="shared" si="9"/>
        <v>#DIV/0!</v>
      </c>
      <c r="CK36" s="88" t="e">
        <f t="shared" si="9"/>
        <v>#DIV/0!</v>
      </c>
      <c r="CL36" s="88" t="e">
        <f t="shared" si="9"/>
        <v>#DIV/0!</v>
      </c>
      <c r="CM36" s="88" t="e">
        <f t="shared" si="9"/>
        <v>#DIV/0!</v>
      </c>
      <c r="CN36" s="88" t="e">
        <f t="shared" si="9"/>
        <v>#DIV/0!</v>
      </c>
      <c r="CO36" s="88" t="e">
        <f t="shared" si="9"/>
        <v>#DIV/0!</v>
      </c>
      <c r="CP36" s="88" t="e">
        <f t="shared" si="9"/>
        <v>#DIV/0!</v>
      </c>
      <c r="CQ36" s="88" t="e">
        <f t="shared" si="9"/>
        <v>#DIV/0!</v>
      </c>
      <c r="CR36" s="88" t="e">
        <f t="shared" si="9"/>
        <v>#DIV/0!</v>
      </c>
      <c r="CS36" s="88" t="e">
        <f t="shared" si="9"/>
        <v>#DIV/0!</v>
      </c>
      <c r="CT36" s="88" t="e">
        <f t="shared" si="9"/>
        <v>#DIV/0!</v>
      </c>
      <c r="CU36" s="88" t="e">
        <f t="shared" si="9"/>
        <v>#DIV/0!</v>
      </c>
      <c r="CV36" s="88" t="e">
        <f t="shared" si="9"/>
        <v>#DIV/0!</v>
      </c>
    </row>
    <row r="37" spans="1:104" ht="15" customHeight="1">
      <c r="A37" s="72"/>
      <c r="C37" s="76" t="s">
        <v>120</v>
      </c>
      <c r="D37" s="25"/>
      <c r="CX37" s="5"/>
      <c r="CY37" s="5"/>
      <c r="CZ37" s="5"/>
    </row>
    <row r="38" spans="1:104" ht="15" customHeight="1">
      <c r="A38" s="149"/>
      <c r="B38" s="146" t="s">
        <v>174</v>
      </c>
      <c r="C38" s="156" t="s">
        <v>86</v>
      </c>
      <c r="D38" s="86">
        <f t="shared" ref="D38:AI38" si="10">D26/D33</f>
        <v>603.95957051506048</v>
      </c>
      <c r="E38" s="86">
        <f t="shared" si="10"/>
        <v>752.31689695362024</v>
      </c>
      <c r="F38" s="86">
        <f t="shared" si="10"/>
        <v>721.50190240801555</v>
      </c>
      <c r="G38" s="86">
        <f t="shared" si="10"/>
        <v>799.3150240507797</v>
      </c>
      <c r="H38" s="86">
        <f t="shared" si="10"/>
        <v>356.22071742607807</v>
      </c>
      <c r="I38" s="86">
        <f t="shared" si="10"/>
        <v>578.80606991190814</v>
      </c>
      <c r="J38" s="86">
        <f t="shared" si="10"/>
        <v>898.99688674288052</v>
      </c>
      <c r="K38" s="86">
        <f t="shared" si="10"/>
        <v>485.25148504911647</v>
      </c>
      <c r="L38" s="86">
        <f t="shared" si="10"/>
        <v>753.35117964655171</v>
      </c>
      <c r="M38" s="86">
        <f t="shared" si="10"/>
        <v>320.50697709035552</v>
      </c>
      <c r="N38" s="86">
        <f t="shared" si="10"/>
        <v>570.80052443771342</v>
      </c>
      <c r="O38" s="86" t="e">
        <f t="shared" si="10"/>
        <v>#DIV/0!</v>
      </c>
      <c r="P38" s="86" t="e">
        <f t="shared" si="10"/>
        <v>#DIV/0!</v>
      </c>
      <c r="Q38" s="86" t="e">
        <f t="shared" si="10"/>
        <v>#DIV/0!</v>
      </c>
      <c r="R38" s="86" t="e">
        <f t="shared" si="10"/>
        <v>#DIV/0!</v>
      </c>
      <c r="S38" s="86" t="e">
        <f t="shared" si="10"/>
        <v>#DIV/0!</v>
      </c>
      <c r="T38" s="86">
        <f t="shared" si="10"/>
        <v>970.00988025219579</v>
      </c>
      <c r="U38" s="86" t="e">
        <f t="shared" si="10"/>
        <v>#DIV/0!</v>
      </c>
      <c r="V38" s="86">
        <f t="shared" si="10"/>
        <v>669.12299113685367</v>
      </c>
      <c r="W38" s="86">
        <f t="shared" si="10"/>
        <v>766.28540074327987</v>
      </c>
      <c r="X38" s="86">
        <f t="shared" si="10"/>
        <v>488.70982791400087</v>
      </c>
      <c r="Y38" s="86">
        <f t="shared" si="10"/>
        <v>319.16786973180075</v>
      </c>
      <c r="Z38" s="86">
        <f t="shared" si="10"/>
        <v>388.96415383285171</v>
      </c>
      <c r="AA38" s="86">
        <f t="shared" si="10"/>
        <v>773.85766588645481</v>
      </c>
      <c r="AB38" s="86">
        <f t="shared" si="10"/>
        <v>736.09369980222016</v>
      </c>
      <c r="AC38" s="86">
        <f t="shared" si="10"/>
        <v>565.86008541682656</v>
      </c>
      <c r="AD38" s="86">
        <f t="shared" si="10"/>
        <v>896.96385782509822</v>
      </c>
      <c r="AE38" s="86">
        <f t="shared" si="10"/>
        <v>1228.3295903339335</v>
      </c>
      <c r="AF38" s="86" t="e">
        <f t="shared" si="10"/>
        <v>#DIV/0!</v>
      </c>
      <c r="AG38" s="86">
        <f t="shared" si="10"/>
        <v>558.85901781890652</v>
      </c>
      <c r="AH38" s="86">
        <f t="shared" si="10"/>
        <v>586.63485988528191</v>
      </c>
      <c r="AI38" s="86">
        <f t="shared" si="10"/>
        <v>332.75550442176876</v>
      </c>
      <c r="AJ38" s="86">
        <f t="shared" ref="AJ38:BO38" si="11">AJ26/AJ33</f>
        <v>626.93695466395457</v>
      </c>
      <c r="AK38" s="86" t="e">
        <f t="shared" si="11"/>
        <v>#DIV/0!</v>
      </c>
      <c r="AL38" s="86" t="e">
        <f t="shared" si="11"/>
        <v>#DIV/0!</v>
      </c>
      <c r="AM38" s="86" t="e">
        <f t="shared" si="11"/>
        <v>#DIV/0!</v>
      </c>
      <c r="AN38" s="86" t="e">
        <f t="shared" si="11"/>
        <v>#DIV/0!</v>
      </c>
      <c r="AO38" s="86" t="e">
        <f t="shared" si="11"/>
        <v>#DIV/0!</v>
      </c>
      <c r="AP38" s="86">
        <f t="shared" si="11"/>
        <v>1043.2123097145488</v>
      </c>
      <c r="AQ38" s="86">
        <f t="shared" si="11"/>
        <v>572.10892138910299</v>
      </c>
      <c r="AR38" s="86">
        <f t="shared" si="11"/>
        <v>696.20006119414631</v>
      </c>
      <c r="AS38" s="86">
        <f t="shared" si="11"/>
        <v>706.24705610442993</v>
      </c>
      <c r="AT38" s="86">
        <f t="shared" si="11"/>
        <v>376.78405093249279</v>
      </c>
      <c r="AU38" s="86">
        <f t="shared" si="11"/>
        <v>396.46987313371619</v>
      </c>
      <c r="AV38" s="86">
        <f t="shared" si="11"/>
        <v>437.13594837140914</v>
      </c>
      <c r="AW38" s="86">
        <f t="shared" si="11"/>
        <v>425.99597781118462</v>
      </c>
      <c r="AX38" s="86">
        <f t="shared" si="11"/>
        <v>1468.7988378897753</v>
      </c>
      <c r="AY38" s="86">
        <f t="shared" si="11"/>
        <v>902.03018096002859</v>
      </c>
      <c r="AZ38" s="86">
        <f t="shared" si="11"/>
        <v>0</v>
      </c>
      <c r="BA38" s="86">
        <f t="shared" si="11"/>
        <v>1008.8225</v>
      </c>
      <c r="BB38" s="86" t="e">
        <f t="shared" si="11"/>
        <v>#DIV/0!</v>
      </c>
      <c r="BC38" s="86">
        <f t="shared" si="11"/>
        <v>499.32917501456029</v>
      </c>
      <c r="BD38" s="86">
        <f t="shared" si="11"/>
        <v>374.33115307314483</v>
      </c>
      <c r="BE38" s="86">
        <f t="shared" si="11"/>
        <v>1930.7008817468106</v>
      </c>
      <c r="BF38" s="86">
        <f t="shared" si="11"/>
        <v>428.28317006715707</v>
      </c>
      <c r="BG38" s="86">
        <f t="shared" si="11"/>
        <v>442.76820914502161</v>
      </c>
      <c r="BH38" s="86">
        <f t="shared" si="11"/>
        <v>624.0430902804643</v>
      </c>
      <c r="BI38" s="86">
        <f t="shared" si="11"/>
        <v>686.0356814270724</v>
      </c>
      <c r="BJ38" s="86">
        <f t="shared" si="11"/>
        <v>445.56982895040369</v>
      </c>
      <c r="BK38" s="86" t="e">
        <f t="shared" si="11"/>
        <v>#DIV/0!</v>
      </c>
      <c r="BL38" s="86" t="e">
        <f t="shared" si="11"/>
        <v>#DIV/0!</v>
      </c>
      <c r="BM38" s="86">
        <f t="shared" si="11"/>
        <v>1101.521756899489</v>
      </c>
      <c r="BN38" s="86">
        <f t="shared" si="11"/>
        <v>990.5181011527377</v>
      </c>
      <c r="BO38" s="86">
        <f t="shared" si="11"/>
        <v>634.9895028105168</v>
      </c>
      <c r="BP38" s="86">
        <f t="shared" ref="BP38:CV38" si="12">BP26/BP33</f>
        <v>499.80497127753307</v>
      </c>
      <c r="BQ38" s="86" t="e">
        <f t="shared" si="12"/>
        <v>#DIV/0!</v>
      </c>
      <c r="BR38" s="86" t="e">
        <f t="shared" si="12"/>
        <v>#DIV/0!</v>
      </c>
      <c r="BS38" s="86">
        <f t="shared" si="12"/>
        <v>553.72038687540214</v>
      </c>
      <c r="BT38" s="86">
        <f t="shared" si="12"/>
        <v>566.73583226880885</v>
      </c>
      <c r="BU38" s="86">
        <f t="shared" si="12"/>
        <v>588.2925653271509</v>
      </c>
      <c r="BV38" s="86">
        <f t="shared" si="12"/>
        <v>459.20003460097445</v>
      </c>
      <c r="BW38" s="86" t="e">
        <f t="shared" si="12"/>
        <v>#DIV/0!</v>
      </c>
      <c r="BX38" s="86" t="e">
        <f t="shared" si="12"/>
        <v>#DIV/0!</v>
      </c>
      <c r="BY38" s="86">
        <f t="shared" si="12"/>
        <v>495.10005464884847</v>
      </c>
      <c r="BZ38" s="86" t="e">
        <f t="shared" si="12"/>
        <v>#DIV/0!</v>
      </c>
      <c r="CA38" s="86" t="e">
        <f t="shared" si="12"/>
        <v>#DIV/0!</v>
      </c>
      <c r="CB38" s="86">
        <f t="shared" si="12"/>
        <v>472.94551143033669</v>
      </c>
      <c r="CC38" s="86">
        <f t="shared" si="12"/>
        <v>447.61660549155903</v>
      </c>
      <c r="CD38" s="86">
        <f t="shared" si="12"/>
        <v>588.69076115299902</v>
      </c>
      <c r="CE38" s="86">
        <f t="shared" si="12"/>
        <v>429.49769352579875</v>
      </c>
      <c r="CF38" s="86" t="e">
        <f t="shared" si="12"/>
        <v>#DIV/0!</v>
      </c>
      <c r="CG38" s="86" t="e">
        <f t="shared" si="12"/>
        <v>#DIV/0!</v>
      </c>
      <c r="CH38" s="86">
        <f t="shared" si="12"/>
        <v>445.56493988567803</v>
      </c>
      <c r="CI38" s="86" t="e">
        <f t="shared" si="12"/>
        <v>#DIV/0!</v>
      </c>
      <c r="CJ38" s="86" t="e">
        <f t="shared" si="12"/>
        <v>#DIV/0!</v>
      </c>
      <c r="CK38" s="86" t="e">
        <f t="shared" si="12"/>
        <v>#DIV/0!</v>
      </c>
      <c r="CL38" s="86" t="e">
        <f t="shared" si="12"/>
        <v>#DIV/0!</v>
      </c>
      <c r="CM38" s="86" t="e">
        <f t="shared" si="12"/>
        <v>#DIV/0!</v>
      </c>
      <c r="CN38" s="86" t="e">
        <f t="shared" si="12"/>
        <v>#DIV/0!</v>
      </c>
      <c r="CO38" s="86" t="e">
        <f t="shared" si="12"/>
        <v>#DIV/0!</v>
      </c>
      <c r="CP38" s="86" t="e">
        <f t="shared" si="12"/>
        <v>#DIV/0!</v>
      </c>
      <c r="CQ38" s="86" t="e">
        <f t="shared" si="12"/>
        <v>#DIV/0!</v>
      </c>
      <c r="CR38" s="86" t="e">
        <f t="shared" si="12"/>
        <v>#DIV/0!</v>
      </c>
      <c r="CS38" s="86" t="e">
        <f t="shared" si="12"/>
        <v>#DIV/0!</v>
      </c>
      <c r="CT38" s="86" t="e">
        <f t="shared" si="12"/>
        <v>#DIV/0!</v>
      </c>
      <c r="CU38" s="86" t="e">
        <f t="shared" si="12"/>
        <v>#DIV/0!</v>
      </c>
      <c r="CV38" s="86" t="e">
        <f t="shared" si="12"/>
        <v>#DIV/0!</v>
      </c>
    </row>
    <row r="39" spans="1:104" ht="15" customHeight="1">
      <c r="A39" s="149"/>
      <c r="B39" s="146" t="s">
        <v>175</v>
      </c>
      <c r="C39" s="156" t="s">
        <v>87</v>
      </c>
      <c r="D39" s="86">
        <f t="shared" ref="D39:AI39" si="13">D27/D33</f>
        <v>63.192917439686937</v>
      </c>
      <c r="E39" s="86">
        <f t="shared" si="13"/>
        <v>63.192916549117321</v>
      </c>
      <c r="F39" s="86">
        <f t="shared" si="13"/>
        <v>63.192880002876393</v>
      </c>
      <c r="G39" s="86">
        <f t="shared" si="13"/>
        <v>63.192918673054287</v>
      </c>
      <c r="H39" s="86">
        <f t="shared" si="13"/>
        <v>63.192846979098952</v>
      </c>
      <c r="I39" s="86">
        <f t="shared" si="13"/>
        <v>63.192949681208248</v>
      </c>
      <c r="J39" s="86">
        <f t="shared" si="13"/>
        <v>63.192803475213495</v>
      </c>
      <c r="K39" s="86">
        <f t="shared" si="13"/>
        <v>63.19294835947511</v>
      </c>
      <c r="L39" s="86">
        <f t="shared" si="13"/>
        <v>63.193439974137931</v>
      </c>
      <c r="M39" s="86">
        <f t="shared" si="13"/>
        <v>63.192812259752216</v>
      </c>
      <c r="N39" s="86">
        <f t="shared" si="13"/>
        <v>63.192613873500456</v>
      </c>
      <c r="O39" s="86" t="e">
        <f t="shared" si="13"/>
        <v>#DIV/0!</v>
      </c>
      <c r="P39" s="86" t="e">
        <f t="shared" si="13"/>
        <v>#DIV/0!</v>
      </c>
      <c r="Q39" s="86" t="e">
        <f t="shared" si="13"/>
        <v>#DIV/0!</v>
      </c>
      <c r="R39" s="86" t="e">
        <f t="shared" si="13"/>
        <v>#DIV/0!</v>
      </c>
      <c r="S39" s="86" t="e">
        <f t="shared" si="13"/>
        <v>#DIV/0!</v>
      </c>
      <c r="T39" s="86">
        <f t="shared" si="13"/>
        <v>63.193284968729536</v>
      </c>
      <c r="U39" s="86" t="e">
        <f t="shared" si="13"/>
        <v>#DIV/0!</v>
      </c>
      <c r="V39" s="86">
        <f t="shared" si="13"/>
        <v>63.192606919530434</v>
      </c>
      <c r="W39" s="86">
        <f t="shared" si="13"/>
        <v>63.193724914306337</v>
      </c>
      <c r="X39" s="86">
        <f t="shared" si="13"/>
        <v>63.192949680096838</v>
      </c>
      <c r="Y39" s="86">
        <f t="shared" si="13"/>
        <v>63.192683124187141</v>
      </c>
      <c r="Z39" s="86">
        <f t="shared" si="13"/>
        <v>63.192288261393891</v>
      </c>
      <c r="AA39" s="86">
        <f t="shared" si="13"/>
        <v>63.192949680942043</v>
      </c>
      <c r="AB39" s="86">
        <f t="shared" si="13"/>
        <v>63.193241978754621</v>
      </c>
      <c r="AC39" s="86">
        <f t="shared" si="13"/>
        <v>63.192452462193899</v>
      </c>
      <c r="AD39" s="86">
        <f t="shared" si="13"/>
        <v>63.192982339259864</v>
      </c>
      <c r="AE39" s="86">
        <f t="shared" si="13"/>
        <v>63.193187598624988</v>
      </c>
      <c r="AF39" s="86" t="e">
        <f t="shared" si="13"/>
        <v>#DIV/0!</v>
      </c>
      <c r="AG39" s="86">
        <f t="shared" si="13"/>
        <v>63.19299575702707</v>
      </c>
      <c r="AH39" s="86">
        <f t="shared" si="13"/>
        <v>63.189247876495003</v>
      </c>
      <c r="AI39" s="86">
        <f t="shared" si="13"/>
        <v>63.193983058608062</v>
      </c>
      <c r="AJ39" s="86">
        <f t="shared" ref="AJ39:BO39" si="14">AJ27/AJ33</f>
        <v>63.193815372161566</v>
      </c>
      <c r="AK39" s="86" t="e">
        <f t="shared" si="14"/>
        <v>#DIV/0!</v>
      </c>
      <c r="AL39" s="86" t="e">
        <f t="shared" si="14"/>
        <v>#DIV/0!</v>
      </c>
      <c r="AM39" s="86" t="e">
        <f t="shared" si="14"/>
        <v>#DIV/0!</v>
      </c>
      <c r="AN39" s="86" t="e">
        <f t="shared" si="14"/>
        <v>#DIV/0!</v>
      </c>
      <c r="AO39" s="86" t="e">
        <f t="shared" si="14"/>
        <v>#DIV/0!</v>
      </c>
      <c r="AP39" s="86">
        <f t="shared" si="14"/>
        <v>63.192413734612778</v>
      </c>
      <c r="AQ39" s="86">
        <f t="shared" si="14"/>
        <v>63.192868472115144</v>
      </c>
      <c r="AR39" s="86">
        <f t="shared" si="14"/>
        <v>63.193409612435339</v>
      </c>
      <c r="AS39" s="86">
        <f t="shared" si="14"/>
        <v>63.192781332775162</v>
      </c>
      <c r="AT39" s="86">
        <f t="shared" si="14"/>
        <v>63.196020527974788</v>
      </c>
      <c r="AU39" s="86">
        <f t="shared" si="14"/>
        <v>63.194764089417561</v>
      </c>
      <c r="AV39" s="86">
        <f t="shared" si="14"/>
        <v>63.190376792580864</v>
      </c>
      <c r="AW39" s="86">
        <f t="shared" si="14"/>
        <v>63.193329665263576</v>
      </c>
      <c r="AX39" s="86">
        <f t="shared" si="14"/>
        <v>63.202802102973166</v>
      </c>
      <c r="AY39" s="86">
        <f t="shared" si="14"/>
        <v>63.197234707351896</v>
      </c>
      <c r="AZ39" s="86">
        <f t="shared" si="14"/>
        <v>63.192950000000003</v>
      </c>
      <c r="BA39" s="86">
        <f t="shared" si="14"/>
        <v>60.033299999999997</v>
      </c>
      <c r="BB39" s="86" t="e">
        <f t="shared" si="14"/>
        <v>#DIV/0!</v>
      </c>
      <c r="BC39" s="86">
        <f t="shared" si="14"/>
        <v>63.188287808192591</v>
      </c>
      <c r="BD39" s="86">
        <f t="shared" si="14"/>
        <v>63.193872454533384</v>
      </c>
      <c r="BE39" s="86">
        <f t="shared" si="14"/>
        <v>63.192949656526011</v>
      </c>
      <c r="BF39" s="86">
        <f t="shared" si="14"/>
        <v>63.199012312120246</v>
      </c>
      <c r="BG39" s="86">
        <f t="shared" si="14"/>
        <v>63.189644137806638</v>
      </c>
      <c r="BH39" s="86">
        <f t="shared" si="14"/>
        <v>63.192032978723404</v>
      </c>
      <c r="BI39" s="86">
        <f t="shared" si="14"/>
        <v>63.192949632738724</v>
      </c>
      <c r="BJ39" s="86">
        <f t="shared" si="14"/>
        <v>63.192949711649369</v>
      </c>
      <c r="BK39" s="86" t="e">
        <f t="shared" si="14"/>
        <v>#DIV/0!</v>
      </c>
      <c r="BL39" s="86" t="e">
        <f t="shared" si="14"/>
        <v>#DIV/0!</v>
      </c>
      <c r="BM39" s="86">
        <f t="shared" si="14"/>
        <v>63.140199148211245</v>
      </c>
      <c r="BN39" s="86">
        <f t="shared" si="14"/>
        <v>63.210553890489912</v>
      </c>
      <c r="BO39" s="86">
        <f t="shared" si="14"/>
        <v>63.195241341795111</v>
      </c>
      <c r="BP39" s="86">
        <f t="shared" ref="BP39:CV39" si="15">BP27/BP33</f>
        <v>63.192949691629956</v>
      </c>
      <c r="BQ39" s="86" t="e">
        <f t="shared" si="15"/>
        <v>#DIV/0!</v>
      </c>
      <c r="BR39" s="86" t="e">
        <f t="shared" si="15"/>
        <v>#DIV/0!</v>
      </c>
      <c r="BS39" s="86">
        <f t="shared" si="15"/>
        <v>63.192814153978134</v>
      </c>
      <c r="BT39" s="86">
        <f t="shared" si="15"/>
        <v>63.194744925548591</v>
      </c>
      <c r="BU39" s="86">
        <f t="shared" si="15"/>
        <v>63.191719749270135</v>
      </c>
      <c r="BV39" s="86">
        <f t="shared" si="15"/>
        <v>63.193142747913612</v>
      </c>
      <c r="BW39" s="86" t="e">
        <f t="shared" si="15"/>
        <v>#DIV/0!</v>
      </c>
      <c r="BX39" s="86" t="e">
        <f t="shared" si="15"/>
        <v>#DIV/0!</v>
      </c>
      <c r="BY39" s="86">
        <f t="shared" si="15"/>
        <v>63.189895166334949</v>
      </c>
      <c r="BZ39" s="86" t="e">
        <f t="shared" si="15"/>
        <v>#DIV/0!</v>
      </c>
      <c r="CA39" s="86" t="e">
        <f t="shared" si="15"/>
        <v>#DIV/0!</v>
      </c>
      <c r="CB39" s="86">
        <f t="shared" si="15"/>
        <v>63.195617701575536</v>
      </c>
      <c r="CC39" s="86">
        <f t="shared" si="15"/>
        <v>63.191631857000992</v>
      </c>
      <c r="CD39" s="86">
        <f t="shared" si="15"/>
        <v>63.19190574381566</v>
      </c>
      <c r="CE39" s="86">
        <f t="shared" si="15"/>
        <v>63.192763715044592</v>
      </c>
      <c r="CF39" s="86" t="e">
        <f t="shared" si="15"/>
        <v>#DIV/0!</v>
      </c>
      <c r="CG39" s="86" t="e">
        <f t="shared" si="15"/>
        <v>#DIV/0!</v>
      </c>
      <c r="CH39" s="86">
        <f t="shared" si="15"/>
        <v>63.194555086270775</v>
      </c>
      <c r="CI39" s="86" t="e">
        <f t="shared" si="15"/>
        <v>#DIV/0!</v>
      </c>
      <c r="CJ39" s="86" t="e">
        <f t="shared" si="15"/>
        <v>#DIV/0!</v>
      </c>
      <c r="CK39" s="86" t="e">
        <f t="shared" si="15"/>
        <v>#DIV/0!</v>
      </c>
      <c r="CL39" s="86" t="e">
        <f t="shared" si="15"/>
        <v>#DIV/0!</v>
      </c>
      <c r="CM39" s="86" t="e">
        <f t="shared" si="15"/>
        <v>#DIV/0!</v>
      </c>
      <c r="CN39" s="86" t="e">
        <f t="shared" si="15"/>
        <v>#DIV/0!</v>
      </c>
      <c r="CO39" s="86" t="e">
        <f t="shared" si="15"/>
        <v>#DIV/0!</v>
      </c>
      <c r="CP39" s="86" t="e">
        <f t="shared" si="15"/>
        <v>#DIV/0!</v>
      </c>
      <c r="CQ39" s="86" t="e">
        <f t="shared" si="15"/>
        <v>#DIV/0!</v>
      </c>
      <c r="CR39" s="86" t="e">
        <f t="shared" si="15"/>
        <v>#DIV/0!</v>
      </c>
      <c r="CS39" s="86" t="e">
        <f t="shared" si="15"/>
        <v>#DIV/0!</v>
      </c>
      <c r="CT39" s="86" t="e">
        <f t="shared" si="15"/>
        <v>#DIV/0!</v>
      </c>
      <c r="CU39" s="86" t="e">
        <f t="shared" si="15"/>
        <v>#DIV/0!</v>
      </c>
      <c r="CV39" s="86" t="e">
        <f t="shared" si="15"/>
        <v>#DIV/0!</v>
      </c>
    </row>
    <row r="40" spans="1:104" ht="15" customHeight="1">
      <c r="A40" s="149"/>
      <c r="B40" s="146" t="s">
        <v>176</v>
      </c>
      <c r="C40" s="156" t="s">
        <v>111</v>
      </c>
      <c r="D40" s="86">
        <f t="shared" ref="D40:AI40" si="16">D28/D33</f>
        <v>69.287312075395462</v>
      </c>
      <c r="E40" s="86">
        <f t="shared" si="16"/>
        <v>65.230237438614282</v>
      </c>
      <c r="F40" s="86">
        <f t="shared" si="16"/>
        <v>58.428341014405916</v>
      </c>
      <c r="G40" s="86">
        <f t="shared" si="16"/>
        <v>49.037569841737138</v>
      </c>
      <c r="H40" s="86">
        <f t="shared" si="16"/>
        <v>110.76222486111934</v>
      </c>
      <c r="I40" s="86">
        <f t="shared" si="16"/>
        <v>125.40123794733211</v>
      </c>
      <c r="J40" s="86">
        <f t="shared" si="16"/>
        <v>134.12253831172811</v>
      </c>
      <c r="K40" s="86">
        <f t="shared" si="16"/>
        <v>37.773794902195654</v>
      </c>
      <c r="L40" s="86">
        <f t="shared" si="16"/>
        <v>135.43363973275862</v>
      </c>
      <c r="M40" s="86">
        <f t="shared" si="16"/>
        <v>102.39258871946735</v>
      </c>
      <c r="N40" s="86">
        <f t="shared" si="16"/>
        <v>121.09891677095372</v>
      </c>
      <c r="O40" s="86" t="e">
        <f t="shared" si="16"/>
        <v>#DIV/0!</v>
      </c>
      <c r="P40" s="86" t="e">
        <f t="shared" si="16"/>
        <v>#DIV/0!</v>
      </c>
      <c r="Q40" s="86" t="e">
        <f t="shared" si="16"/>
        <v>#DIV/0!</v>
      </c>
      <c r="R40" s="86" t="e">
        <f t="shared" si="16"/>
        <v>#DIV/0!</v>
      </c>
      <c r="S40" s="86" t="e">
        <f t="shared" si="16"/>
        <v>#DIV/0!</v>
      </c>
      <c r="T40" s="86">
        <f t="shared" si="16"/>
        <v>64.002981291910316</v>
      </c>
      <c r="U40" s="86" t="e">
        <f t="shared" si="16"/>
        <v>#DIV/0!</v>
      </c>
      <c r="V40" s="86">
        <f t="shared" si="16"/>
        <v>66.733554723438331</v>
      </c>
      <c r="W40" s="86">
        <f t="shared" si="16"/>
        <v>120.02838632870285</v>
      </c>
      <c r="X40" s="86">
        <f t="shared" si="16"/>
        <v>38.157495213556977</v>
      </c>
      <c r="Y40" s="86">
        <f t="shared" si="16"/>
        <v>104.58866240992654</v>
      </c>
      <c r="Z40" s="86">
        <f t="shared" si="16"/>
        <v>106.37196285694783</v>
      </c>
      <c r="AA40" s="86">
        <f t="shared" si="16"/>
        <v>67.03576614564831</v>
      </c>
      <c r="AB40" s="86">
        <f t="shared" si="16"/>
        <v>59.446513981753213</v>
      </c>
      <c r="AC40" s="86">
        <f t="shared" si="16"/>
        <v>139.43747361249712</v>
      </c>
      <c r="AD40" s="86">
        <f t="shared" si="16"/>
        <v>212.15897565639861</v>
      </c>
      <c r="AE40" s="86">
        <f t="shared" si="16"/>
        <v>155.91636066459321</v>
      </c>
      <c r="AF40" s="86" t="e">
        <f t="shared" si="16"/>
        <v>#DIV/0!</v>
      </c>
      <c r="AG40" s="86">
        <f t="shared" si="16"/>
        <v>49.307044406907366</v>
      </c>
      <c r="AH40" s="86">
        <f t="shared" si="16"/>
        <v>137.89456255796924</v>
      </c>
      <c r="AI40" s="86">
        <f t="shared" si="16"/>
        <v>97.179935681580332</v>
      </c>
      <c r="AJ40" s="86">
        <f t="shared" ref="AJ40:BO40" si="17">AJ28/AJ33</f>
        <v>121.50502675910167</v>
      </c>
      <c r="AK40" s="86" t="e">
        <f t="shared" si="17"/>
        <v>#DIV/0!</v>
      </c>
      <c r="AL40" s="86" t="e">
        <f t="shared" si="17"/>
        <v>#DIV/0!</v>
      </c>
      <c r="AM40" s="86" t="e">
        <f t="shared" si="17"/>
        <v>#DIV/0!</v>
      </c>
      <c r="AN40" s="86" t="e">
        <f t="shared" si="17"/>
        <v>#DIV/0!</v>
      </c>
      <c r="AO40" s="86" t="e">
        <f t="shared" si="17"/>
        <v>#DIV/0!</v>
      </c>
      <c r="AP40" s="86">
        <f t="shared" si="17"/>
        <v>72.293890333914888</v>
      </c>
      <c r="AQ40" s="86">
        <f t="shared" si="17"/>
        <v>66.300151349267551</v>
      </c>
      <c r="AR40" s="86">
        <f t="shared" si="17"/>
        <v>102.25752686439137</v>
      </c>
      <c r="AS40" s="86">
        <f t="shared" si="17"/>
        <v>63.443727995128633</v>
      </c>
      <c r="AT40" s="86">
        <f t="shared" si="17"/>
        <v>116.28063510638297</v>
      </c>
      <c r="AU40" s="86">
        <f t="shared" si="17"/>
        <v>137.78127785069731</v>
      </c>
      <c r="AV40" s="86">
        <f t="shared" si="17"/>
        <v>135.80192585387923</v>
      </c>
      <c r="AW40" s="86">
        <f t="shared" si="17"/>
        <v>110.70558809380637</v>
      </c>
      <c r="AX40" s="86">
        <f t="shared" si="17"/>
        <v>185.03344858593184</v>
      </c>
      <c r="AY40" s="86">
        <f t="shared" si="17"/>
        <v>120.02826384725196</v>
      </c>
      <c r="AZ40" s="86">
        <f t="shared" si="17"/>
        <v>0</v>
      </c>
      <c r="BA40" s="86">
        <f t="shared" si="17"/>
        <v>430.25788749999998</v>
      </c>
      <c r="BB40" s="86" t="e">
        <f t="shared" si="17"/>
        <v>#DIV/0!</v>
      </c>
      <c r="BC40" s="86">
        <f t="shared" si="17"/>
        <v>130.38704936905455</v>
      </c>
      <c r="BD40" s="86">
        <f t="shared" si="17"/>
        <v>108.93138806584362</v>
      </c>
      <c r="BE40" s="86">
        <f t="shared" si="17"/>
        <v>238.86344690873406</v>
      </c>
      <c r="BF40" s="86">
        <f t="shared" si="17"/>
        <v>125.31276178445795</v>
      </c>
      <c r="BG40" s="86">
        <f t="shared" si="17"/>
        <v>132.95786194083695</v>
      </c>
      <c r="BH40" s="86">
        <f t="shared" si="17"/>
        <v>125.97905580270793</v>
      </c>
      <c r="BI40" s="86">
        <f t="shared" si="17"/>
        <v>173.74070440713535</v>
      </c>
      <c r="BJ40" s="86">
        <f t="shared" si="17"/>
        <v>146.7495858131488</v>
      </c>
      <c r="BK40" s="86" t="e">
        <f t="shared" si="17"/>
        <v>#DIV/0!</v>
      </c>
      <c r="BL40" s="86" t="e">
        <f t="shared" si="17"/>
        <v>#DIV/0!</v>
      </c>
      <c r="BM40" s="86">
        <f t="shared" si="17"/>
        <v>188.64877325383304</v>
      </c>
      <c r="BN40" s="86">
        <f t="shared" si="17"/>
        <v>110.24583246878002</v>
      </c>
      <c r="BO40" s="86">
        <f t="shared" si="17"/>
        <v>225.36387697189485</v>
      </c>
      <c r="BP40" s="86">
        <f t="shared" ref="BP40:CV40" si="18">BP28/BP33</f>
        <v>146.78844731277533</v>
      </c>
      <c r="BQ40" s="86" t="e">
        <f t="shared" si="18"/>
        <v>#DIV/0!</v>
      </c>
      <c r="BR40" s="86" t="e">
        <f t="shared" si="18"/>
        <v>#DIV/0!</v>
      </c>
      <c r="BS40" s="86">
        <f t="shared" si="18"/>
        <v>109.62217231396097</v>
      </c>
      <c r="BT40" s="86">
        <f t="shared" si="18"/>
        <v>45.177657827194359</v>
      </c>
      <c r="BU40" s="86">
        <f t="shared" si="18"/>
        <v>54.0525776289427</v>
      </c>
      <c r="BV40" s="86">
        <f t="shared" si="18"/>
        <v>34.907581893100073</v>
      </c>
      <c r="BW40" s="86" t="e">
        <f t="shared" si="18"/>
        <v>#DIV/0!</v>
      </c>
      <c r="BX40" s="86" t="e">
        <f t="shared" si="18"/>
        <v>#DIV/0!</v>
      </c>
      <c r="BY40" s="86">
        <f t="shared" si="18"/>
        <v>55.597813847028718</v>
      </c>
      <c r="BZ40" s="86" t="e">
        <f t="shared" si="18"/>
        <v>#DIV/0!</v>
      </c>
      <c r="CA40" s="86" t="e">
        <f t="shared" si="18"/>
        <v>#DIV/0!</v>
      </c>
      <c r="CB40" s="86">
        <f t="shared" si="18"/>
        <v>97.94027802492019</v>
      </c>
      <c r="CC40" s="86">
        <f t="shared" si="18"/>
        <v>45.325624905660383</v>
      </c>
      <c r="CD40" s="86">
        <f t="shared" si="18"/>
        <v>46.348362495764142</v>
      </c>
      <c r="CE40" s="86">
        <f t="shared" si="18"/>
        <v>35.117495966074578</v>
      </c>
      <c r="CF40" s="86" t="e">
        <f t="shared" si="18"/>
        <v>#DIV/0!</v>
      </c>
      <c r="CG40" s="86" t="e">
        <f t="shared" si="18"/>
        <v>#DIV/0!</v>
      </c>
      <c r="CH40" s="86">
        <f t="shared" si="18"/>
        <v>34.408976500476342</v>
      </c>
      <c r="CI40" s="86" t="e">
        <f t="shared" si="18"/>
        <v>#DIV/0!</v>
      </c>
      <c r="CJ40" s="86" t="e">
        <f t="shared" si="18"/>
        <v>#DIV/0!</v>
      </c>
      <c r="CK40" s="86" t="e">
        <f t="shared" si="18"/>
        <v>#DIV/0!</v>
      </c>
      <c r="CL40" s="86" t="e">
        <f t="shared" si="18"/>
        <v>#DIV/0!</v>
      </c>
      <c r="CM40" s="86" t="e">
        <f t="shared" si="18"/>
        <v>#DIV/0!</v>
      </c>
      <c r="CN40" s="86" t="e">
        <f t="shared" si="18"/>
        <v>#DIV/0!</v>
      </c>
      <c r="CO40" s="86" t="e">
        <f t="shared" si="18"/>
        <v>#DIV/0!</v>
      </c>
      <c r="CP40" s="86" t="e">
        <f t="shared" si="18"/>
        <v>#DIV/0!</v>
      </c>
      <c r="CQ40" s="86" t="e">
        <f t="shared" si="18"/>
        <v>#DIV/0!</v>
      </c>
      <c r="CR40" s="86" t="e">
        <f t="shared" si="18"/>
        <v>#DIV/0!</v>
      </c>
      <c r="CS40" s="86" t="e">
        <f t="shared" si="18"/>
        <v>#DIV/0!</v>
      </c>
      <c r="CT40" s="86" t="e">
        <f t="shared" si="18"/>
        <v>#DIV/0!</v>
      </c>
      <c r="CU40" s="86" t="e">
        <f t="shared" si="18"/>
        <v>#DIV/0!</v>
      </c>
      <c r="CV40" s="86" t="e">
        <f t="shared" si="18"/>
        <v>#DIV/0!</v>
      </c>
    </row>
    <row r="41" spans="1:104" ht="15" customHeight="1">
      <c r="A41" s="149"/>
      <c r="B41" s="146" t="s">
        <v>177</v>
      </c>
      <c r="C41" s="156" t="s">
        <v>112</v>
      </c>
      <c r="D41" s="86">
        <f t="shared" ref="D41:AI41" si="19">D29/D33</f>
        <v>0</v>
      </c>
      <c r="E41" s="86">
        <f t="shared" si="19"/>
        <v>0</v>
      </c>
      <c r="F41" s="86">
        <f t="shared" si="19"/>
        <v>0</v>
      </c>
      <c r="G41" s="86">
        <f t="shared" si="19"/>
        <v>0</v>
      </c>
      <c r="H41" s="86">
        <f t="shared" si="19"/>
        <v>0</v>
      </c>
      <c r="I41" s="86">
        <f t="shared" si="19"/>
        <v>0</v>
      </c>
      <c r="J41" s="86">
        <f t="shared" si="19"/>
        <v>0</v>
      </c>
      <c r="K41" s="86">
        <f t="shared" si="19"/>
        <v>0</v>
      </c>
      <c r="L41" s="86">
        <f t="shared" si="19"/>
        <v>0</v>
      </c>
      <c r="M41" s="86">
        <f t="shared" si="19"/>
        <v>0</v>
      </c>
      <c r="N41" s="86">
        <f t="shared" si="19"/>
        <v>0</v>
      </c>
      <c r="O41" s="86" t="e">
        <f t="shared" si="19"/>
        <v>#DIV/0!</v>
      </c>
      <c r="P41" s="86" t="e">
        <f t="shared" si="19"/>
        <v>#DIV/0!</v>
      </c>
      <c r="Q41" s="86" t="e">
        <f t="shared" si="19"/>
        <v>#DIV/0!</v>
      </c>
      <c r="R41" s="86" t="e">
        <f t="shared" si="19"/>
        <v>#DIV/0!</v>
      </c>
      <c r="S41" s="86" t="e">
        <f t="shared" si="19"/>
        <v>#DIV/0!</v>
      </c>
      <c r="T41" s="86">
        <f t="shared" si="19"/>
        <v>0</v>
      </c>
      <c r="U41" s="86" t="e">
        <f t="shared" si="19"/>
        <v>#DIV/0!</v>
      </c>
      <c r="V41" s="86">
        <f t="shared" si="19"/>
        <v>0</v>
      </c>
      <c r="W41" s="86">
        <f t="shared" si="19"/>
        <v>0</v>
      </c>
      <c r="X41" s="86">
        <f t="shared" si="19"/>
        <v>0</v>
      </c>
      <c r="Y41" s="86">
        <f t="shared" si="19"/>
        <v>0</v>
      </c>
      <c r="Z41" s="86">
        <f t="shared" si="19"/>
        <v>0</v>
      </c>
      <c r="AA41" s="86">
        <f t="shared" si="19"/>
        <v>0</v>
      </c>
      <c r="AB41" s="86">
        <f t="shared" si="19"/>
        <v>0</v>
      </c>
      <c r="AC41" s="86">
        <f t="shared" si="19"/>
        <v>0</v>
      </c>
      <c r="AD41" s="86">
        <f t="shared" si="19"/>
        <v>0</v>
      </c>
      <c r="AE41" s="86">
        <f t="shared" si="19"/>
        <v>0</v>
      </c>
      <c r="AF41" s="86" t="e">
        <f t="shared" si="19"/>
        <v>#DIV/0!</v>
      </c>
      <c r="AG41" s="86">
        <f t="shared" si="19"/>
        <v>0</v>
      </c>
      <c r="AH41" s="86">
        <f t="shared" si="19"/>
        <v>0</v>
      </c>
      <c r="AI41" s="86">
        <f t="shared" si="19"/>
        <v>0</v>
      </c>
      <c r="AJ41" s="86">
        <f t="shared" ref="AJ41:BO41" si="20">AJ29/AJ33</f>
        <v>0</v>
      </c>
      <c r="AK41" s="86" t="e">
        <f t="shared" si="20"/>
        <v>#DIV/0!</v>
      </c>
      <c r="AL41" s="86" t="e">
        <f t="shared" si="20"/>
        <v>#DIV/0!</v>
      </c>
      <c r="AM41" s="86" t="e">
        <f t="shared" si="20"/>
        <v>#DIV/0!</v>
      </c>
      <c r="AN41" s="86" t="e">
        <f t="shared" si="20"/>
        <v>#DIV/0!</v>
      </c>
      <c r="AO41" s="86" t="e">
        <f t="shared" si="20"/>
        <v>#DIV/0!</v>
      </c>
      <c r="AP41" s="86">
        <f t="shared" si="20"/>
        <v>0</v>
      </c>
      <c r="AQ41" s="86">
        <f t="shared" si="20"/>
        <v>0</v>
      </c>
      <c r="AR41" s="86">
        <f t="shared" si="20"/>
        <v>0</v>
      </c>
      <c r="AS41" s="86">
        <f t="shared" si="20"/>
        <v>0</v>
      </c>
      <c r="AT41" s="86">
        <f t="shared" si="20"/>
        <v>0</v>
      </c>
      <c r="AU41" s="86">
        <f t="shared" si="20"/>
        <v>0</v>
      </c>
      <c r="AV41" s="86">
        <f t="shared" si="20"/>
        <v>0</v>
      </c>
      <c r="AW41" s="86">
        <f t="shared" si="20"/>
        <v>0</v>
      </c>
      <c r="AX41" s="86">
        <f t="shared" si="20"/>
        <v>0</v>
      </c>
      <c r="AY41" s="86">
        <f t="shared" si="20"/>
        <v>0</v>
      </c>
      <c r="AZ41" s="86">
        <f t="shared" si="20"/>
        <v>0</v>
      </c>
      <c r="BA41" s="86">
        <f t="shared" si="20"/>
        <v>0</v>
      </c>
      <c r="BB41" s="86" t="e">
        <f t="shared" si="20"/>
        <v>#DIV/0!</v>
      </c>
      <c r="BC41" s="86">
        <f t="shared" si="20"/>
        <v>0</v>
      </c>
      <c r="BD41" s="86">
        <f t="shared" si="20"/>
        <v>0</v>
      </c>
      <c r="BE41" s="86">
        <f t="shared" si="20"/>
        <v>0</v>
      </c>
      <c r="BF41" s="86">
        <f t="shared" si="20"/>
        <v>0</v>
      </c>
      <c r="BG41" s="86">
        <f t="shared" si="20"/>
        <v>0</v>
      </c>
      <c r="BH41" s="86">
        <f t="shared" si="20"/>
        <v>0</v>
      </c>
      <c r="BI41" s="86">
        <f t="shared" si="20"/>
        <v>0</v>
      </c>
      <c r="BJ41" s="86">
        <f t="shared" si="20"/>
        <v>0</v>
      </c>
      <c r="BK41" s="86" t="e">
        <f t="shared" si="20"/>
        <v>#DIV/0!</v>
      </c>
      <c r="BL41" s="86" t="e">
        <f t="shared" si="20"/>
        <v>#DIV/0!</v>
      </c>
      <c r="BM41" s="86">
        <f t="shared" si="20"/>
        <v>0</v>
      </c>
      <c r="BN41" s="86">
        <f t="shared" si="20"/>
        <v>0</v>
      </c>
      <c r="BO41" s="86">
        <f t="shared" si="20"/>
        <v>0</v>
      </c>
      <c r="BP41" s="86">
        <f t="shared" ref="BP41:CV41" si="21">BP29/BP33</f>
        <v>0</v>
      </c>
      <c r="BQ41" s="86" t="e">
        <f t="shared" si="21"/>
        <v>#DIV/0!</v>
      </c>
      <c r="BR41" s="86" t="e">
        <f t="shared" si="21"/>
        <v>#DIV/0!</v>
      </c>
      <c r="BS41" s="86">
        <f t="shared" si="21"/>
        <v>0</v>
      </c>
      <c r="BT41" s="86">
        <f t="shared" si="21"/>
        <v>0</v>
      </c>
      <c r="BU41" s="86">
        <f t="shared" si="21"/>
        <v>0</v>
      </c>
      <c r="BV41" s="86">
        <f t="shared" si="21"/>
        <v>0</v>
      </c>
      <c r="BW41" s="86" t="e">
        <f t="shared" si="21"/>
        <v>#DIV/0!</v>
      </c>
      <c r="BX41" s="86" t="e">
        <f t="shared" si="21"/>
        <v>#DIV/0!</v>
      </c>
      <c r="BY41" s="86">
        <f t="shared" si="21"/>
        <v>0</v>
      </c>
      <c r="BZ41" s="86" t="e">
        <f t="shared" si="21"/>
        <v>#DIV/0!</v>
      </c>
      <c r="CA41" s="86" t="e">
        <f t="shared" si="21"/>
        <v>#DIV/0!</v>
      </c>
      <c r="CB41" s="86">
        <f t="shared" si="21"/>
        <v>0</v>
      </c>
      <c r="CC41" s="86">
        <f t="shared" si="21"/>
        <v>0</v>
      </c>
      <c r="CD41" s="86">
        <f t="shared" si="21"/>
        <v>0</v>
      </c>
      <c r="CE41" s="86">
        <f t="shared" si="21"/>
        <v>0</v>
      </c>
      <c r="CF41" s="86" t="e">
        <f t="shared" si="21"/>
        <v>#DIV/0!</v>
      </c>
      <c r="CG41" s="86" t="e">
        <f t="shared" si="21"/>
        <v>#DIV/0!</v>
      </c>
      <c r="CH41" s="86">
        <f t="shared" si="21"/>
        <v>0</v>
      </c>
      <c r="CI41" s="86" t="e">
        <f t="shared" si="21"/>
        <v>#DIV/0!</v>
      </c>
      <c r="CJ41" s="86" t="e">
        <f t="shared" si="21"/>
        <v>#DIV/0!</v>
      </c>
      <c r="CK41" s="86" t="e">
        <f t="shared" si="21"/>
        <v>#DIV/0!</v>
      </c>
      <c r="CL41" s="86" t="e">
        <f t="shared" si="21"/>
        <v>#DIV/0!</v>
      </c>
      <c r="CM41" s="86" t="e">
        <f t="shared" si="21"/>
        <v>#DIV/0!</v>
      </c>
      <c r="CN41" s="86" t="e">
        <f t="shared" si="21"/>
        <v>#DIV/0!</v>
      </c>
      <c r="CO41" s="86" t="e">
        <f t="shared" si="21"/>
        <v>#DIV/0!</v>
      </c>
      <c r="CP41" s="86" t="e">
        <f t="shared" si="21"/>
        <v>#DIV/0!</v>
      </c>
      <c r="CQ41" s="86" t="e">
        <f t="shared" si="21"/>
        <v>#DIV/0!</v>
      </c>
      <c r="CR41" s="86" t="e">
        <f t="shared" si="21"/>
        <v>#DIV/0!</v>
      </c>
      <c r="CS41" s="86" t="e">
        <f t="shared" si="21"/>
        <v>#DIV/0!</v>
      </c>
      <c r="CT41" s="86" t="e">
        <f t="shared" si="21"/>
        <v>#DIV/0!</v>
      </c>
      <c r="CU41" s="86" t="e">
        <f t="shared" si="21"/>
        <v>#DIV/0!</v>
      </c>
      <c r="CV41" s="86" t="e">
        <f t="shared" si="21"/>
        <v>#DIV/0!</v>
      </c>
    </row>
    <row r="42" spans="1:104" ht="15" customHeight="1">
      <c r="A42" s="149"/>
      <c r="B42" s="146" t="s">
        <v>178</v>
      </c>
      <c r="C42" s="156" t="s">
        <v>113</v>
      </c>
      <c r="D42" s="86">
        <f t="shared" ref="D42:AI42" si="22">D30/D33</f>
        <v>471.47934099997804</v>
      </c>
      <c r="E42" s="86">
        <f t="shared" si="22"/>
        <v>623.89374296588858</v>
      </c>
      <c r="F42" s="86">
        <f t="shared" si="22"/>
        <v>599.88068139073323</v>
      </c>
      <c r="G42" s="86">
        <f t="shared" si="22"/>
        <v>687.08453553598838</v>
      </c>
      <c r="H42" s="86">
        <f t="shared" si="22"/>
        <v>182.2656455858598</v>
      </c>
      <c r="I42" s="86">
        <f t="shared" si="22"/>
        <v>390.2118822833678</v>
      </c>
      <c r="J42" s="86">
        <f t="shared" si="22"/>
        <v>701.68154495593888</v>
      </c>
      <c r="K42" s="86">
        <f t="shared" si="22"/>
        <v>384.28474178744563</v>
      </c>
      <c r="L42" s="86">
        <f t="shared" si="22"/>
        <v>554.72409993965528</v>
      </c>
      <c r="M42" s="86">
        <f t="shared" si="22"/>
        <v>154.92157611113595</v>
      </c>
      <c r="N42" s="86">
        <f t="shared" si="22"/>
        <v>386.50899379325921</v>
      </c>
      <c r="O42" s="86" t="e">
        <f t="shared" si="22"/>
        <v>#DIV/0!</v>
      </c>
      <c r="P42" s="86" t="e">
        <f t="shared" si="22"/>
        <v>#DIV/0!</v>
      </c>
      <c r="Q42" s="86" t="e">
        <f t="shared" si="22"/>
        <v>#DIV/0!</v>
      </c>
      <c r="R42" s="86" t="e">
        <f t="shared" si="22"/>
        <v>#DIV/0!</v>
      </c>
      <c r="S42" s="86" t="e">
        <f t="shared" si="22"/>
        <v>#DIV/0!</v>
      </c>
      <c r="T42" s="86">
        <f t="shared" si="22"/>
        <v>842.81361399155605</v>
      </c>
      <c r="U42" s="86" t="e">
        <f t="shared" si="22"/>
        <v>#DIV/0!</v>
      </c>
      <c r="V42" s="86">
        <f t="shared" si="22"/>
        <v>539.19682949388493</v>
      </c>
      <c r="W42" s="86">
        <f t="shared" si="22"/>
        <v>583.06328950027068</v>
      </c>
      <c r="X42" s="86">
        <f t="shared" si="22"/>
        <v>387.35938302034708</v>
      </c>
      <c r="Y42" s="86">
        <f t="shared" si="22"/>
        <v>151.38652419768709</v>
      </c>
      <c r="Z42" s="86">
        <f t="shared" si="22"/>
        <v>219.39990271450998</v>
      </c>
      <c r="AA42" s="86">
        <f t="shared" si="22"/>
        <v>643.62895005986445</v>
      </c>
      <c r="AB42" s="86">
        <f t="shared" si="22"/>
        <v>613.45394384171243</v>
      </c>
      <c r="AC42" s="86">
        <f t="shared" si="22"/>
        <v>363.23015934213555</v>
      </c>
      <c r="AD42" s="86">
        <f t="shared" si="22"/>
        <v>621.61189982943972</v>
      </c>
      <c r="AE42" s="86">
        <f t="shared" si="22"/>
        <v>1009.2200420707153</v>
      </c>
      <c r="AF42" s="86" t="e">
        <f t="shared" si="22"/>
        <v>#DIV/0!</v>
      </c>
      <c r="AG42" s="86">
        <f t="shared" si="22"/>
        <v>446.35897765497208</v>
      </c>
      <c r="AH42" s="86">
        <f t="shared" si="22"/>
        <v>385.55104945081757</v>
      </c>
      <c r="AI42" s="86">
        <f t="shared" si="22"/>
        <v>172.38158568158033</v>
      </c>
      <c r="AJ42" s="86">
        <f t="shared" ref="AJ42:BO42" si="23">AJ30/AJ33</f>
        <v>442.23811253269128</v>
      </c>
      <c r="AK42" s="86" t="e">
        <f t="shared" si="23"/>
        <v>#DIV/0!</v>
      </c>
      <c r="AL42" s="86" t="e">
        <f t="shared" si="23"/>
        <v>#DIV/0!</v>
      </c>
      <c r="AM42" s="86" t="e">
        <f t="shared" si="23"/>
        <v>#DIV/0!</v>
      </c>
      <c r="AN42" s="86" t="e">
        <f t="shared" si="23"/>
        <v>#DIV/0!</v>
      </c>
      <c r="AO42" s="86" t="e">
        <f t="shared" si="23"/>
        <v>#DIV/0!</v>
      </c>
      <c r="AP42" s="86">
        <f t="shared" si="23"/>
        <v>907.72600564602112</v>
      </c>
      <c r="AQ42" s="86">
        <f t="shared" si="23"/>
        <v>442.6159015677203</v>
      </c>
      <c r="AR42" s="86">
        <f t="shared" si="23"/>
        <v>530.74912471731955</v>
      </c>
      <c r="AS42" s="86">
        <f t="shared" si="23"/>
        <v>579.61054677652612</v>
      </c>
      <c r="AT42" s="86">
        <f t="shared" si="23"/>
        <v>197.30739529813505</v>
      </c>
      <c r="AU42" s="86">
        <f t="shared" si="23"/>
        <v>195.49383119360132</v>
      </c>
      <c r="AV42" s="86">
        <f t="shared" si="23"/>
        <v>238.14364572494904</v>
      </c>
      <c r="AW42" s="86">
        <f t="shared" si="23"/>
        <v>252.0970600521147</v>
      </c>
      <c r="AX42" s="86">
        <f t="shared" si="23"/>
        <v>1220.5625872008702</v>
      </c>
      <c r="AY42" s="86">
        <f t="shared" si="23"/>
        <v>718.80468240542484</v>
      </c>
      <c r="AZ42" s="86">
        <f t="shared" si="23"/>
        <v>-63.192950000000003</v>
      </c>
      <c r="BA42" s="86">
        <f t="shared" si="23"/>
        <v>518.53131250000001</v>
      </c>
      <c r="BB42" s="86" t="e">
        <f t="shared" si="23"/>
        <v>#DIV/0!</v>
      </c>
      <c r="BC42" s="86">
        <f t="shared" si="23"/>
        <v>305.75383783731314</v>
      </c>
      <c r="BD42" s="86">
        <f t="shared" si="23"/>
        <v>202.20589255276781</v>
      </c>
      <c r="BE42" s="86">
        <f t="shared" si="23"/>
        <v>1628.6444851815506</v>
      </c>
      <c r="BF42" s="86">
        <f t="shared" si="23"/>
        <v>239.77139597057885</v>
      </c>
      <c r="BG42" s="86">
        <f t="shared" si="23"/>
        <v>246.6207030663781</v>
      </c>
      <c r="BH42" s="86">
        <f t="shared" si="23"/>
        <v>434.87200149903299</v>
      </c>
      <c r="BI42" s="86">
        <f t="shared" si="23"/>
        <v>449.10202738719823</v>
      </c>
      <c r="BJ42" s="86">
        <f t="shared" si="23"/>
        <v>235.62729342560559</v>
      </c>
      <c r="BK42" s="86" t="e">
        <f t="shared" si="23"/>
        <v>#DIV/0!</v>
      </c>
      <c r="BL42" s="86" t="e">
        <f t="shared" si="23"/>
        <v>#DIV/0!</v>
      </c>
      <c r="BM42" s="86">
        <f t="shared" si="23"/>
        <v>849.73278449744475</v>
      </c>
      <c r="BN42" s="86">
        <f t="shared" si="23"/>
        <v>817.06171479346779</v>
      </c>
      <c r="BO42" s="86">
        <f t="shared" si="23"/>
        <v>346.43038449682683</v>
      </c>
      <c r="BP42" s="86">
        <f t="shared" ref="BP42:CV42" si="24">BP30/BP33</f>
        <v>289.82357427312775</v>
      </c>
      <c r="BQ42" s="86" t="e">
        <f t="shared" si="24"/>
        <v>#DIV/0!</v>
      </c>
      <c r="BR42" s="86" t="e">
        <f t="shared" si="24"/>
        <v>#DIV/0!</v>
      </c>
      <c r="BS42" s="86">
        <f t="shared" si="24"/>
        <v>380.90540040746305</v>
      </c>
      <c r="BT42" s="86">
        <f t="shared" si="24"/>
        <v>458.36342951606588</v>
      </c>
      <c r="BU42" s="86">
        <f t="shared" si="24"/>
        <v>471.04826794893808</v>
      </c>
      <c r="BV42" s="86">
        <f t="shared" si="24"/>
        <v>361.09930995996075</v>
      </c>
      <c r="BW42" s="86" t="e">
        <f t="shared" si="24"/>
        <v>#DIV/0!</v>
      </c>
      <c r="BX42" s="86" t="e">
        <f t="shared" si="24"/>
        <v>#DIV/0!</v>
      </c>
      <c r="BY42" s="86">
        <f t="shared" si="24"/>
        <v>376.31234563548486</v>
      </c>
      <c r="BZ42" s="86" t="e">
        <f t="shared" si="24"/>
        <v>#DIV/0!</v>
      </c>
      <c r="CA42" s="86" t="e">
        <f t="shared" si="24"/>
        <v>#DIV/0!</v>
      </c>
      <c r="CB42" s="86">
        <f t="shared" si="24"/>
        <v>311.8096157038409</v>
      </c>
      <c r="CC42" s="86">
        <f t="shared" si="24"/>
        <v>339.09934872889772</v>
      </c>
      <c r="CD42" s="86">
        <f t="shared" si="24"/>
        <v>479.15049291341927</v>
      </c>
      <c r="CE42" s="86">
        <f t="shared" si="24"/>
        <v>331.18743384467956</v>
      </c>
      <c r="CF42" s="86" t="e">
        <f t="shared" si="24"/>
        <v>#DIV/0!</v>
      </c>
      <c r="CG42" s="86" t="e">
        <f t="shared" si="24"/>
        <v>#DIV/0!</v>
      </c>
      <c r="CH42" s="86">
        <f t="shared" si="24"/>
        <v>347.96140829893091</v>
      </c>
      <c r="CI42" s="86" t="e">
        <f t="shared" si="24"/>
        <v>#DIV/0!</v>
      </c>
      <c r="CJ42" s="86" t="e">
        <f t="shared" si="24"/>
        <v>#DIV/0!</v>
      </c>
      <c r="CK42" s="86" t="e">
        <f t="shared" si="24"/>
        <v>#DIV/0!</v>
      </c>
      <c r="CL42" s="86" t="e">
        <f t="shared" si="24"/>
        <v>#DIV/0!</v>
      </c>
      <c r="CM42" s="86" t="e">
        <f t="shared" si="24"/>
        <v>#DIV/0!</v>
      </c>
      <c r="CN42" s="86" t="e">
        <f t="shared" si="24"/>
        <v>#DIV/0!</v>
      </c>
      <c r="CO42" s="86" t="e">
        <f t="shared" si="24"/>
        <v>#DIV/0!</v>
      </c>
      <c r="CP42" s="86" t="e">
        <f t="shared" si="24"/>
        <v>#DIV/0!</v>
      </c>
      <c r="CQ42" s="86" t="e">
        <f t="shared" si="24"/>
        <v>#DIV/0!</v>
      </c>
      <c r="CR42" s="86" t="e">
        <f t="shared" si="24"/>
        <v>#DIV/0!</v>
      </c>
      <c r="CS42" s="86" t="e">
        <f t="shared" si="24"/>
        <v>#DIV/0!</v>
      </c>
      <c r="CT42" s="86" t="e">
        <f t="shared" si="24"/>
        <v>#DIV/0!</v>
      </c>
      <c r="CU42" s="86" t="e">
        <f t="shared" si="24"/>
        <v>#DIV/0!</v>
      </c>
      <c r="CV42" s="86" t="e">
        <f t="shared" si="24"/>
        <v>#DIV/0!</v>
      </c>
    </row>
    <row r="43" spans="1:104" ht="15" customHeight="1">
      <c r="A43" s="149"/>
      <c r="B43" s="146" t="s">
        <v>179</v>
      </c>
      <c r="C43" s="156" t="s">
        <v>114</v>
      </c>
      <c r="D43" s="86">
        <f t="shared" ref="D43:AI43" si="25">D31/D33</f>
        <v>72.899073128850702</v>
      </c>
      <c r="E43" s="86">
        <f t="shared" si="25"/>
        <v>162.81338028416567</v>
      </c>
      <c r="F43" s="86">
        <f t="shared" si="25"/>
        <v>116.80245011433639</v>
      </c>
      <c r="G43" s="86">
        <f t="shared" si="25"/>
        <v>228.66756285640366</v>
      </c>
      <c r="H43" s="86">
        <f t="shared" si="25"/>
        <v>-91.219377319110365</v>
      </c>
      <c r="I43" s="86">
        <f t="shared" si="25"/>
        <v>26.376452695983808</v>
      </c>
      <c r="J43" s="86">
        <f t="shared" si="25"/>
        <v>231.14039272498385</v>
      </c>
      <c r="K43" s="86">
        <f t="shared" si="25"/>
        <v>-19.122664893917253</v>
      </c>
      <c r="L43" s="86">
        <f t="shared" si="25"/>
        <v>-9.2523286982758624</v>
      </c>
      <c r="M43" s="86">
        <f t="shared" si="25"/>
        <v>-106.1055190503297</v>
      </c>
      <c r="N43" s="86">
        <f t="shared" si="25"/>
        <v>-75.317126450387249</v>
      </c>
      <c r="O43" s="86" t="e">
        <f t="shared" si="25"/>
        <v>#DIV/0!</v>
      </c>
      <c r="P43" s="86" t="e">
        <f t="shared" si="25"/>
        <v>#DIV/0!</v>
      </c>
      <c r="Q43" s="86" t="e">
        <f t="shared" si="25"/>
        <v>#DIV/0!</v>
      </c>
      <c r="R43" s="86" t="e">
        <f t="shared" si="25"/>
        <v>#DIV/0!</v>
      </c>
      <c r="S43" s="86" t="e">
        <f t="shared" si="25"/>
        <v>#DIV/0!</v>
      </c>
      <c r="T43" s="86">
        <f t="shared" si="25"/>
        <v>298.63647280260102</v>
      </c>
      <c r="U43" s="86" t="e">
        <f t="shared" si="25"/>
        <v>#DIV/0!</v>
      </c>
      <c r="V43" s="86">
        <f t="shared" si="25"/>
        <v>69.331171649038524</v>
      </c>
      <c r="W43" s="86">
        <f t="shared" si="25"/>
        <v>194.41515303987012</v>
      </c>
      <c r="X43" s="86">
        <f t="shared" si="25"/>
        <v>42.473304928237937</v>
      </c>
      <c r="Y43" s="86">
        <f t="shared" si="25"/>
        <v>-114.03269449892791</v>
      </c>
      <c r="Z43" s="86">
        <f t="shared" si="25"/>
        <v>-50.281202584814217</v>
      </c>
      <c r="AA43" s="86">
        <f t="shared" si="25"/>
        <v>259.80007184395765</v>
      </c>
      <c r="AB43" s="86">
        <f t="shared" si="25"/>
        <v>169.65041112032665</v>
      </c>
      <c r="AC43" s="86">
        <f t="shared" si="25"/>
        <v>62.613635288247487</v>
      </c>
      <c r="AD43" s="86">
        <f t="shared" si="25"/>
        <v>523.38858412238994</v>
      </c>
      <c r="AE43" s="86">
        <f t="shared" si="25"/>
        <v>746.57656602717304</v>
      </c>
      <c r="AF43" s="86" t="e">
        <f t="shared" si="25"/>
        <v>#DIV/0!</v>
      </c>
      <c r="AG43" s="86">
        <f t="shared" si="25"/>
        <v>158.4763492732929</v>
      </c>
      <c r="AH43" s="86">
        <f t="shared" si="25"/>
        <v>98.640130619965831</v>
      </c>
      <c r="AI43" s="86">
        <f t="shared" si="25"/>
        <v>-84.766484818158048</v>
      </c>
      <c r="AJ43" s="86">
        <f t="shared" ref="AJ43:BO43" si="26">AJ31/AJ33</f>
        <v>16.721801033666821</v>
      </c>
      <c r="AK43" s="86" t="e">
        <f t="shared" si="26"/>
        <v>#DIV/0!</v>
      </c>
      <c r="AL43" s="86" t="e">
        <f t="shared" si="26"/>
        <v>#DIV/0!</v>
      </c>
      <c r="AM43" s="86" t="e">
        <f t="shared" si="26"/>
        <v>#DIV/0!</v>
      </c>
      <c r="AN43" s="86" t="e">
        <f t="shared" si="26"/>
        <v>#DIV/0!</v>
      </c>
      <c r="AO43" s="86" t="e">
        <f t="shared" si="26"/>
        <v>#DIV/0!</v>
      </c>
      <c r="AP43" s="86">
        <f t="shared" si="26"/>
        <v>527.67182744014724</v>
      </c>
      <c r="AQ43" s="86">
        <f t="shared" si="26"/>
        <v>141.36160014777693</v>
      </c>
      <c r="AR43" s="86">
        <f t="shared" si="26"/>
        <v>211.71401872059474</v>
      </c>
      <c r="AS43" s="86">
        <f t="shared" si="26"/>
        <v>163.08467564317249</v>
      </c>
      <c r="AT43" s="86">
        <f t="shared" si="26"/>
        <v>-109.89179046493301</v>
      </c>
      <c r="AU43" s="86">
        <f t="shared" si="26"/>
        <v>-84.418986730926989</v>
      </c>
      <c r="AV43" s="86">
        <f t="shared" si="26"/>
        <v>-140.3719359307849</v>
      </c>
      <c r="AW43" s="86">
        <f t="shared" si="26"/>
        <v>-117.57284149128081</v>
      </c>
      <c r="AX43" s="86">
        <f t="shared" si="26"/>
        <v>550.29482269760695</v>
      </c>
      <c r="AY43" s="86">
        <f t="shared" si="26"/>
        <v>246.00890255174878</v>
      </c>
      <c r="AZ43" s="86">
        <f t="shared" si="26"/>
        <v>0</v>
      </c>
      <c r="BA43" s="86">
        <f t="shared" si="26"/>
        <v>0</v>
      </c>
      <c r="BB43" s="86" t="e">
        <f t="shared" si="26"/>
        <v>#DIV/0!</v>
      </c>
      <c r="BC43" s="86">
        <f t="shared" si="26"/>
        <v>-55.539779304989324</v>
      </c>
      <c r="BD43" s="86">
        <f t="shared" si="26"/>
        <v>-79.889453670516403</v>
      </c>
      <c r="BE43" s="86">
        <f t="shared" si="26"/>
        <v>1378.759745044161</v>
      </c>
      <c r="BF43" s="86">
        <f t="shared" si="26"/>
        <v>-87.107718388231532</v>
      </c>
      <c r="BG43" s="86">
        <f t="shared" si="26"/>
        <v>-88.911043416305915</v>
      </c>
      <c r="BH43" s="86">
        <f t="shared" si="26"/>
        <v>-35.326777079303675</v>
      </c>
      <c r="BI43" s="86">
        <f t="shared" si="26"/>
        <v>440.47231122770199</v>
      </c>
      <c r="BJ43" s="86">
        <f t="shared" si="26"/>
        <v>3.3507581314878894</v>
      </c>
      <c r="BK43" s="86" t="e">
        <f t="shared" si="26"/>
        <v>#DIV/0!</v>
      </c>
      <c r="BL43" s="86" t="e">
        <f t="shared" si="26"/>
        <v>#DIV/0!</v>
      </c>
      <c r="BM43" s="86">
        <f t="shared" si="26"/>
        <v>884.0296962521295</v>
      </c>
      <c r="BN43" s="86">
        <f t="shared" si="26"/>
        <v>455.4987812680115</v>
      </c>
      <c r="BO43" s="86">
        <f t="shared" si="26"/>
        <v>483.94687742520392</v>
      </c>
      <c r="BP43" s="86">
        <f t="shared" ref="BP43:CV43" si="27">BP31/BP33</f>
        <v>-103.82447154185023</v>
      </c>
      <c r="BQ43" s="86" t="e">
        <f t="shared" si="27"/>
        <v>#DIV/0!</v>
      </c>
      <c r="BR43" s="86" t="e">
        <f t="shared" si="27"/>
        <v>#DIV/0!</v>
      </c>
      <c r="BS43" s="86">
        <f t="shared" si="27"/>
        <v>-47.79699719064979</v>
      </c>
      <c r="BT43" s="86">
        <f t="shared" si="27"/>
        <v>-67.882519083072097</v>
      </c>
      <c r="BU43" s="86">
        <f t="shared" si="27"/>
        <v>-37.418054656820658</v>
      </c>
      <c r="BV43" s="86">
        <f t="shared" si="27"/>
        <v>-98.473117105115037</v>
      </c>
      <c r="BW43" s="86" t="e">
        <f t="shared" si="27"/>
        <v>#DIV/0!</v>
      </c>
      <c r="BX43" s="86" t="e">
        <f t="shared" si="27"/>
        <v>#DIV/0!</v>
      </c>
      <c r="BY43" s="86">
        <f t="shared" si="27"/>
        <v>-37.016416320727892</v>
      </c>
      <c r="BZ43" s="86" t="e">
        <f t="shared" si="27"/>
        <v>#DIV/0!</v>
      </c>
      <c r="CA43" s="86" t="e">
        <f t="shared" si="27"/>
        <v>#DIV/0!</v>
      </c>
      <c r="CB43" s="86">
        <f t="shared" si="27"/>
        <v>-161.52155672948203</v>
      </c>
      <c r="CC43" s="86">
        <f t="shared" si="27"/>
        <v>-77.574047626613705</v>
      </c>
      <c r="CD43" s="86">
        <f t="shared" si="27"/>
        <v>29.628555354117246</v>
      </c>
      <c r="CE43" s="86">
        <f t="shared" si="27"/>
        <v>-75.567008488145731</v>
      </c>
      <c r="CF43" s="86" t="e">
        <f t="shared" si="27"/>
        <v>#DIV/0!</v>
      </c>
      <c r="CG43" s="86" t="e">
        <f t="shared" si="27"/>
        <v>#DIV/0!</v>
      </c>
      <c r="CH43" s="86">
        <f t="shared" si="27"/>
        <v>-57.79192049327829</v>
      </c>
      <c r="CI43" s="86" t="e">
        <f t="shared" si="27"/>
        <v>#DIV/0!</v>
      </c>
      <c r="CJ43" s="86" t="e">
        <f t="shared" si="27"/>
        <v>#DIV/0!</v>
      </c>
      <c r="CK43" s="86" t="e">
        <f t="shared" si="27"/>
        <v>#DIV/0!</v>
      </c>
      <c r="CL43" s="86" t="e">
        <f t="shared" si="27"/>
        <v>#DIV/0!</v>
      </c>
      <c r="CM43" s="86" t="e">
        <f t="shared" si="27"/>
        <v>#DIV/0!</v>
      </c>
      <c r="CN43" s="86" t="e">
        <f t="shared" si="27"/>
        <v>#DIV/0!</v>
      </c>
      <c r="CO43" s="86" t="e">
        <f t="shared" si="27"/>
        <v>#DIV/0!</v>
      </c>
      <c r="CP43" s="86" t="e">
        <f t="shared" si="27"/>
        <v>#DIV/0!</v>
      </c>
      <c r="CQ43" s="86" t="e">
        <f t="shared" si="27"/>
        <v>#DIV/0!</v>
      </c>
      <c r="CR43" s="86" t="e">
        <f t="shared" si="27"/>
        <v>#DIV/0!</v>
      </c>
      <c r="CS43" s="86" t="e">
        <f t="shared" si="27"/>
        <v>#DIV/0!</v>
      </c>
      <c r="CT43" s="86" t="e">
        <f t="shared" si="27"/>
        <v>#DIV/0!</v>
      </c>
      <c r="CU43" s="86" t="e">
        <f t="shared" si="27"/>
        <v>#DIV/0!</v>
      </c>
      <c r="CV43" s="86" t="e">
        <f t="shared" si="27"/>
        <v>#DIV/0!</v>
      </c>
    </row>
    <row r="44" spans="1:104" ht="15" customHeight="1">
      <c r="A44" s="149"/>
      <c r="B44" s="148" t="s">
        <v>180</v>
      </c>
      <c r="C44" s="155" t="s">
        <v>115</v>
      </c>
      <c r="D44" s="86">
        <f t="shared" ref="D44:AI44" si="28">D32/D33</f>
        <v>548.28022506659238</v>
      </c>
      <c r="E44" s="86">
        <f t="shared" si="28"/>
        <v>566.67605595360021</v>
      </c>
      <c r="F44" s="86">
        <f t="shared" si="28"/>
        <v>585.15249896318187</v>
      </c>
      <c r="G44" s="86">
        <f t="shared" si="28"/>
        <v>569.10941468122564</v>
      </c>
      <c r="H44" s="86">
        <f t="shared" si="28"/>
        <v>475.22664095664305</v>
      </c>
      <c r="I44" s="86">
        <f t="shared" si="28"/>
        <v>523.7044323750406</v>
      </c>
      <c r="J44" s="86">
        <f t="shared" si="28"/>
        <v>613.26473634442482</v>
      </c>
      <c r="K44" s="86">
        <f t="shared" si="28"/>
        <v>535.79467328384374</v>
      </c>
      <c r="L44" s="86">
        <f t="shared" si="28"/>
        <v>534.79341811086158</v>
      </c>
      <c r="M44" s="86">
        <f t="shared" si="28"/>
        <v>486.53334320067847</v>
      </c>
      <c r="N44" s="86">
        <f t="shared" si="28"/>
        <v>580.65967574992726</v>
      </c>
      <c r="O44" s="86" t="e">
        <f t="shared" si="28"/>
        <v>#DIV/0!</v>
      </c>
      <c r="P44" s="86" t="e">
        <f t="shared" si="28"/>
        <v>#DIV/0!</v>
      </c>
      <c r="Q44" s="86" t="e">
        <f t="shared" si="28"/>
        <v>#DIV/0!</v>
      </c>
      <c r="R44" s="86" t="e">
        <f t="shared" si="28"/>
        <v>#DIV/0!</v>
      </c>
      <c r="S44" s="86" t="e">
        <f t="shared" si="28"/>
        <v>#DIV/0!</v>
      </c>
      <c r="T44" s="86">
        <f t="shared" si="28"/>
        <v>651.89047031427106</v>
      </c>
      <c r="U44" s="86" t="e">
        <f t="shared" si="28"/>
        <v>#DIV/0!</v>
      </c>
      <c r="V44" s="86">
        <f t="shared" si="28"/>
        <v>597.26912128765866</v>
      </c>
      <c r="W44" s="86">
        <f t="shared" si="28"/>
        <v>573.09094830099434</v>
      </c>
      <c r="X44" s="86">
        <f t="shared" si="28"/>
        <v>516.11105030861006</v>
      </c>
      <c r="Y44" s="86">
        <f t="shared" si="28"/>
        <v>552.43419130429788</v>
      </c>
      <c r="Z44" s="86">
        <f t="shared" si="28"/>
        <v>511.38514877592814</v>
      </c>
      <c r="AA44" s="86">
        <f t="shared" si="28"/>
        <v>553.98068726083227</v>
      </c>
      <c r="AB44" s="86">
        <f t="shared" si="28"/>
        <v>565.4491250386435</v>
      </c>
      <c r="AC44" s="86">
        <f t="shared" si="28"/>
        <v>465.39399598607145</v>
      </c>
      <c r="AD44" s="86">
        <f t="shared" si="28"/>
        <v>514.30765447142949</v>
      </c>
      <c r="AE44" s="86">
        <f t="shared" si="28"/>
        <v>592.7206530166103</v>
      </c>
      <c r="AF44" s="86" t="e">
        <f t="shared" si="28"/>
        <v>#DIV/0!</v>
      </c>
      <c r="AG44" s="86">
        <f t="shared" si="28"/>
        <v>516.01429780232706</v>
      </c>
      <c r="AH44" s="86">
        <f t="shared" si="28"/>
        <v>517.49700434365025</v>
      </c>
      <c r="AI44" s="86">
        <f t="shared" si="28"/>
        <v>525.14468373153329</v>
      </c>
      <c r="AJ44" s="86">
        <f t="shared" ref="AJ44:BO44" si="29">AJ32/AJ33</f>
        <v>548.57995933266272</v>
      </c>
      <c r="AK44" s="86" t="e">
        <f t="shared" si="29"/>
        <v>#DIV/0!</v>
      </c>
      <c r="AL44" s="86" t="e">
        <f t="shared" si="29"/>
        <v>#DIV/0!</v>
      </c>
      <c r="AM44" s="86" t="e">
        <f t="shared" si="29"/>
        <v>#DIV/0!</v>
      </c>
      <c r="AN44" s="86" t="e">
        <f t="shared" si="29"/>
        <v>#DIV/0!</v>
      </c>
      <c r="AO44" s="86" t="e">
        <f t="shared" si="29"/>
        <v>#DIV/0!</v>
      </c>
      <c r="AP44" s="86">
        <f t="shared" si="29"/>
        <v>612.08218920223601</v>
      </c>
      <c r="AQ44" s="86">
        <f t="shared" si="29"/>
        <v>540.87884637281809</v>
      </c>
      <c r="AR44" s="86">
        <f t="shared" si="29"/>
        <v>538.48874906655078</v>
      </c>
      <c r="AS44" s="86">
        <f t="shared" si="29"/>
        <v>565.84378207080817</v>
      </c>
      <c r="AT44" s="86">
        <f t="shared" si="29"/>
        <v>572.56959126556887</v>
      </c>
      <c r="AU44" s="86">
        <f t="shared" si="29"/>
        <v>538.01544849256857</v>
      </c>
      <c r="AV44" s="86">
        <f t="shared" si="29"/>
        <v>480.222148323331</v>
      </c>
      <c r="AW44" s="86">
        <f t="shared" si="29"/>
        <v>455.4936401604586</v>
      </c>
      <c r="AX44" s="86">
        <f t="shared" si="29"/>
        <v>535.16212556014045</v>
      </c>
      <c r="AY44" s="86">
        <f t="shared" si="29"/>
        <v>536.55938233246729</v>
      </c>
      <c r="AZ44" s="86">
        <f t="shared" si="29"/>
        <v>316.61500082670136</v>
      </c>
      <c r="BA44" s="86">
        <f t="shared" si="29"/>
        <v>331.27497586497941</v>
      </c>
      <c r="BB44" s="86" t="e">
        <f t="shared" si="29"/>
        <v>#DIV/0!</v>
      </c>
      <c r="BC44" s="86">
        <f t="shared" si="29"/>
        <v>472.37785036445024</v>
      </c>
      <c r="BD44" s="86">
        <f t="shared" si="29"/>
        <v>475.15293952022358</v>
      </c>
      <c r="BE44" s="86">
        <f t="shared" si="29"/>
        <v>432.84540113018608</v>
      </c>
      <c r="BF44" s="86">
        <f t="shared" si="29"/>
        <v>448.66624145291524</v>
      </c>
      <c r="BG44" s="86">
        <f t="shared" si="29"/>
        <v>475.00715288529466</v>
      </c>
      <c r="BH44" s="86">
        <f t="shared" si="29"/>
        <v>526.29026649168122</v>
      </c>
      <c r="BI44" s="86">
        <f t="shared" si="29"/>
        <v>485.1870012668532</v>
      </c>
      <c r="BJ44" s="86">
        <f t="shared" si="29"/>
        <v>443.77190115871582</v>
      </c>
      <c r="BK44" s="86" t="e">
        <f t="shared" si="29"/>
        <v>#DIV/0!</v>
      </c>
      <c r="BL44" s="86" t="e">
        <f t="shared" si="29"/>
        <v>#DIV/0!</v>
      </c>
      <c r="BM44" s="86">
        <f t="shared" si="29"/>
        <v>548.6698150305665</v>
      </c>
      <c r="BN44" s="86">
        <f t="shared" si="29"/>
        <v>531.54613736196325</v>
      </c>
      <c r="BO44" s="86">
        <f t="shared" si="29"/>
        <v>417.51214150719449</v>
      </c>
      <c r="BP44" s="86">
        <f t="shared" ref="BP44:CV44" si="30">BP32/BP33</f>
        <v>466.08900121698724</v>
      </c>
      <c r="BQ44" s="86" t="e">
        <f t="shared" si="30"/>
        <v>#DIV/0!</v>
      </c>
      <c r="BR44" s="86" t="e">
        <f t="shared" si="30"/>
        <v>#DIV/0!</v>
      </c>
      <c r="BS44" s="86">
        <f t="shared" si="30"/>
        <v>566.56542002555216</v>
      </c>
      <c r="BT44" s="86">
        <f t="shared" si="30"/>
        <v>540.17732839006021</v>
      </c>
      <c r="BU44" s="86">
        <f t="shared" si="30"/>
        <v>609.82647397308347</v>
      </c>
      <c r="BV44" s="86">
        <f t="shared" si="30"/>
        <v>551.8073085775153</v>
      </c>
      <c r="BW44" s="86" t="e">
        <f t="shared" si="30"/>
        <v>#DIV/0!</v>
      </c>
      <c r="BX44" s="86" t="e">
        <f t="shared" si="30"/>
        <v>#DIV/0!</v>
      </c>
      <c r="BY44" s="86">
        <f t="shared" si="30"/>
        <v>618.22267569781172</v>
      </c>
      <c r="BZ44" s="86" t="e">
        <f t="shared" si="30"/>
        <v>#DIV/0!</v>
      </c>
      <c r="CA44" s="86" t="e">
        <f t="shared" si="30"/>
        <v>#DIV/0!</v>
      </c>
      <c r="CB44" s="86">
        <f t="shared" si="30"/>
        <v>599.36230567062535</v>
      </c>
      <c r="CC44" s="86">
        <f t="shared" si="30"/>
        <v>556.03649269146831</v>
      </c>
      <c r="CD44" s="86">
        <f t="shared" si="30"/>
        <v>590.39284274432248</v>
      </c>
      <c r="CE44" s="86">
        <f t="shared" si="30"/>
        <v>558.34116937692818</v>
      </c>
      <c r="CF44" s="86" t="e">
        <f t="shared" si="30"/>
        <v>#DIV/0!</v>
      </c>
      <c r="CG44" s="86" t="e">
        <f t="shared" si="30"/>
        <v>#DIV/0!</v>
      </c>
      <c r="CH44" s="86">
        <f t="shared" si="30"/>
        <v>567.25210824973396</v>
      </c>
      <c r="CI44" s="86" t="e">
        <f t="shared" si="30"/>
        <v>#DIV/0!</v>
      </c>
      <c r="CJ44" s="86" t="e">
        <f t="shared" si="30"/>
        <v>#DIV/0!</v>
      </c>
      <c r="CK44" s="86" t="e">
        <f t="shared" si="30"/>
        <v>#DIV/0!</v>
      </c>
      <c r="CL44" s="86" t="e">
        <f t="shared" si="30"/>
        <v>#DIV/0!</v>
      </c>
      <c r="CM44" s="86" t="e">
        <f t="shared" si="30"/>
        <v>#DIV/0!</v>
      </c>
      <c r="CN44" s="86" t="e">
        <f t="shared" si="30"/>
        <v>#DIV/0!</v>
      </c>
      <c r="CO44" s="86" t="e">
        <f t="shared" si="30"/>
        <v>#DIV/0!</v>
      </c>
      <c r="CP44" s="86" t="e">
        <f t="shared" si="30"/>
        <v>#DIV/0!</v>
      </c>
      <c r="CQ44" s="86" t="e">
        <f t="shared" si="30"/>
        <v>#DIV/0!</v>
      </c>
      <c r="CR44" s="86" t="e">
        <f t="shared" si="30"/>
        <v>#DIV/0!</v>
      </c>
      <c r="CS44" s="86" t="e">
        <f t="shared" si="30"/>
        <v>#DIV/0!</v>
      </c>
      <c r="CT44" s="86" t="e">
        <f t="shared" si="30"/>
        <v>#DIV/0!</v>
      </c>
      <c r="CU44" s="86" t="e">
        <f t="shared" si="30"/>
        <v>#DIV/0!</v>
      </c>
      <c r="CV44" s="86" t="e">
        <f t="shared" si="30"/>
        <v>#DIV/0!</v>
      </c>
    </row>
    <row r="45" spans="1:104" ht="15" customHeight="1"/>
    <row r="46" spans="1:104" ht="15" customHeight="1">
      <c r="C46" s="76" t="s">
        <v>121</v>
      </c>
    </row>
    <row r="47" spans="1:104" ht="15" customHeight="1">
      <c r="B47" s="146" t="s">
        <v>181</v>
      </c>
      <c r="C47" s="163" t="s">
        <v>106</v>
      </c>
      <c r="D47" s="165"/>
      <c r="E47" s="191" t="str">
        <f t="shared" ref="E47:AJ47" si="31">IF(E13&lt;&gt;"",E13,"")</f>
        <v>70893GA0010017</v>
      </c>
      <c r="F47" s="191" t="str">
        <f t="shared" si="31"/>
        <v>70893GA0010022</v>
      </c>
      <c r="G47" s="191" t="str">
        <f t="shared" si="31"/>
        <v>70893GA0010068</v>
      </c>
      <c r="H47" s="191" t="str">
        <f t="shared" si="31"/>
        <v>70893GA0010006</v>
      </c>
      <c r="I47" s="191" t="str">
        <f t="shared" si="31"/>
        <v>70893GA0010051</v>
      </c>
      <c r="J47" s="191" t="str">
        <f t="shared" si="31"/>
        <v>70893GA0010020</v>
      </c>
      <c r="K47" s="191" t="str">
        <f t="shared" si="31"/>
        <v>70893GA0010070</v>
      </c>
      <c r="L47" s="191" t="str">
        <f t="shared" si="31"/>
        <v>70893GA0010067</v>
      </c>
      <c r="M47" s="191" t="str">
        <f t="shared" si="31"/>
        <v>70893GA0010064</v>
      </c>
      <c r="N47" s="191" t="str">
        <f t="shared" si="31"/>
        <v>70893GA0010071</v>
      </c>
      <c r="O47" s="191" t="str">
        <f t="shared" si="31"/>
        <v>70893GA0010073</v>
      </c>
      <c r="P47" s="191" t="str">
        <f t="shared" si="31"/>
        <v>70893GA0010074</v>
      </c>
      <c r="Q47" s="191" t="str">
        <f t="shared" si="31"/>
        <v>70893GA0010076</v>
      </c>
      <c r="R47" s="191" t="str">
        <f t="shared" si="31"/>
        <v>70893GA0010078</v>
      </c>
      <c r="S47" s="191" t="str">
        <f t="shared" si="31"/>
        <v>70893GA0010077</v>
      </c>
      <c r="T47" s="191" t="str">
        <f t="shared" si="31"/>
        <v>70893GA0010009</v>
      </c>
      <c r="U47" s="191" t="str">
        <f t="shared" si="31"/>
        <v>70893GA0010075</v>
      </c>
      <c r="V47" s="191" t="str">
        <f t="shared" si="31"/>
        <v>70893GA0010030</v>
      </c>
      <c r="W47" s="191" t="str">
        <f t="shared" si="31"/>
        <v>70893GA0010034</v>
      </c>
      <c r="X47" s="191" t="str">
        <f t="shared" si="31"/>
        <v>70893GA0010069</v>
      </c>
      <c r="Y47" s="191" t="str">
        <f t="shared" si="31"/>
        <v>70893GA0010065</v>
      </c>
      <c r="Z47" s="191" t="str">
        <f t="shared" si="31"/>
        <v>70893GA0010066</v>
      </c>
      <c r="AA47" s="191" t="str">
        <f t="shared" si="31"/>
        <v>70893GA0030017</v>
      </c>
      <c r="AB47" s="191" t="str">
        <f t="shared" si="31"/>
        <v>70893GA0030013</v>
      </c>
      <c r="AC47" s="191" t="str">
        <f t="shared" si="31"/>
        <v>70893GA0030019</v>
      </c>
      <c r="AD47" s="191" t="str">
        <f t="shared" si="31"/>
        <v>70893GA0030051</v>
      </c>
      <c r="AE47" s="191" t="str">
        <f t="shared" si="31"/>
        <v>70893GA0030020</v>
      </c>
      <c r="AF47" s="191" t="str">
        <f t="shared" si="31"/>
        <v>70893GA0030072</v>
      </c>
      <c r="AG47" s="191" t="str">
        <f t="shared" si="31"/>
        <v>70893GA0030070</v>
      </c>
      <c r="AH47" s="191" t="str">
        <f t="shared" si="31"/>
        <v>70893GA0030067</v>
      </c>
      <c r="AI47" s="191" t="str">
        <f t="shared" si="31"/>
        <v>70893GA0030064</v>
      </c>
      <c r="AJ47" s="191" t="str">
        <f t="shared" si="31"/>
        <v>70893GA0030071</v>
      </c>
      <c r="AK47" s="191" t="str">
        <f t="shared" ref="AK47:BP47" si="32">IF(AK13&lt;&gt;"",AK13,"")</f>
        <v>70893GA0030074</v>
      </c>
      <c r="AL47" s="191" t="str">
        <f t="shared" si="32"/>
        <v>70893GA0030075</v>
      </c>
      <c r="AM47" s="191" t="str">
        <f t="shared" si="32"/>
        <v>70893GA0030076</v>
      </c>
      <c r="AN47" s="191" t="str">
        <f t="shared" si="32"/>
        <v>70893GA0030078</v>
      </c>
      <c r="AO47" s="191" t="str">
        <f t="shared" si="32"/>
        <v>70893GA0030077</v>
      </c>
      <c r="AP47" s="191" t="str">
        <f t="shared" si="32"/>
        <v>70893GA0030014</v>
      </c>
      <c r="AQ47" s="191" t="str">
        <f t="shared" si="32"/>
        <v>70893GA0030043</v>
      </c>
      <c r="AR47" s="191" t="str">
        <f t="shared" si="32"/>
        <v>70893GA0030034</v>
      </c>
      <c r="AS47" s="191" t="str">
        <f t="shared" si="32"/>
        <v>70893GA0030069</v>
      </c>
      <c r="AT47" s="191" t="str">
        <f t="shared" si="32"/>
        <v>70893GA0030065</v>
      </c>
      <c r="AU47" s="191" t="str">
        <f t="shared" si="32"/>
        <v>70893GA0030066</v>
      </c>
      <c r="AV47" s="191" t="str">
        <f t="shared" si="32"/>
        <v>70893GA0040023</v>
      </c>
      <c r="AW47" s="191" t="str">
        <f t="shared" si="32"/>
        <v>70893GA0040024</v>
      </c>
      <c r="AX47" s="191" t="str">
        <f t="shared" si="32"/>
        <v>70893GA0040025</v>
      </c>
      <c r="AY47" s="191" t="str">
        <f t="shared" si="32"/>
        <v>70893GA0040026</v>
      </c>
      <c r="AZ47" s="191" t="str">
        <f t="shared" si="32"/>
        <v>70893GA0040028</v>
      </c>
      <c r="BA47" s="191" t="str">
        <f t="shared" si="32"/>
        <v>70893GA0040029</v>
      </c>
      <c r="BB47" s="191" t="str">
        <f t="shared" si="32"/>
        <v>70893GA0040027</v>
      </c>
      <c r="BC47" s="191" t="str">
        <f t="shared" si="32"/>
        <v>70893GA0040022</v>
      </c>
      <c r="BD47" s="191" t="str">
        <f t="shared" si="32"/>
        <v>70893GA0040021</v>
      </c>
      <c r="BE47" s="191" t="str">
        <f t="shared" si="32"/>
        <v>70893GA0040014</v>
      </c>
      <c r="BF47" s="191" t="str">
        <f t="shared" si="32"/>
        <v>70893GA0040011</v>
      </c>
      <c r="BG47" s="191" t="str">
        <f t="shared" si="32"/>
        <v>70893GA0040012</v>
      </c>
      <c r="BH47" s="191" t="str">
        <f t="shared" si="32"/>
        <v>70893GA0040018</v>
      </c>
      <c r="BI47" s="191" t="str">
        <f t="shared" si="32"/>
        <v>70893GA0050023</v>
      </c>
      <c r="BJ47" s="191" t="str">
        <f t="shared" si="32"/>
        <v>70893GA0050024</v>
      </c>
      <c r="BK47" s="191" t="str">
        <f t="shared" si="32"/>
        <v>70893GA0050027</v>
      </c>
      <c r="BL47" s="191" t="str">
        <f t="shared" si="32"/>
        <v>70893GA0050028</v>
      </c>
      <c r="BM47" s="191" t="str">
        <f t="shared" si="32"/>
        <v>70893GA0050025</v>
      </c>
      <c r="BN47" s="191" t="str">
        <f t="shared" si="32"/>
        <v>70893GA0050026</v>
      </c>
      <c r="BO47" s="191" t="str">
        <f t="shared" si="32"/>
        <v>70893GA0050022</v>
      </c>
      <c r="BP47" s="191" t="str">
        <f t="shared" si="32"/>
        <v>70893GA0050021</v>
      </c>
      <c r="BQ47" s="191" t="str">
        <f t="shared" ref="BQ47:CV47" si="33">IF(BQ13&lt;&gt;"",BQ13,"")</f>
        <v>70893GA0060014</v>
      </c>
      <c r="BR47" s="191" t="str">
        <f t="shared" si="33"/>
        <v>70893GA0060013</v>
      </c>
      <c r="BS47" s="191" t="str">
        <f t="shared" si="33"/>
        <v>70893GA0060010</v>
      </c>
      <c r="BT47" s="191" t="str">
        <f t="shared" si="33"/>
        <v>70893GA0060006</v>
      </c>
      <c r="BU47" s="191" t="str">
        <f t="shared" si="33"/>
        <v>70893GA0060007</v>
      </c>
      <c r="BV47" s="191" t="str">
        <f t="shared" si="33"/>
        <v>70893GA0060009</v>
      </c>
      <c r="BW47" s="191" t="str">
        <f t="shared" si="33"/>
        <v>70893GA0060011</v>
      </c>
      <c r="BX47" s="191" t="str">
        <f t="shared" si="33"/>
        <v>70893GA0060012</v>
      </c>
      <c r="BY47" s="191" t="str">
        <f t="shared" si="33"/>
        <v>70893GA0060008</v>
      </c>
      <c r="BZ47" s="191" t="str">
        <f t="shared" si="33"/>
        <v>70893GA0070014</v>
      </c>
      <c r="CA47" s="191" t="str">
        <f t="shared" si="33"/>
        <v>70893GA0070013</v>
      </c>
      <c r="CB47" s="191" t="str">
        <f t="shared" si="33"/>
        <v>70893GA0070010</v>
      </c>
      <c r="CC47" s="191" t="str">
        <f t="shared" si="33"/>
        <v>70893GA0070006</v>
      </c>
      <c r="CD47" s="191" t="str">
        <f t="shared" si="33"/>
        <v>70893GA0070007</v>
      </c>
      <c r="CE47" s="191" t="str">
        <f t="shared" si="33"/>
        <v>70893GA0070009</v>
      </c>
      <c r="CF47" s="191" t="str">
        <f t="shared" si="33"/>
        <v>70893GA0070011</v>
      </c>
      <c r="CG47" s="191" t="str">
        <f t="shared" si="33"/>
        <v>70893GA0070012</v>
      </c>
      <c r="CH47" s="191" t="str">
        <f t="shared" si="33"/>
        <v>70893GA0070008</v>
      </c>
      <c r="CI47" s="191" t="str">
        <f t="shared" si="33"/>
        <v>70893GA0090008</v>
      </c>
      <c r="CJ47" s="191" t="str">
        <f t="shared" si="33"/>
        <v>70893GA0090007</v>
      </c>
      <c r="CK47" s="191" t="str">
        <f t="shared" si="33"/>
        <v>70893GA0090001</v>
      </c>
      <c r="CL47" s="191" t="str">
        <f t="shared" si="33"/>
        <v>70893GA0090002</v>
      </c>
      <c r="CM47" s="191" t="str">
        <f t="shared" si="33"/>
        <v>70893GA0090003</v>
      </c>
      <c r="CN47" s="191" t="str">
        <f t="shared" si="33"/>
        <v>70893GA0090004</v>
      </c>
      <c r="CO47" s="191" t="str">
        <f t="shared" si="33"/>
        <v>70893GA0090005</v>
      </c>
      <c r="CP47" s="191" t="str">
        <f t="shared" si="33"/>
        <v>70893GA0090006</v>
      </c>
      <c r="CQ47" s="191" t="str">
        <f t="shared" si="33"/>
        <v>70893GA0100001</v>
      </c>
      <c r="CR47" s="191" t="str">
        <f t="shared" si="33"/>
        <v>70893GA0100002</v>
      </c>
      <c r="CS47" s="191" t="str">
        <f t="shared" si="33"/>
        <v>70893GA0100003</v>
      </c>
      <c r="CT47" s="191" t="str">
        <f t="shared" si="33"/>
        <v>70893GA0100004</v>
      </c>
      <c r="CU47" s="191" t="str">
        <f t="shared" si="33"/>
        <v>70893GA0100006</v>
      </c>
      <c r="CV47" s="191" t="str">
        <f t="shared" si="33"/>
        <v>70893GA0100005</v>
      </c>
    </row>
    <row r="48" spans="1:104" ht="15" customHeight="1">
      <c r="B48" s="146" t="s">
        <v>182</v>
      </c>
      <c r="C48" s="163" t="s">
        <v>122</v>
      </c>
      <c r="D48" s="166"/>
      <c r="E48" s="257">
        <f>'Wksh 1 - Market Experience'!F46</f>
        <v>557.06760981112393</v>
      </c>
      <c r="F48" s="258"/>
      <c r="G48" s="258"/>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E48" s="258"/>
      <c r="AF48" s="258"/>
      <c r="AG48" s="258"/>
      <c r="AH48" s="258"/>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58"/>
      <c r="BY48" s="258"/>
      <c r="BZ48" s="258"/>
      <c r="CA48" s="258"/>
      <c r="CB48" s="258"/>
      <c r="CC48" s="258"/>
      <c r="CD48" s="258"/>
      <c r="CE48" s="258"/>
      <c r="CF48" s="258"/>
      <c r="CG48" s="258"/>
      <c r="CH48" s="258"/>
      <c r="CI48" s="258"/>
      <c r="CJ48" s="258"/>
      <c r="CK48" s="258"/>
      <c r="CL48" s="258"/>
      <c r="CM48" s="258"/>
      <c r="CN48" s="258"/>
      <c r="CO48" s="258"/>
      <c r="CP48" s="258"/>
      <c r="CQ48" s="258"/>
      <c r="CR48" s="258"/>
      <c r="CS48" s="258"/>
      <c r="CT48" s="258"/>
      <c r="CU48" s="258"/>
      <c r="CV48" s="259"/>
    </row>
    <row r="49" spans="2:100" ht="15" customHeight="1">
      <c r="B49" s="146" t="s">
        <v>183</v>
      </c>
      <c r="C49" s="163" t="s">
        <v>123</v>
      </c>
      <c r="D49" s="166"/>
      <c r="E49" s="193">
        <v>0.91457921900126049</v>
      </c>
      <c r="F49" s="193">
        <v>0.90629534415832014</v>
      </c>
      <c r="G49" s="193">
        <v>0.88720869344769349</v>
      </c>
      <c r="H49" s="193">
        <v>0.77045533461342919</v>
      </c>
      <c r="I49" s="193">
        <v>0.85087395512849462</v>
      </c>
      <c r="J49" s="193">
        <v>0.9638053218510283</v>
      </c>
      <c r="K49" s="193">
        <v>0.90046152270879609</v>
      </c>
      <c r="L49" s="193">
        <v>0.94874657048565258</v>
      </c>
      <c r="M49" s="193">
        <v>0.83358505440128683</v>
      </c>
      <c r="N49" s="193">
        <v>0.92282368806672666</v>
      </c>
      <c r="O49" s="193">
        <v>0.90970611367369414</v>
      </c>
      <c r="P49" s="193">
        <v>1.05300924509662</v>
      </c>
      <c r="Q49" s="193">
        <v>0.81952846122481593</v>
      </c>
      <c r="R49" s="193">
        <v>0.92665232040278323</v>
      </c>
      <c r="S49" s="193">
        <v>0.8832661131532108</v>
      </c>
      <c r="T49" s="193">
        <v>0</v>
      </c>
      <c r="U49" s="193">
        <v>0</v>
      </c>
      <c r="V49" s="193">
        <v>0</v>
      </c>
      <c r="W49" s="193">
        <v>0</v>
      </c>
      <c r="X49" s="193">
        <v>0</v>
      </c>
      <c r="Y49" s="193">
        <v>0</v>
      </c>
      <c r="Z49" s="193">
        <v>0</v>
      </c>
      <c r="AA49" s="193">
        <v>0.91457921900126049</v>
      </c>
      <c r="AB49" s="193">
        <v>0.90629534415832014</v>
      </c>
      <c r="AC49" s="193">
        <v>0.77045533461342919</v>
      </c>
      <c r="AD49" s="193">
        <v>0.85087395512849462</v>
      </c>
      <c r="AE49" s="193">
        <v>0.9638053218510283</v>
      </c>
      <c r="AF49" s="193">
        <v>0.88720869344769349</v>
      </c>
      <c r="AG49" s="193">
        <v>0.90046152270879609</v>
      </c>
      <c r="AH49" s="193">
        <v>0.94874657048565258</v>
      </c>
      <c r="AI49" s="193">
        <v>0.83358505440128683</v>
      </c>
      <c r="AJ49" s="193">
        <v>0.92282368806672666</v>
      </c>
      <c r="AK49" s="193">
        <v>0.90970611367369414</v>
      </c>
      <c r="AL49" s="193">
        <v>1.05300924509662</v>
      </c>
      <c r="AM49" s="193">
        <v>0.81952846122481593</v>
      </c>
      <c r="AN49" s="193">
        <v>0.92665232040278323</v>
      </c>
      <c r="AO49" s="193">
        <v>0.8832661131532108</v>
      </c>
      <c r="AP49" s="193">
        <v>0</v>
      </c>
      <c r="AQ49" s="193">
        <v>0</v>
      </c>
      <c r="AR49" s="193">
        <v>0</v>
      </c>
      <c r="AS49" s="193">
        <v>0</v>
      </c>
      <c r="AT49" s="193">
        <v>0</v>
      </c>
      <c r="AU49" s="193">
        <v>0</v>
      </c>
      <c r="AV49" s="193">
        <v>0.78807578226441033</v>
      </c>
      <c r="AW49" s="193">
        <v>0.78845901543505004</v>
      </c>
      <c r="AX49" s="193">
        <v>0.9660871229357938</v>
      </c>
      <c r="AY49" s="193">
        <v>0.9746032228577608</v>
      </c>
      <c r="AZ49" s="193">
        <v>0</v>
      </c>
      <c r="BA49" s="193">
        <v>0</v>
      </c>
      <c r="BB49" s="193">
        <v>0</v>
      </c>
      <c r="BC49" s="193">
        <v>0</v>
      </c>
      <c r="BD49" s="193">
        <v>0</v>
      </c>
      <c r="BE49" s="193">
        <v>0</v>
      </c>
      <c r="BF49" s="193">
        <v>0</v>
      </c>
      <c r="BG49" s="193">
        <v>0</v>
      </c>
      <c r="BH49" s="193">
        <v>0</v>
      </c>
      <c r="BI49" s="193">
        <v>0</v>
      </c>
      <c r="BJ49" s="193">
        <v>0</v>
      </c>
      <c r="BK49" s="193">
        <v>0</v>
      </c>
      <c r="BL49" s="193">
        <v>0</v>
      </c>
      <c r="BM49" s="193">
        <v>0</v>
      </c>
      <c r="BN49" s="193">
        <v>0</v>
      </c>
      <c r="BO49" s="193">
        <v>0</v>
      </c>
      <c r="BP49" s="193">
        <v>0</v>
      </c>
      <c r="BQ49" s="193">
        <v>0.92604235452247974</v>
      </c>
      <c r="BR49" s="193">
        <v>0.88268470610291883</v>
      </c>
      <c r="BS49" s="193">
        <v>0</v>
      </c>
      <c r="BT49" s="193">
        <v>0</v>
      </c>
      <c r="BU49" s="193">
        <v>0</v>
      </c>
      <c r="BV49" s="193">
        <v>0</v>
      </c>
      <c r="BW49" s="193">
        <v>0</v>
      </c>
      <c r="BX49" s="193">
        <v>0</v>
      </c>
      <c r="BY49" s="193">
        <v>0</v>
      </c>
      <c r="BZ49" s="193">
        <v>0.92604235452248007</v>
      </c>
      <c r="CA49" s="193">
        <v>0.8826847061029186</v>
      </c>
      <c r="CB49" s="193">
        <v>0</v>
      </c>
      <c r="CC49" s="193">
        <v>0</v>
      </c>
      <c r="CD49" s="193">
        <v>0</v>
      </c>
      <c r="CE49" s="193">
        <v>0</v>
      </c>
      <c r="CF49" s="193">
        <v>0</v>
      </c>
      <c r="CG49" s="193">
        <v>0</v>
      </c>
      <c r="CH49" s="193">
        <v>0</v>
      </c>
      <c r="CI49" s="193">
        <v>0.92604235452247974</v>
      </c>
      <c r="CJ49" s="193">
        <v>0.88268470610291849</v>
      </c>
      <c r="CK49" s="193">
        <v>0</v>
      </c>
      <c r="CL49" s="193">
        <v>0</v>
      </c>
      <c r="CM49" s="193">
        <v>0</v>
      </c>
      <c r="CN49" s="193">
        <v>0</v>
      </c>
      <c r="CO49" s="193">
        <v>0</v>
      </c>
      <c r="CP49" s="193">
        <v>0</v>
      </c>
      <c r="CQ49" s="193">
        <v>0.83268459197577316</v>
      </c>
      <c r="CR49" s="193">
        <v>0.88410451462008466</v>
      </c>
      <c r="CS49" s="193">
        <v>0.93532897717177055</v>
      </c>
      <c r="CT49" s="193">
        <v>0.81952846122481593</v>
      </c>
      <c r="CU49" s="193">
        <v>0.92665232040278323</v>
      </c>
      <c r="CV49" s="193">
        <v>0.8832661131532108</v>
      </c>
    </row>
    <row r="50" spans="2:100" ht="15" customHeight="1">
      <c r="B50" s="146" t="s">
        <v>184</v>
      </c>
      <c r="C50" s="163" t="s">
        <v>124</v>
      </c>
      <c r="D50" s="166"/>
      <c r="E50" s="193">
        <v>1.0034184710637724</v>
      </c>
      <c r="F50" s="193">
        <v>1.0034184710637724</v>
      </c>
      <c r="G50" s="193">
        <v>1.0034184710637724</v>
      </c>
      <c r="H50" s="193">
        <v>1.0034184710637724</v>
      </c>
      <c r="I50" s="193">
        <v>1.0034184710637724</v>
      </c>
      <c r="J50" s="193">
        <v>1.0034184710637724</v>
      </c>
      <c r="K50" s="193">
        <v>1.0034184710637724</v>
      </c>
      <c r="L50" s="193">
        <v>1.0034184710637724</v>
      </c>
      <c r="M50" s="193">
        <v>1.0034184710637724</v>
      </c>
      <c r="N50" s="193">
        <v>1.0034184710637724</v>
      </c>
      <c r="O50" s="193">
        <v>1.0034184710637724</v>
      </c>
      <c r="P50" s="193">
        <v>1.0034184710637724</v>
      </c>
      <c r="Q50" s="193">
        <v>1.0034184710637724</v>
      </c>
      <c r="R50" s="193">
        <v>1.0034184710637724</v>
      </c>
      <c r="S50" s="193">
        <v>1.0034184710637724</v>
      </c>
      <c r="T50" s="193">
        <v>0</v>
      </c>
      <c r="U50" s="193">
        <v>0</v>
      </c>
      <c r="V50" s="193">
        <v>0</v>
      </c>
      <c r="W50" s="193">
        <v>0</v>
      </c>
      <c r="X50" s="193">
        <v>0</v>
      </c>
      <c r="Y50" s="193">
        <v>0</v>
      </c>
      <c r="Z50" s="193">
        <v>0</v>
      </c>
      <c r="AA50" s="193">
        <v>1.0034184710637724</v>
      </c>
      <c r="AB50" s="193">
        <v>1.0034184710637724</v>
      </c>
      <c r="AC50" s="193">
        <v>1.0034184710637724</v>
      </c>
      <c r="AD50" s="193">
        <v>1.0034184710637724</v>
      </c>
      <c r="AE50" s="193">
        <v>1.0034184710637724</v>
      </c>
      <c r="AF50" s="193">
        <v>1.0034184710637724</v>
      </c>
      <c r="AG50" s="193">
        <v>1.0034184710637724</v>
      </c>
      <c r="AH50" s="193">
        <v>1.0034184710637724</v>
      </c>
      <c r="AI50" s="193">
        <v>1.0034184710637724</v>
      </c>
      <c r="AJ50" s="193">
        <v>1.0034184710637724</v>
      </c>
      <c r="AK50" s="193">
        <v>1.0034184710637724</v>
      </c>
      <c r="AL50" s="193">
        <v>1.0034184710637724</v>
      </c>
      <c r="AM50" s="193">
        <v>1.0034184710637724</v>
      </c>
      <c r="AN50" s="193">
        <v>1.0034184710637724</v>
      </c>
      <c r="AO50" s="193">
        <v>1.0034184710637724</v>
      </c>
      <c r="AP50" s="193">
        <v>0</v>
      </c>
      <c r="AQ50" s="193">
        <v>0</v>
      </c>
      <c r="AR50" s="193">
        <v>0</v>
      </c>
      <c r="AS50" s="193">
        <v>0</v>
      </c>
      <c r="AT50" s="193">
        <v>0</v>
      </c>
      <c r="AU50" s="193">
        <v>0</v>
      </c>
      <c r="AV50" s="193">
        <v>1.0034184710637724</v>
      </c>
      <c r="AW50" s="193">
        <v>1.0034184710637724</v>
      </c>
      <c r="AX50" s="193">
        <v>1.0034184710637724</v>
      </c>
      <c r="AY50" s="193">
        <v>1.0034184710637724</v>
      </c>
      <c r="AZ50" s="193">
        <v>0</v>
      </c>
      <c r="BA50" s="193">
        <v>0</v>
      </c>
      <c r="BB50" s="193">
        <v>0</v>
      </c>
      <c r="BC50" s="193">
        <v>0</v>
      </c>
      <c r="BD50" s="193">
        <v>0</v>
      </c>
      <c r="BE50" s="193">
        <v>0</v>
      </c>
      <c r="BF50" s="193">
        <v>0</v>
      </c>
      <c r="BG50" s="193">
        <v>0</v>
      </c>
      <c r="BH50" s="193">
        <v>0</v>
      </c>
      <c r="BI50" s="193">
        <v>0</v>
      </c>
      <c r="BJ50" s="193">
        <v>0</v>
      </c>
      <c r="BK50" s="193">
        <v>0</v>
      </c>
      <c r="BL50" s="193">
        <v>0</v>
      </c>
      <c r="BM50" s="193">
        <v>0</v>
      </c>
      <c r="BN50" s="193">
        <v>0</v>
      </c>
      <c r="BO50" s="193">
        <v>0</v>
      </c>
      <c r="BP50" s="193">
        <v>0</v>
      </c>
      <c r="BQ50" s="193">
        <v>0.94807477730805889</v>
      </c>
      <c r="BR50" s="193">
        <v>0.94807477730805889</v>
      </c>
      <c r="BS50" s="193">
        <v>0</v>
      </c>
      <c r="BT50" s="193">
        <v>0</v>
      </c>
      <c r="BU50" s="193">
        <v>0</v>
      </c>
      <c r="BV50" s="193">
        <v>0</v>
      </c>
      <c r="BW50" s="193">
        <v>0</v>
      </c>
      <c r="BX50" s="193">
        <v>0</v>
      </c>
      <c r="BY50" s="193">
        <v>0</v>
      </c>
      <c r="BZ50" s="193">
        <v>0.96097820219646524</v>
      </c>
      <c r="CA50" s="193">
        <v>0.96097820219646524</v>
      </c>
      <c r="CB50" s="193">
        <v>0</v>
      </c>
      <c r="CC50" s="193">
        <v>0</v>
      </c>
      <c r="CD50" s="193">
        <v>0</v>
      </c>
      <c r="CE50" s="193">
        <v>0</v>
      </c>
      <c r="CF50" s="193">
        <v>0</v>
      </c>
      <c r="CG50" s="193">
        <v>0</v>
      </c>
      <c r="CH50" s="193">
        <v>0</v>
      </c>
      <c r="CI50" s="193">
        <v>0.96494259339464195</v>
      </c>
      <c r="CJ50" s="193">
        <v>0.96494259339464195</v>
      </c>
      <c r="CK50" s="193">
        <v>0</v>
      </c>
      <c r="CL50" s="193">
        <v>0</v>
      </c>
      <c r="CM50" s="193">
        <v>0</v>
      </c>
      <c r="CN50" s="193">
        <v>0</v>
      </c>
      <c r="CO50" s="193">
        <v>0</v>
      </c>
      <c r="CP50" s="193">
        <v>0</v>
      </c>
      <c r="CQ50" s="193">
        <v>1.0034184710637724</v>
      </c>
      <c r="CR50" s="193">
        <v>1.0034184710637724</v>
      </c>
      <c r="CS50" s="193">
        <v>1.0034184710637724</v>
      </c>
      <c r="CT50" s="193">
        <v>1.0034184710637724</v>
      </c>
      <c r="CU50" s="193">
        <v>1.0034184710637724</v>
      </c>
      <c r="CV50" s="193">
        <v>1.0034184710637724</v>
      </c>
    </row>
    <row r="51" spans="2:100" ht="15" customHeight="1">
      <c r="B51" s="148" t="s">
        <v>185</v>
      </c>
      <c r="C51" s="164" t="s">
        <v>125</v>
      </c>
      <c r="D51" s="167"/>
      <c r="E51" s="193">
        <v>1</v>
      </c>
      <c r="F51" s="193">
        <v>1</v>
      </c>
      <c r="G51" s="193">
        <v>1</v>
      </c>
      <c r="H51" s="193">
        <v>1</v>
      </c>
      <c r="I51" s="193">
        <v>1</v>
      </c>
      <c r="J51" s="193">
        <v>1</v>
      </c>
      <c r="K51" s="193">
        <v>1</v>
      </c>
      <c r="L51" s="193">
        <v>1</v>
      </c>
      <c r="M51" s="193">
        <v>1</v>
      </c>
      <c r="N51" s="193">
        <v>1</v>
      </c>
      <c r="O51" s="193">
        <v>1</v>
      </c>
      <c r="P51" s="193">
        <v>1</v>
      </c>
      <c r="Q51" s="193">
        <v>1</v>
      </c>
      <c r="R51" s="193">
        <v>1</v>
      </c>
      <c r="S51" s="193">
        <v>1</v>
      </c>
      <c r="T51" s="193">
        <v>0</v>
      </c>
      <c r="U51" s="193">
        <v>0</v>
      </c>
      <c r="V51" s="193">
        <v>0</v>
      </c>
      <c r="W51" s="193">
        <v>0</v>
      </c>
      <c r="X51" s="193">
        <v>0</v>
      </c>
      <c r="Y51" s="193">
        <v>0</v>
      </c>
      <c r="Z51" s="193">
        <v>0</v>
      </c>
      <c r="AA51" s="193">
        <v>1.0357538246120008</v>
      </c>
      <c r="AB51" s="193">
        <v>1.0357538246120008</v>
      </c>
      <c r="AC51" s="193">
        <v>1.0357538246120008</v>
      </c>
      <c r="AD51" s="193">
        <v>1.0357538246120008</v>
      </c>
      <c r="AE51" s="193">
        <v>1.0357538246120008</v>
      </c>
      <c r="AF51" s="193">
        <v>1.0357538246120008</v>
      </c>
      <c r="AG51" s="193">
        <v>1.0357538246120008</v>
      </c>
      <c r="AH51" s="193">
        <v>1.0357538246120008</v>
      </c>
      <c r="AI51" s="193">
        <v>1.0357538246120008</v>
      </c>
      <c r="AJ51" s="193">
        <v>1.0357538246120008</v>
      </c>
      <c r="AK51" s="193">
        <v>1.0357538246120008</v>
      </c>
      <c r="AL51" s="193">
        <v>1.0357538246120008</v>
      </c>
      <c r="AM51" s="193">
        <v>1.0357538246120008</v>
      </c>
      <c r="AN51" s="193">
        <v>1.0357538246120008</v>
      </c>
      <c r="AO51" s="193">
        <v>1.0357538246120008</v>
      </c>
      <c r="AP51" s="193">
        <v>0</v>
      </c>
      <c r="AQ51" s="193">
        <v>0</v>
      </c>
      <c r="AR51" s="193">
        <v>0</v>
      </c>
      <c r="AS51" s="193">
        <v>0</v>
      </c>
      <c r="AT51" s="193">
        <v>0</v>
      </c>
      <c r="AU51" s="193">
        <v>0</v>
      </c>
      <c r="AV51" s="193">
        <v>1</v>
      </c>
      <c r="AW51" s="193">
        <v>1</v>
      </c>
      <c r="AX51" s="193">
        <v>1</v>
      </c>
      <c r="AY51" s="193">
        <v>1</v>
      </c>
      <c r="AZ51" s="193">
        <v>0</v>
      </c>
      <c r="BA51" s="193">
        <v>0</v>
      </c>
      <c r="BB51" s="193">
        <v>0</v>
      </c>
      <c r="BC51" s="193">
        <v>0</v>
      </c>
      <c r="BD51" s="193">
        <v>0</v>
      </c>
      <c r="BE51" s="193">
        <v>0</v>
      </c>
      <c r="BF51" s="193">
        <v>0</v>
      </c>
      <c r="BG51" s="193">
        <v>0</v>
      </c>
      <c r="BH51" s="193">
        <v>0</v>
      </c>
      <c r="BI51" s="193">
        <v>0</v>
      </c>
      <c r="BJ51" s="193">
        <v>0</v>
      </c>
      <c r="BK51" s="193">
        <v>0</v>
      </c>
      <c r="BL51" s="193">
        <v>0</v>
      </c>
      <c r="BM51" s="193">
        <v>0</v>
      </c>
      <c r="BN51" s="193">
        <v>0</v>
      </c>
      <c r="BO51" s="193">
        <v>0</v>
      </c>
      <c r="BP51" s="193">
        <v>0</v>
      </c>
      <c r="BQ51" s="193">
        <v>1</v>
      </c>
      <c r="BR51" s="193">
        <v>1</v>
      </c>
      <c r="BS51" s="193">
        <v>0</v>
      </c>
      <c r="BT51" s="193">
        <v>0</v>
      </c>
      <c r="BU51" s="193">
        <v>0</v>
      </c>
      <c r="BV51" s="193">
        <v>0</v>
      </c>
      <c r="BW51" s="193">
        <v>0</v>
      </c>
      <c r="BX51" s="193">
        <v>0</v>
      </c>
      <c r="BY51" s="193">
        <v>0</v>
      </c>
      <c r="BZ51" s="193">
        <v>1</v>
      </c>
      <c r="CA51" s="193">
        <v>1</v>
      </c>
      <c r="CB51" s="193">
        <v>0</v>
      </c>
      <c r="CC51" s="193">
        <v>0</v>
      </c>
      <c r="CD51" s="193">
        <v>0</v>
      </c>
      <c r="CE51" s="193">
        <v>0</v>
      </c>
      <c r="CF51" s="193">
        <v>0</v>
      </c>
      <c r="CG51" s="193">
        <v>0</v>
      </c>
      <c r="CH51" s="193">
        <v>0</v>
      </c>
      <c r="CI51" s="193">
        <v>1</v>
      </c>
      <c r="CJ51" s="193">
        <v>1</v>
      </c>
      <c r="CK51" s="193">
        <v>0</v>
      </c>
      <c r="CL51" s="193">
        <v>0</v>
      </c>
      <c r="CM51" s="193">
        <v>0</v>
      </c>
      <c r="CN51" s="193">
        <v>0</v>
      </c>
      <c r="CO51" s="193">
        <v>0</v>
      </c>
      <c r="CP51" s="193">
        <v>0</v>
      </c>
      <c r="CQ51" s="193">
        <v>1</v>
      </c>
      <c r="CR51" s="193">
        <v>1</v>
      </c>
      <c r="CS51" s="193">
        <v>1</v>
      </c>
      <c r="CT51" s="193">
        <v>1</v>
      </c>
      <c r="CU51" s="193">
        <v>1</v>
      </c>
      <c r="CV51" s="193">
        <v>1</v>
      </c>
    </row>
    <row r="52" spans="2:100" ht="15" customHeight="1">
      <c r="C52" s="77" t="s">
        <v>133</v>
      </c>
    </row>
    <row r="53" spans="2:100" ht="15" customHeight="1">
      <c r="B53" s="146" t="s">
        <v>186</v>
      </c>
      <c r="C53" s="172" t="s">
        <v>134</v>
      </c>
      <c r="D53" s="165"/>
      <c r="E53" s="196">
        <v>0.1262141085587227</v>
      </c>
      <c r="F53" s="196">
        <v>0.1262141085587227</v>
      </c>
      <c r="G53" s="196">
        <v>0.1262141085587227</v>
      </c>
      <c r="H53" s="196">
        <v>0.1262141085587227</v>
      </c>
      <c r="I53" s="196">
        <v>0.1262141085587227</v>
      </c>
      <c r="J53" s="196">
        <v>0.1262141085587227</v>
      </c>
      <c r="K53" s="196">
        <v>0.1262141085587227</v>
      </c>
      <c r="L53" s="196">
        <v>0.1262141085587227</v>
      </c>
      <c r="M53" s="196">
        <v>0.1262141085587227</v>
      </c>
      <c r="N53" s="196">
        <v>0.1262141085587227</v>
      </c>
      <c r="O53" s="196">
        <v>0.1262141085587227</v>
      </c>
      <c r="P53" s="196">
        <v>0.1262141085587227</v>
      </c>
      <c r="Q53" s="196">
        <v>0.1262141085587227</v>
      </c>
      <c r="R53" s="196">
        <v>0.1262141085587227</v>
      </c>
      <c r="S53" s="196">
        <v>0.1262141085587227</v>
      </c>
      <c r="T53" s="196">
        <v>0</v>
      </c>
      <c r="U53" s="196">
        <v>0</v>
      </c>
      <c r="V53" s="196">
        <v>0</v>
      </c>
      <c r="W53" s="196">
        <v>0</v>
      </c>
      <c r="X53" s="196">
        <v>0</v>
      </c>
      <c r="Y53" s="196">
        <v>0</v>
      </c>
      <c r="Z53" s="196">
        <v>0</v>
      </c>
      <c r="AA53" s="196">
        <v>0.1262141085587227</v>
      </c>
      <c r="AB53" s="196">
        <v>0.1262141085587227</v>
      </c>
      <c r="AC53" s="196">
        <v>0.1262141085587227</v>
      </c>
      <c r="AD53" s="196">
        <v>0.1262141085587227</v>
      </c>
      <c r="AE53" s="196">
        <v>0.1262141085587227</v>
      </c>
      <c r="AF53" s="196">
        <v>0.1262141085587227</v>
      </c>
      <c r="AG53" s="196">
        <v>0.1262141085587227</v>
      </c>
      <c r="AH53" s="196">
        <v>0.1262141085587227</v>
      </c>
      <c r="AI53" s="196">
        <v>0.1262141085587227</v>
      </c>
      <c r="AJ53" s="196">
        <v>0.1262141085587227</v>
      </c>
      <c r="AK53" s="196">
        <v>0.1262141085587227</v>
      </c>
      <c r="AL53" s="196">
        <v>0.1262141085587227</v>
      </c>
      <c r="AM53" s="196">
        <v>0.1262141085587227</v>
      </c>
      <c r="AN53" s="196">
        <v>0.1262141085587227</v>
      </c>
      <c r="AO53" s="196">
        <v>0.1262141085587227</v>
      </c>
      <c r="AP53" s="196">
        <v>0</v>
      </c>
      <c r="AQ53" s="196">
        <v>0</v>
      </c>
      <c r="AR53" s="196">
        <v>0</v>
      </c>
      <c r="AS53" s="196">
        <v>0</v>
      </c>
      <c r="AT53" s="196">
        <v>0</v>
      </c>
      <c r="AU53" s="196">
        <v>0</v>
      </c>
      <c r="AV53" s="196">
        <v>0.1262141085587227</v>
      </c>
      <c r="AW53" s="196">
        <v>0.1262141085587227</v>
      </c>
      <c r="AX53" s="196">
        <v>0.1262141085587227</v>
      </c>
      <c r="AY53" s="196">
        <v>0.1262141085587227</v>
      </c>
      <c r="AZ53" s="196">
        <v>0</v>
      </c>
      <c r="BA53" s="196">
        <v>0</v>
      </c>
      <c r="BB53" s="196">
        <v>0</v>
      </c>
      <c r="BC53" s="196">
        <v>0</v>
      </c>
      <c r="BD53" s="196">
        <v>0</v>
      </c>
      <c r="BE53" s="196">
        <v>0</v>
      </c>
      <c r="BF53" s="196">
        <v>0</v>
      </c>
      <c r="BG53" s="196">
        <v>0</v>
      </c>
      <c r="BH53" s="196">
        <v>0</v>
      </c>
      <c r="BI53" s="196">
        <v>0</v>
      </c>
      <c r="BJ53" s="196">
        <v>0</v>
      </c>
      <c r="BK53" s="196">
        <v>0</v>
      </c>
      <c r="BL53" s="196">
        <v>0</v>
      </c>
      <c r="BM53" s="196">
        <v>0</v>
      </c>
      <c r="BN53" s="196">
        <v>0</v>
      </c>
      <c r="BO53" s="196">
        <v>0</v>
      </c>
      <c r="BP53" s="196">
        <v>0</v>
      </c>
      <c r="BQ53" s="196">
        <v>0.1262141085587227</v>
      </c>
      <c r="BR53" s="196">
        <v>0.1262141085587227</v>
      </c>
      <c r="BS53" s="196">
        <v>0</v>
      </c>
      <c r="BT53" s="196">
        <v>0</v>
      </c>
      <c r="BU53" s="196">
        <v>0</v>
      </c>
      <c r="BV53" s="196">
        <v>0</v>
      </c>
      <c r="BW53" s="196">
        <v>0</v>
      </c>
      <c r="BX53" s="196">
        <v>0</v>
      </c>
      <c r="BY53" s="196">
        <v>0</v>
      </c>
      <c r="BZ53" s="196">
        <v>0.1262141085587227</v>
      </c>
      <c r="CA53" s="196">
        <v>0.1262141085587227</v>
      </c>
      <c r="CB53" s="196">
        <v>0</v>
      </c>
      <c r="CC53" s="196">
        <v>0</v>
      </c>
      <c r="CD53" s="196">
        <v>0</v>
      </c>
      <c r="CE53" s="196">
        <v>0</v>
      </c>
      <c r="CF53" s="196">
        <v>0</v>
      </c>
      <c r="CG53" s="196">
        <v>0</v>
      </c>
      <c r="CH53" s="196">
        <v>0</v>
      </c>
      <c r="CI53" s="196">
        <v>0.1262141085587227</v>
      </c>
      <c r="CJ53" s="196">
        <v>0.1262141085587227</v>
      </c>
      <c r="CK53" s="196">
        <v>0</v>
      </c>
      <c r="CL53" s="196">
        <v>0</v>
      </c>
      <c r="CM53" s="196">
        <v>0</v>
      </c>
      <c r="CN53" s="196">
        <v>0</v>
      </c>
      <c r="CO53" s="196">
        <v>0</v>
      </c>
      <c r="CP53" s="196">
        <v>0</v>
      </c>
      <c r="CQ53" s="196">
        <v>0.1262141085587227</v>
      </c>
      <c r="CR53" s="196">
        <v>0.1262141085587227</v>
      </c>
      <c r="CS53" s="196">
        <v>0.1262141085587227</v>
      </c>
      <c r="CT53" s="196">
        <v>0.1262141085587227</v>
      </c>
      <c r="CU53" s="196">
        <v>0.1262141085587227</v>
      </c>
      <c r="CV53" s="196">
        <v>0.1262141085587227</v>
      </c>
    </row>
    <row r="54" spans="2:100" ht="15" customHeight="1">
      <c r="B54" s="146" t="s">
        <v>187</v>
      </c>
      <c r="C54" s="172" t="s">
        <v>135</v>
      </c>
      <c r="D54" s="166"/>
      <c r="E54" s="196">
        <v>3.622126629833404E-2</v>
      </c>
      <c r="F54" s="196">
        <v>3.622126629833404E-2</v>
      </c>
      <c r="G54" s="196">
        <v>3.622126629833404E-2</v>
      </c>
      <c r="H54" s="196">
        <v>3.622126629833404E-2</v>
      </c>
      <c r="I54" s="196">
        <v>3.622126629833404E-2</v>
      </c>
      <c r="J54" s="196">
        <v>3.622126629833404E-2</v>
      </c>
      <c r="K54" s="196">
        <v>3.622126629833404E-2</v>
      </c>
      <c r="L54" s="196">
        <v>3.622126629833404E-2</v>
      </c>
      <c r="M54" s="196">
        <v>3.622126629833404E-2</v>
      </c>
      <c r="N54" s="196">
        <v>3.622126629833404E-2</v>
      </c>
      <c r="O54" s="196">
        <v>3.622126629833404E-2</v>
      </c>
      <c r="P54" s="196">
        <v>3.622126629833404E-2</v>
      </c>
      <c r="Q54" s="196">
        <v>3.622126629833404E-2</v>
      </c>
      <c r="R54" s="196">
        <v>3.622126629833404E-2</v>
      </c>
      <c r="S54" s="196">
        <v>3.622126629833404E-2</v>
      </c>
      <c r="T54" s="196">
        <v>0</v>
      </c>
      <c r="U54" s="196">
        <v>0</v>
      </c>
      <c r="V54" s="196">
        <v>0</v>
      </c>
      <c r="W54" s="196">
        <v>0</v>
      </c>
      <c r="X54" s="196">
        <v>0</v>
      </c>
      <c r="Y54" s="196">
        <v>0</v>
      </c>
      <c r="Z54" s="196">
        <v>0</v>
      </c>
      <c r="AA54" s="196">
        <v>3.622126629833404E-2</v>
      </c>
      <c r="AB54" s="196">
        <v>3.622126629833404E-2</v>
      </c>
      <c r="AC54" s="196">
        <v>3.622126629833404E-2</v>
      </c>
      <c r="AD54" s="196">
        <v>3.622126629833404E-2</v>
      </c>
      <c r="AE54" s="196">
        <v>3.622126629833404E-2</v>
      </c>
      <c r="AF54" s="196">
        <v>3.622126629833404E-2</v>
      </c>
      <c r="AG54" s="196">
        <v>3.622126629833404E-2</v>
      </c>
      <c r="AH54" s="196">
        <v>3.622126629833404E-2</v>
      </c>
      <c r="AI54" s="196">
        <v>3.622126629833404E-2</v>
      </c>
      <c r="AJ54" s="196">
        <v>3.622126629833404E-2</v>
      </c>
      <c r="AK54" s="196">
        <v>3.622126629833404E-2</v>
      </c>
      <c r="AL54" s="196">
        <v>3.622126629833404E-2</v>
      </c>
      <c r="AM54" s="196">
        <v>3.622126629833404E-2</v>
      </c>
      <c r="AN54" s="196">
        <v>3.622126629833404E-2</v>
      </c>
      <c r="AO54" s="196">
        <v>3.622126629833404E-2</v>
      </c>
      <c r="AP54" s="196">
        <v>0</v>
      </c>
      <c r="AQ54" s="196">
        <v>0</v>
      </c>
      <c r="AR54" s="196">
        <v>0</v>
      </c>
      <c r="AS54" s="196">
        <v>0</v>
      </c>
      <c r="AT54" s="196">
        <v>0</v>
      </c>
      <c r="AU54" s="196">
        <v>0</v>
      </c>
      <c r="AV54" s="196">
        <v>3.622126629833404E-2</v>
      </c>
      <c r="AW54" s="196">
        <v>3.622126629833404E-2</v>
      </c>
      <c r="AX54" s="196">
        <v>3.622126629833404E-2</v>
      </c>
      <c r="AY54" s="196">
        <v>3.622126629833404E-2</v>
      </c>
      <c r="AZ54" s="196">
        <v>0</v>
      </c>
      <c r="BA54" s="196">
        <v>0</v>
      </c>
      <c r="BB54" s="196">
        <v>0</v>
      </c>
      <c r="BC54" s="196">
        <v>0</v>
      </c>
      <c r="BD54" s="196">
        <v>0</v>
      </c>
      <c r="BE54" s="196">
        <v>0</v>
      </c>
      <c r="BF54" s="196">
        <v>0</v>
      </c>
      <c r="BG54" s="196">
        <v>0</v>
      </c>
      <c r="BH54" s="196">
        <v>0</v>
      </c>
      <c r="BI54" s="196">
        <v>0</v>
      </c>
      <c r="BJ54" s="196">
        <v>0</v>
      </c>
      <c r="BK54" s="196">
        <v>0</v>
      </c>
      <c r="BL54" s="196">
        <v>0</v>
      </c>
      <c r="BM54" s="196">
        <v>0</v>
      </c>
      <c r="BN54" s="196">
        <v>0</v>
      </c>
      <c r="BO54" s="196">
        <v>0</v>
      </c>
      <c r="BP54" s="196">
        <v>0</v>
      </c>
      <c r="BQ54" s="196">
        <v>3.622126629833404E-2</v>
      </c>
      <c r="BR54" s="196">
        <v>3.622126629833404E-2</v>
      </c>
      <c r="BS54" s="196">
        <v>0</v>
      </c>
      <c r="BT54" s="196">
        <v>0</v>
      </c>
      <c r="BU54" s="196">
        <v>0</v>
      </c>
      <c r="BV54" s="196">
        <v>0</v>
      </c>
      <c r="BW54" s="196">
        <v>0</v>
      </c>
      <c r="BX54" s="196">
        <v>0</v>
      </c>
      <c r="BY54" s="196">
        <v>0</v>
      </c>
      <c r="BZ54" s="196">
        <v>3.622126629833404E-2</v>
      </c>
      <c r="CA54" s="196">
        <v>3.622126629833404E-2</v>
      </c>
      <c r="CB54" s="196">
        <v>0</v>
      </c>
      <c r="CC54" s="196">
        <v>0</v>
      </c>
      <c r="CD54" s="196">
        <v>0</v>
      </c>
      <c r="CE54" s="196">
        <v>0</v>
      </c>
      <c r="CF54" s="196">
        <v>0</v>
      </c>
      <c r="CG54" s="196">
        <v>0</v>
      </c>
      <c r="CH54" s="196">
        <v>0</v>
      </c>
      <c r="CI54" s="196">
        <v>3.622126629833404E-2</v>
      </c>
      <c r="CJ54" s="196">
        <v>3.622126629833404E-2</v>
      </c>
      <c r="CK54" s="196">
        <v>0</v>
      </c>
      <c r="CL54" s="196">
        <v>0</v>
      </c>
      <c r="CM54" s="196">
        <v>0</v>
      </c>
      <c r="CN54" s="196">
        <v>0</v>
      </c>
      <c r="CO54" s="196">
        <v>0</v>
      </c>
      <c r="CP54" s="196">
        <v>0</v>
      </c>
      <c r="CQ54" s="196">
        <v>3.622126629833404E-2</v>
      </c>
      <c r="CR54" s="196">
        <v>3.622126629833404E-2</v>
      </c>
      <c r="CS54" s="196">
        <v>3.622126629833404E-2</v>
      </c>
      <c r="CT54" s="196">
        <v>3.622126629833404E-2</v>
      </c>
      <c r="CU54" s="196">
        <v>3.622126629833404E-2</v>
      </c>
      <c r="CV54" s="196">
        <v>3.622126629833404E-2</v>
      </c>
    </row>
    <row r="55" spans="2:100" ht="15" customHeight="1">
      <c r="B55" s="146" t="s">
        <v>188</v>
      </c>
      <c r="C55" s="172" t="s">
        <v>12</v>
      </c>
      <c r="D55" s="166"/>
      <c r="E55" s="196">
        <v>3.9735375216114845E-2</v>
      </c>
      <c r="F55" s="196">
        <v>3.9735375216114845E-2</v>
      </c>
      <c r="G55" s="196">
        <v>3.9735375216114845E-2</v>
      </c>
      <c r="H55" s="196">
        <v>3.9735375216114845E-2</v>
      </c>
      <c r="I55" s="196">
        <v>3.9735375216114845E-2</v>
      </c>
      <c r="J55" s="196">
        <v>3.9735375216114845E-2</v>
      </c>
      <c r="K55" s="196">
        <v>3.9735375216114845E-2</v>
      </c>
      <c r="L55" s="196">
        <v>3.9735375216114845E-2</v>
      </c>
      <c r="M55" s="196">
        <v>3.9735375216114845E-2</v>
      </c>
      <c r="N55" s="196">
        <v>3.9735375216114845E-2</v>
      </c>
      <c r="O55" s="196">
        <v>3.9735375216114845E-2</v>
      </c>
      <c r="P55" s="196">
        <v>3.9735375216114845E-2</v>
      </c>
      <c r="Q55" s="196">
        <v>3.9735375216114845E-2</v>
      </c>
      <c r="R55" s="196">
        <v>3.9735375216114845E-2</v>
      </c>
      <c r="S55" s="196">
        <v>3.9735375216114845E-2</v>
      </c>
      <c r="T55" s="196">
        <v>0</v>
      </c>
      <c r="U55" s="196">
        <v>0</v>
      </c>
      <c r="V55" s="196">
        <v>0</v>
      </c>
      <c r="W55" s="196">
        <v>0</v>
      </c>
      <c r="X55" s="196">
        <v>0</v>
      </c>
      <c r="Y55" s="196">
        <v>0</v>
      </c>
      <c r="Z55" s="196">
        <v>0</v>
      </c>
      <c r="AA55" s="196">
        <v>3.9735375216114845E-2</v>
      </c>
      <c r="AB55" s="196">
        <v>3.9735375216114845E-2</v>
      </c>
      <c r="AC55" s="196">
        <v>3.9735375216114845E-2</v>
      </c>
      <c r="AD55" s="196">
        <v>3.9735375216114845E-2</v>
      </c>
      <c r="AE55" s="196">
        <v>3.9735375216114845E-2</v>
      </c>
      <c r="AF55" s="196">
        <v>3.9735375216114845E-2</v>
      </c>
      <c r="AG55" s="196">
        <v>3.9735375216114845E-2</v>
      </c>
      <c r="AH55" s="196">
        <v>3.9735375216114845E-2</v>
      </c>
      <c r="AI55" s="196">
        <v>3.9735375216114845E-2</v>
      </c>
      <c r="AJ55" s="196">
        <v>3.9735375216114845E-2</v>
      </c>
      <c r="AK55" s="196">
        <v>3.9735375216114845E-2</v>
      </c>
      <c r="AL55" s="196">
        <v>3.9735375216114845E-2</v>
      </c>
      <c r="AM55" s="196">
        <v>3.9735375216114845E-2</v>
      </c>
      <c r="AN55" s="196">
        <v>3.9735375216114845E-2</v>
      </c>
      <c r="AO55" s="196">
        <v>3.9735375216114845E-2</v>
      </c>
      <c r="AP55" s="196">
        <v>0</v>
      </c>
      <c r="AQ55" s="196">
        <v>0</v>
      </c>
      <c r="AR55" s="196">
        <v>0</v>
      </c>
      <c r="AS55" s="196">
        <v>0</v>
      </c>
      <c r="AT55" s="196">
        <v>0</v>
      </c>
      <c r="AU55" s="196">
        <v>0</v>
      </c>
      <c r="AV55" s="196">
        <v>3.9735375216114845E-2</v>
      </c>
      <c r="AW55" s="196">
        <v>3.9735375216114845E-2</v>
      </c>
      <c r="AX55" s="196">
        <v>3.9735375216114845E-2</v>
      </c>
      <c r="AY55" s="196">
        <v>3.9735375216114845E-2</v>
      </c>
      <c r="AZ55" s="196">
        <v>0</v>
      </c>
      <c r="BA55" s="196">
        <v>0</v>
      </c>
      <c r="BB55" s="196">
        <v>0</v>
      </c>
      <c r="BC55" s="196">
        <v>0</v>
      </c>
      <c r="BD55" s="196">
        <v>0</v>
      </c>
      <c r="BE55" s="196">
        <v>0</v>
      </c>
      <c r="BF55" s="196">
        <v>0</v>
      </c>
      <c r="BG55" s="196">
        <v>0</v>
      </c>
      <c r="BH55" s="196">
        <v>0</v>
      </c>
      <c r="BI55" s="196">
        <v>0</v>
      </c>
      <c r="BJ55" s="196">
        <v>0</v>
      </c>
      <c r="BK55" s="196">
        <v>0</v>
      </c>
      <c r="BL55" s="196">
        <v>0</v>
      </c>
      <c r="BM55" s="196">
        <v>0</v>
      </c>
      <c r="BN55" s="196">
        <v>0</v>
      </c>
      <c r="BO55" s="196">
        <v>0</v>
      </c>
      <c r="BP55" s="196">
        <v>0</v>
      </c>
      <c r="BQ55" s="196">
        <v>2.4035375216114832E-2</v>
      </c>
      <c r="BR55" s="196">
        <v>2.4035375216114832E-2</v>
      </c>
      <c r="BS55" s="196">
        <v>0</v>
      </c>
      <c r="BT55" s="196">
        <v>0</v>
      </c>
      <c r="BU55" s="196">
        <v>0</v>
      </c>
      <c r="BV55" s="196">
        <v>0</v>
      </c>
      <c r="BW55" s="196">
        <v>0</v>
      </c>
      <c r="BX55" s="196">
        <v>0</v>
      </c>
      <c r="BY55" s="196">
        <v>0</v>
      </c>
      <c r="BZ55" s="196">
        <v>2.4035375216114832E-2</v>
      </c>
      <c r="CA55" s="196">
        <v>2.4035375216114832E-2</v>
      </c>
      <c r="CB55" s="196">
        <v>0</v>
      </c>
      <c r="CC55" s="196">
        <v>0</v>
      </c>
      <c r="CD55" s="196">
        <v>0</v>
      </c>
      <c r="CE55" s="196">
        <v>0</v>
      </c>
      <c r="CF55" s="196">
        <v>0</v>
      </c>
      <c r="CG55" s="196">
        <v>0</v>
      </c>
      <c r="CH55" s="196">
        <v>0</v>
      </c>
      <c r="CI55" s="196">
        <v>2.4035375216114832E-2</v>
      </c>
      <c r="CJ55" s="196">
        <v>2.4035375216114832E-2</v>
      </c>
      <c r="CK55" s="196">
        <v>0</v>
      </c>
      <c r="CL55" s="196">
        <v>0</v>
      </c>
      <c r="CM55" s="196">
        <v>0</v>
      </c>
      <c r="CN55" s="196">
        <v>0</v>
      </c>
      <c r="CO55" s="196">
        <v>0</v>
      </c>
      <c r="CP55" s="196">
        <v>0</v>
      </c>
      <c r="CQ55" s="196">
        <v>3.9735375216114845E-2</v>
      </c>
      <c r="CR55" s="196">
        <v>3.9735375216114845E-2</v>
      </c>
      <c r="CS55" s="196">
        <v>3.9735375216114845E-2</v>
      </c>
      <c r="CT55" s="196">
        <v>3.9735375216114845E-2</v>
      </c>
      <c r="CU55" s="196">
        <v>3.9735375216114845E-2</v>
      </c>
      <c r="CV55" s="196">
        <v>3.9735375216114845E-2</v>
      </c>
    </row>
    <row r="56" spans="2:100"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0</v>
      </c>
      <c r="U56" s="193">
        <v>0</v>
      </c>
      <c r="V56" s="193">
        <v>0</v>
      </c>
      <c r="W56" s="193">
        <v>0</v>
      </c>
      <c r="X56" s="193">
        <v>0</v>
      </c>
      <c r="Y56" s="193">
        <v>0</v>
      </c>
      <c r="Z56" s="193">
        <v>0</v>
      </c>
      <c r="AA56" s="193">
        <v>1</v>
      </c>
      <c r="AB56" s="193">
        <v>1</v>
      </c>
      <c r="AC56" s="193">
        <v>1</v>
      </c>
      <c r="AD56" s="193">
        <v>1</v>
      </c>
      <c r="AE56" s="193">
        <v>1</v>
      </c>
      <c r="AF56" s="193">
        <v>1</v>
      </c>
      <c r="AG56" s="193">
        <v>1</v>
      </c>
      <c r="AH56" s="193">
        <v>1</v>
      </c>
      <c r="AI56" s="193">
        <v>1</v>
      </c>
      <c r="AJ56" s="193">
        <v>1</v>
      </c>
      <c r="AK56" s="193">
        <v>1</v>
      </c>
      <c r="AL56" s="193">
        <v>1</v>
      </c>
      <c r="AM56" s="193">
        <v>1</v>
      </c>
      <c r="AN56" s="193">
        <v>1</v>
      </c>
      <c r="AO56" s="193">
        <v>1</v>
      </c>
      <c r="AP56" s="193">
        <v>0</v>
      </c>
      <c r="AQ56" s="193">
        <v>0</v>
      </c>
      <c r="AR56" s="193">
        <v>0</v>
      </c>
      <c r="AS56" s="193">
        <v>0</v>
      </c>
      <c r="AT56" s="193">
        <v>0</v>
      </c>
      <c r="AU56" s="193">
        <v>0</v>
      </c>
      <c r="AV56" s="193">
        <v>1</v>
      </c>
      <c r="AW56" s="193">
        <v>1</v>
      </c>
      <c r="AX56" s="193">
        <v>1</v>
      </c>
      <c r="AY56" s="193">
        <v>1</v>
      </c>
      <c r="AZ56" s="193">
        <v>0</v>
      </c>
      <c r="BA56" s="193">
        <v>0</v>
      </c>
      <c r="BB56" s="193">
        <v>0</v>
      </c>
      <c r="BC56" s="193">
        <v>0</v>
      </c>
      <c r="BD56" s="193">
        <v>0</v>
      </c>
      <c r="BE56" s="193">
        <v>0</v>
      </c>
      <c r="BF56" s="193">
        <v>0</v>
      </c>
      <c r="BG56" s="193">
        <v>0</v>
      </c>
      <c r="BH56" s="193">
        <v>0</v>
      </c>
      <c r="BI56" s="193">
        <v>0</v>
      </c>
      <c r="BJ56" s="193">
        <v>0</v>
      </c>
      <c r="BK56" s="193">
        <v>0</v>
      </c>
      <c r="BL56" s="193">
        <v>0</v>
      </c>
      <c r="BM56" s="193">
        <v>0</v>
      </c>
      <c r="BN56" s="193">
        <v>0</v>
      </c>
      <c r="BO56" s="193">
        <v>0</v>
      </c>
      <c r="BP56" s="193">
        <v>0</v>
      </c>
      <c r="BQ56" s="193">
        <v>1</v>
      </c>
      <c r="BR56" s="193">
        <v>1</v>
      </c>
      <c r="BS56" s="193">
        <v>0</v>
      </c>
      <c r="BT56" s="193">
        <v>0</v>
      </c>
      <c r="BU56" s="193">
        <v>0</v>
      </c>
      <c r="BV56" s="193">
        <v>0</v>
      </c>
      <c r="BW56" s="193">
        <v>0</v>
      </c>
      <c r="BX56" s="193">
        <v>0</v>
      </c>
      <c r="BY56" s="193">
        <v>0</v>
      </c>
      <c r="BZ56" s="193">
        <v>1</v>
      </c>
      <c r="CA56" s="193">
        <v>1</v>
      </c>
      <c r="CB56" s="193">
        <v>0</v>
      </c>
      <c r="CC56" s="193">
        <v>0</v>
      </c>
      <c r="CD56" s="193">
        <v>0</v>
      </c>
      <c r="CE56" s="193">
        <v>0</v>
      </c>
      <c r="CF56" s="193">
        <v>0</v>
      </c>
      <c r="CG56" s="193">
        <v>0</v>
      </c>
      <c r="CH56" s="193">
        <v>0</v>
      </c>
      <c r="CI56" s="193">
        <v>1</v>
      </c>
      <c r="CJ56" s="193">
        <v>1</v>
      </c>
      <c r="CK56" s="193">
        <v>0</v>
      </c>
      <c r="CL56" s="193">
        <v>0</v>
      </c>
      <c r="CM56" s="193">
        <v>0</v>
      </c>
      <c r="CN56" s="193">
        <v>0</v>
      </c>
      <c r="CO56" s="193">
        <v>0</v>
      </c>
      <c r="CP56" s="193">
        <v>0</v>
      </c>
      <c r="CQ56" s="193">
        <v>1</v>
      </c>
      <c r="CR56" s="193">
        <v>1</v>
      </c>
      <c r="CS56" s="193">
        <v>1</v>
      </c>
      <c r="CT56" s="193">
        <v>1</v>
      </c>
      <c r="CU56" s="193">
        <v>1</v>
      </c>
      <c r="CV56" s="193">
        <v>1</v>
      </c>
    </row>
    <row r="57" spans="2:100" ht="15" customHeight="1">
      <c r="B57" s="148" t="s">
        <v>190</v>
      </c>
      <c r="C57" s="173" t="s">
        <v>79</v>
      </c>
      <c r="D57" s="167"/>
      <c r="E57" s="195">
        <f t="shared" ref="E57:AJ57" si="34">($E$48*PRODUCT(E49:E51)*E56)/(1-SUM(E53:E55))</f>
        <v>640.76882441222085</v>
      </c>
      <c r="F57" s="195">
        <f t="shared" si="34"/>
        <v>634.96500924300528</v>
      </c>
      <c r="G57" s="195">
        <f t="shared" si="34"/>
        <v>621.59259657090183</v>
      </c>
      <c r="H57" s="195">
        <f t="shared" si="34"/>
        <v>539.79332655457029</v>
      </c>
      <c r="I57" s="195">
        <f t="shared" si="34"/>
        <v>596.13589793352912</v>
      </c>
      <c r="J57" s="195">
        <f t="shared" si="34"/>
        <v>675.25741916499237</v>
      </c>
      <c r="K57" s="195">
        <f t="shared" si="34"/>
        <v>630.87774065611961</v>
      </c>
      <c r="L57" s="195">
        <f t="shared" si="34"/>
        <v>664.7070171778962</v>
      </c>
      <c r="M57" s="195">
        <f t="shared" si="34"/>
        <v>584.02301764476624</v>
      </c>
      <c r="N57" s="195">
        <f t="shared" si="34"/>
        <v>646.54503126366296</v>
      </c>
      <c r="O57" s="195">
        <f t="shared" si="34"/>
        <v>637.35464890166043</v>
      </c>
      <c r="P57" s="195">
        <f t="shared" si="34"/>
        <v>737.75511410874446</v>
      </c>
      <c r="Q57" s="195">
        <f t="shared" si="34"/>
        <v>574.17474370873265</v>
      </c>
      <c r="R57" s="195">
        <f t="shared" si="34"/>
        <v>649.22743229586729</v>
      </c>
      <c r="S57" s="195">
        <f t="shared" si="34"/>
        <v>618.8303617770639</v>
      </c>
      <c r="T57" s="195">
        <f t="shared" si="34"/>
        <v>0</v>
      </c>
      <c r="U57" s="195">
        <f t="shared" si="34"/>
        <v>0</v>
      </c>
      <c r="V57" s="195">
        <f t="shared" si="34"/>
        <v>0</v>
      </c>
      <c r="W57" s="195">
        <f t="shared" si="34"/>
        <v>0</v>
      </c>
      <c r="X57" s="195">
        <f t="shared" si="34"/>
        <v>0</v>
      </c>
      <c r="Y57" s="195">
        <f t="shared" si="34"/>
        <v>0</v>
      </c>
      <c r="Z57" s="195">
        <f t="shared" si="34"/>
        <v>0</v>
      </c>
      <c r="AA57" s="195">
        <f t="shared" si="34"/>
        <v>663.67876057709339</v>
      </c>
      <c r="AB57" s="195">
        <f t="shared" si="34"/>
        <v>657.66743681823709</v>
      </c>
      <c r="AC57" s="195">
        <f t="shared" si="34"/>
        <v>559.09300247893077</v>
      </c>
      <c r="AD57" s="195">
        <f t="shared" si="34"/>
        <v>617.45003627316214</v>
      </c>
      <c r="AE57" s="195">
        <f t="shared" si="34"/>
        <v>699.40045449777006</v>
      </c>
      <c r="AF57" s="195">
        <f t="shared" si="34"/>
        <v>643.81690924881616</v>
      </c>
      <c r="AG57" s="195">
        <f t="shared" si="34"/>
        <v>653.43403274715388</v>
      </c>
      <c r="AH57" s="195">
        <f t="shared" si="34"/>
        <v>688.47283528844093</v>
      </c>
      <c r="AI57" s="195">
        <f t="shared" si="34"/>
        <v>604.90407418700875</v>
      </c>
      <c r="AJ57" s="195">
        <f t="shared" si="34"/>
        <v>669.6614889152246</v>
      </c>
      <c r="AK57" s="195">
        <f t="shared" ref="AK57:BP57" si="35">($E$48*PRODUCT(AK49:AK51)*AK56)/(1-SUM(AK53:AK55))</f>
        <v>660.14251523413384</v>
      </c>
      <c r="AL57" s="195">
        <f t="shared" si="35"/>
        <v>764.13268106519524</v>
      </c>
      <c r="AM57" s="195">
        <f t="shared" si="35"/>
        <v>594.70368679193518</v>
      </c>
      <c r="AN57" s="195">
        <f t="shared" si="35"/>
        <v>672.43979604347351</v>
      </c>
      <c r="AO57" s="195">
        <f t="shared" si="35"/>
        <v>640.95591399662203</v>
      </c>
      <c r="AP57" s="195">
        <f t="shared" si="35"/>
        <v>0</v>
      </c>
      <c r="AQ57" s="195">
        <f t="shared" si="35"/>
        <v>0</v>
      </c>
      <c r="AR57" s="195">
        <f t="shared" si="35"/>
        <v>0</v>
      </c>
      <c r="AS57" s="195">
        <f t="shared" si="35"/>
        <v>0</v>
      </c>
      <c r="AT57" s="195">
        <f t="shared" si="35"/>
        <v>0</v>
      </c>
      <c r="AU57" s="195">
        <f t="shared" si="35"/>
        <v>0</v>
      </c>
      <c r="AV57" s="195">
        <f t="shared" si="35"/>
        <v>552.13849391936776</v>
      </c>
      <c r="AW57" s="195">
        <f t="shared" si="35"/>
        <v>552.4069932063893</v>
      </c>
      <c r="AX57" s="195">
        <f t="shared" si="35"/>
        <v>676.85608548962682</v>
      </c>
      <c r="AY57" s="195">
        <f t="shared" si="35"/>
        <v>682.82260126234996</v>
      </c>
      <c r="AZ57" s="195">
        <f t="shared" si="35"/>
        <v>0</v>
      </c>
      <c r="BA57" s="195">
        <f t="shared" si="35"/>
        <v>0</v>
      </c>
      <c r="BB57" s="195">
        <f t="shared" si="35"/>
        <v>0</v>
      </c>
      <c r="BC57" s="195">
        <f t="shared" si="35"/>
        <v>0</v>
      </c>
      <c r="BD57" s="195">
        <f t="shared" si="35"/>
        <v>0</v>
      </c>
      <c r="BE57" s="195">
        <f t="shared" si="35"/>
        <v>0</v>
      </c>
      <c r="BF57" s="195">
        <f t="shared" si="35"/>
        <v>0</v>
      </c>
      <c r="BG57" s="195">
        <f t="shared" si="35"/>
        <v>0</v>
      </c>
      <c r="BH57" s="195">
        <f t="shared" si="35"/>
        <v>0</v>
      </c>
      <c r="BI57" s="195">
        <f t="shared" si="35"/>
        <v>0</v>
      </c>
      <c r="BJ57" s="195">
        <f t="shared" si="35"/>
        <v>0</v>
      </c>
      <c r="BK57" s="195">
        <f t="shared" si="35"/>
        <v>0</v>
      </c>
      <c r="BL57" s="195">
        <f t="shared" si="35"/>
        <v>0</v>
      </c>
      <c r="BM57" s="195">
        <f t="shared" si="35"/>
        <v>0</v>
      </c>
      <c r="BN57" s="195">
        <f t="shared" si="35"/>
        <v>0</v>
      </c>
      <c r="BO57" s="195">
        <f t="shared" si="35"/>
        <v>0</v>
      </c>
      <c r="BP57" s="195">
        <f t="shared" si="35"/>
        <v>0</v>
      </c>
      <c r="BQ57" s="195">
        <f t="shared" ref="BQ57:CV57" si="36">($E$48*PRODUCT(BQ49:BQ51)*BQ56)/(1-SUM(BQ53:BQ55))</f>
        <v>601.18505861240715</v>
      </c>
      <c r="BR57" s="195">
        <f t="shared" si="36"/>
        <v>573.0373499475578</v>
      </c>
      <c r="BS57" s="195">
        <f t="shared" si="36"/>
        <v>0</v>
      </c>
      <c r="BT57" s="195">
        <f t="shared" si="36"/>
        <v>0</v>
      </c>
      <c r="BU57" s="195">
        <f t="shared" si="36"/>
        <v>0</v>
      </c>
      <c r="BV57" s="195">
        <f t="shared" si="36"/>
        <v>0</v>
      </c>
      <c r="BW57" s="195">
        <f t="shared" si="36"/>
        <v>0</v>
      </c>
      <c r="BX57" s="195">
        <f t="shared" si="36"/>
        <v>0</v>
      </c>
      <c r="BY57" s="195">
        <f t="shared" si="36"/>
        <v>0</v>
      </c>
      <c r="BZ57" s="195">
        <f t="shared" si="36"/>
        <v>609.36726789959391</v>
      </c>
      <c r="CA57" s="195">
        <f t="shared" si="36"/>
        <v>580.83646514424538</v>
      </c>
      <c r="CB57" s="195">
        <f t="shared" si="36"/>
        <v>0</v>
      </c>
      <c r="CC57" s="195">
        <f t="shared" si="36"/>
        <v>0</v>
      </c>
      <c r="CD57" s="195">
        <f t="shared" si="36"/>
        <v>0</v>
      </c>
      <c r="CE57" s="195">
        <f t="shared" si="36"/>
        <v>0</v>
      </c>
      <c r="CF57" s="195">
        <f t="shared" si="36"/>
        <v>0</v>
      </c>
      <c r="CG57" s="195">
        <f t="shared" si="36"/>
        <v>0</v>
      </c>
      <c r="CH57" s="195">
        <f t="shared" si="36"/>
        <v>0</v>
      </c>
      <c r="CI57" s="195">
        <f t="shared" si="36"/>
        <v>611.88113369571317</v>
      </c>
      <c r="CJ57" s="195">
        <f t="shared" si="36"/>
        <v>583.23263080620825</v>
      </c>
      <c r="CK57" s="195">
        <f t="shared" si="36"/>
        <v>0</v>
      </c>
      <c r="CL57" s="195">
        <f t="shared" si="36"/>
        <v>0</v>
      </c>
      <c r="CM57" s="195">
        <f t="shared" si="36"/>
        <v>0</v>
      </c>
      <c r="CN57" s="195">
        <f t="shared" si="36"/>
        <v>0</v>
      </c>
      <c r="CO57" s="195">
        <f t="shared" si="36"/>
        <v>0</v>
      </c>
      <c r="CP57" s="195">
        <f t="shared" si="36"/>
        <v>0</v>
      </c>
      <c r="CQ57" s="195">
        <f t="shared" si="36"/>
        <v>583.39213927159062</v>
      </c>
      <c r="CR57" s="195">
        <f t="shared" si="36"/>
        <v>619.41775925029845</v>
      </c>
      <c r="CS57" s="195">
        <f t="shared" si="36"/>
        <v>655.3064367628217</v>
      </c>
      <c r="CT57" s="195">
        <f t="shared" si="36"/>
        <v>574.17474370873265</v>
      </c>
      <c r="CU57" s="195">
        <f t="shared" si="36"/>
        <v>649.22743229586729</v>
      </c>
      <c r="CV57" s="195">
        <f t="shared" si="36"/>
        <v>618.8303617770639</v>
      </c>
    </row>
    <row r="58" spans="2:100" ht="15" customHeight="1"/>
    <row r="59" spans="2:100" ht="15" customHeight="1">
      <c r="B59" s="146" t="s">
        <v>191</v>
      </c>
      <c r="C59" s="156" t="s">
        <v>127</v>
      </c>
      <c r="D59" s="208">
        <v>0.60657952263250803</v>
      </c>
      <c r="E59" s="254">
        <f>IF(D59&lt;&gt;"", D59, "")</f>
        <v>0.60657952263250803</v>
      </c>
      <c r="F59" s="255"/>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5"/>
      <c r="AI59" s="255"/>
      <c r="AJ59" s="255"/>
      <c r="AK59" s="255"/>
      <c r="AL59" s="255"/>
      <c r="AM59" s="255"/>
      <c r="AN59" s="255"/>
      <c r="AO59" s="255"/>
      <c r="AP59" s="255"/>
      <c r="AQ59" s="255"/>
      <c r="AR59" s="255"/>
      <c r="AS59" s="255"/>
      <c r="AT59" s="255"/>
      <c r="AU59" s="255"/>
      <c r="AV59" s="255"/>
      <c r="AW59" s="255"/>
      <c r="AX59" s="255"/>
      <c r="AY59" s="255"/>
      <c r="AZ59" s="255"/>
      <c r="BA59" s="255"/>
      <c r="BB59" s="255"/>
      <c r="BC59" s="255"/>
      <c r="BD59" s="255"/>
      <c r="BE59" s="255"/>
      <c r="BF59" s="255"/>
      <c r="BG59" s="255"/>
      <c r="BH59" s="255"/>
      <c r="BI59" s="255"/>
      <c r="BJ59" s="255"/>
      <c r="BK59" s="255"/>
      <c r="BL59" s="255"/>
      <c r="BM59" s="255"/>
      <c r="BN59" s="255"/>
      <c r="BO59" s="255"/>
      <c r="BP59" s="255"/>
      <c r="BQ59" s="255"/>
      <c r="BR59" s="255"/>
      <c r="BS59" s="255"/>
      <c r="BT59" s="255"/>
      <c r="BU59" s="255"/>
      <c r="BV59" s="255"/>
      <c r="BW59" s="255"/>
      <c r="BX59" s="255"/>
      <c r="BY59" s="255"/>
      <c r="BZ59" s="255"/>
      <c r="CA59" s="255"/>
      <c r="CB59" s="255"/>
      <c r="CC59" s="255"/>
      <c r="CD59" s="255"/>
      <c r="CE59" s="255"/>
      <c r="CF59" s="255"/>
      <c r="CG59" s="255"/>
      <c r="CH59" s="255"/>
      <c r="CI59" s="255"/>
      <c r="CJ59" s="255"/>
      <c r="CK59" s="255"/>
      <c r="CL59" s="255"/>
      <c r="CM59" s="255"/>
      <c r="CN59" s="255"/>
      <c r="CO59" s="255"/>
      <c r="CP59" s="255"/>
      <c r="CQ59" s="255"/>
      <c r="CR59" s="255"/>
      <c r="CS59" s="255"/>
      <c r="CT59" s="255"/>
      <c r="CU59" s="255"/>
      <c r="CV59" s="256"/>
    </row>
    <row r="60" spans="2:100" ht="15" customHeight="1">
      <c r="B60" s="146" t="s">
        <v>192</v>
      </c>
      <c r="C60" s="156" t="s">
        <v>128</v>
      </c>
      <c r="D60" s="208">
        <v>1</v>
      </c>
      <c r="E60" s="254">
        <f>IF(D60&lt;&gt;"", D60, "")</f>
        <v>1</v>
      </c>
      <c r="F60" s="255"/>
      <c r="G60" s="255"/>
      <c r="H60" s="255"/>
      <c r="I60" s="255"/>
      <c r="J60" s="255"/>
      <c r="K60" s="255"/>
      <c r="L60" s="255"/>
      <c r="M60" s="255"/>
      <c r="N60" s="255"/>
      <c r="O60" s="255"/>
      <c r="P60" s="255"/>
      <c r="Q60" s="255"/>
      <c r="R60" s="255"/>
      <c r="S60" s="255"/>
      <c r="T60" s="255"/>
      <c r="U60" s="255"/>
      <c r="V60" s="255"/>
      <c r="W60" s="255"/>
      <c r="X60" s="255"/>
      <c r="Y60" s="255"/>
      <c r="Z60" s="255"/>
      <c r="AA60" s="255"/>
      <c r="AB60" s="255"/>
      <c r="AC60" s="255"/>
      <c r="AD60" s="255"/>
      <c r="AE60" s="255"/>
      <c r="AF60" s="255"/>
      <c r="AG60" s="255"/>
      <c r="AH60" s="255"/>
      <c r="AI60" s="255"/>
      <c r="AJ60" s="255"/>
      <c r="AK60" s="255"/>
      <c r="AL60" s="255"/>
      <c r="AM60" s="255"/>
      <c r="AN60" s="255"/>
      <c r="AO60" s="255"/>
      <c r="AP60" s="255"/>
      <c r="AQ60" s="255"/>
      <c r="AR60" s="255"/>
      <c r="AS60" s="255"/>
      <c r="AT60" s="255"/>
      <c r="AU60" s="255"/>
      <c r="AV60" s="255"/>
      <c r="AW60" s="255"/>
      <c r="AX60" s="255"/>
      <c r="AY60" s="255"/>
      <c r="AZ60" s="255"/>
      <c r="BA60" s="255"/>
      <c r="BB60" s="255"/>
      <c r="BC60" s="255"/>
      <c r="BD60" s="255"/>
      <c r="BE60" s="255"/>
      <c r="BF60" s="255"/>
      <c r="BG60" s="255"/>
      <c r="BH60" s="255"/>
      <c r="BI60" s="255"/>
      <c r="BJ60" s="255"/>
      <c r="BK60" s="255"/>
      <c r="BL60" s="255"/>
      <c r="BM60" s="255"/>
      <c r="BN60" s="255"/>
      <c r="BO60" s="255"/>
      <c r="BP60" s="255"/>
      <c r="BQ60" s="255"/>
      <c r="BR60" s="255"/>
      <c r="BS60" s="255"/>
      <c r="BT60" s="255"/>
      <c r="BU60" s="255"/>
      <c r="BV60" s="255"/>
      <c r="BW60" s="255"/>
      <c r="BX60" s="255"/>
      <c r="BY60" s="255"/>
      <c r="BZ60" s="255"/>
      <c r="CA60" s="255"/>
      <c r="CB60" s="255"/>
      <c r="CC60" s="255"/>
      <c r="CD60" s="255"/>
      <c r="CE60" s="255"/>
      <c r="CF60" s="255"/>
      <c r="CG60" s="255"/>
      <c r="CH60" s="255"/>
      <c r="CI60" s="255"/>
      <c r="CJ60" s="255"/>
      <c r="CK60" s="255"/>
      <c r="CL60" s="255"/>
      <c r="CM60" s="255"/>
      <c r="CN60" s="255"/>
      <c r="CO60" s="255"/>
      <c r="CP60" s="255"/>
      <c r="CQ60" s="255"/>
      <c r="CR60" s="255"/>
      <c r="CS60" s="255"/>
      <c r="CT60" s="255"/>
      <c r="CU60" s="255"/>
      <c r="CV60" s="256"/>
    </row>
    <row r="61" spans="2:100" ht="15" customHeight="1">
      <c r="B61" s="146" t="s">
        <v>193</v>
      </c>
      <c r="C61" s="156" t="s">
        <v>129</v>
      </c>
      <c r="D61" s="208">
        <v>0.9976947192654253</v>
      </c>
      <c r="E61" s="254">
        <f>IF(D61&lt;&gt;"", D61, "")</f>
        <v>0.9976947192654253</v>
      </c>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c r="AD61" s="255"/>
      <c r="AE61" s="255"/>
      <c r="AF61" s="255"/>
      <c r="AG61" s="255"/>
      <c r="AH61" s="255"/>
      <c r="AI61" s="255"/>
      <c r="AJ61" s="255"/>
      <c r="AK61" s="255"/>
      <c r="AL61" s="255"/>
      <c r="AM61" s="255"/>
      <c r="AN61" s="255"/>
      <c r="AO61" s="255"/>
      <c r="AP61" s="255"/>
      <c r="AQ61" s="255"/>
      <c r="AR61" s="255"/>
      <c r="AS61" s="255"/>
      <c r="AT61" s="255"/>
      <c r="AU61" s="255"/>
      <c r="AV61" s="255"/>
      <c r="AW61" s="255"/>
      <c r="AX61" s="255"/>
      <c r="AY61" s="255"/>
      <c r="AZ61" s="255"/>
      <c r="BA61" s="255"/>
      <c r="BB61" s="255"/>
      <c r="BC61" s="255"/>
      <c r="BD61" s="255"/>
      <c r="BE61" s="255"/>
      <c r="BF61" s="255"/>
      <c r="BG61" s="255"/>
      <c r="BH61" s="255"/>
      <c r="BI61" s="255"/>
      <c r="BJ61" s="255"/>
      <c r="BK61" s="255"/>
      <c r="BL61" s="255"/>
      <c r="BM61" s="255"/>
      <c r="BN61" s="255"/>
      <c r="BO61" s="255"/>
      <c r="BP61" s="255"/>
      <c r="BQ61" s="255"/>
      <c r="BR61" s="255"/>
      <c r="BS61" s="255"/>
      <c r="BT61" s="255"/>
      <c r="BU61" s="255"/>
      <c r="BV61" s="255"/>
      <c r="BW61" s="255"/>
      <c r="BX61" s="255"/>
      <c r="BY61" s="255"/>
      <c r="BZ61" s="255"/>
      <c r="CA61" s="255"/>
      <c r="CB61" s="255"/>
      <c r="CC61" s="255"/>
      <c r="CD61" s="255"/>
      <c r="CE61" s="255"/>
      <c r="CF61" s="255"/>
      <c r="CG61" s="255"/>
      <c r="CH61" s="255"/>
      <c r="CI61" s="255"/>
      <c r="CJ61" s="255"/>
      <c r="CK61" s="255"/>
      <c r="CL61" s="255"/>
      <c r="CM61" s="255"/>
      <c r="CN61" s="255"/>
      <c r="CO61" s="255"/>
      <c r="CP61" s="255"/>
      <c r="CQ61" s="255"/>
      <c r="CR61" s="255"/>
      <c r="CS61" s="255"/>
      <c r="CT61" s="255"/>
      <c r="CU61" s="255"/>
      <c r="CV61" s="256"/>
    </row>
    <row r="62" spans="2:100" ht="15" customHeight="1">
      <c r="B62" s="148" t="s">
        <v>194</v>
      </c>
      <c r="C62" s="171" t="s">
        <v>136</v>
      </c>
      <c r="D62" s="170"/>
      <c r="E62" s="195">
        <f t="shared" ref="E62:AJ62" si="37">E57*(PRODUCT($E$59:$E$61))</f>
        <v>387.78123745882988</v>
      </c>
      <c r="F62" s="195">
        <f t="shared" si="37"/>
        <v>384.26887770823612</v>
      </c>
      <c r="G62" s="195">
        <f t="shared" si="37"/>
        <v>376.17614514036325</v>
      </c>
      <c r="H62" s="195">
        <f t="shared" si="37"/>
        <v>326.67276585336521</v>
      </c>
      <c r="I62" s="195">
        <f t="shared" si="37"/>
        <v>360.77023005347962</v>
      </c>
      <c r="J62" s="195">
        <f t="shared" si="37"/>
        <v>408.65308615358163</v>
      </c>
      <c r="K62" s="195">
        <f t="shared" si="37"/>
        <v>381.7953396550966</v>
      </c>
      <c r="L62" s="195">
        <f t="shared" si="37"/>
        <v>402.26818136050412</v>
      </c>
      <c r="M62" s="195">
        <f t="shared" si="37"/>
        <v>353.43974278784862</v>
      </c>
      <c r="N62" s="195">
        <f t="shared" si="37"/>
        <v>391.27688917491491</v>
      </c>
      <c r="O62" s="195">
        <f t="shared" si="37"/>
        <v>385.71504267227601</v>
      </c>
      <c r="P62" s="195">
        <f t="shared" si="37"/>
        <v>446.47551533596874</v>
      </c>
      <c r="Q62" s="195">
        <f t="shared" si="37"/>
        <v>347.47975268181966</v>
      </c>
      <c r="R62" s="195">
        <f t="shared" si="37"/>
        <v>392.90022781437386</v>
      </c>
      <c r="S62" s="195">
        <f t="shared" si="37"/>
        <v>374.50449261031252</v>
      </c>
      <c r="T62" s="195">
        <f t="shared" si="37"/>
        <v>0</v>
      </c>
      <c r="U62" s="195">
        <f t="shared" si="37"/>
        <v>0</v>
      </c>
      <c r="V62" s="195">
        <f t="shared" si="37"/>
        <v>0</v>
      </c>
      <c r="W62" s="195">
        <f t="shared" si="37"/>
        <v>0</v>
      </c>
      <c r="X62" s="195">
        <f t="shared" si="37"/>
        <v>0</v>
      </c>
      <c r="Y62" s="195">
        <f t="shared" si="37"/>
        <v>0</v>
      </c>
      <c r="Z62" s="195">
        <f t="shared" si="37"/>
        <v>0</v>
      </c>
      <c r="AA62" s="195">
        <f t="shared" si="37"/>
        <v>401.6458998107575</v>
      </c>
      <c r="AB62" s="195">
        <f t="shared" si="37"/>
        <v>398.00795976566673</v>
      </c>
      <c r="AC62" s="195">
        <f t="shared" si="37"/>
        <v>338.35256662920358</v>
      </c>
      <c r="AD62" s="195">
        <f t="shared" si="37"/>
        <v>373.66914558404295</v>
      </c>
      <c r="AE62" s="195">
        <f t="shared" si="37"/>
        <v>423.26399692306978</v>
      </c>
      <c r="AF62" s="195">
        <f t="shared" si="37"/>
        <v>389.62588105693044</v>
      </c>
      <c r="AG62" s="195">
        <f t="shared" si="37"/>
        <v>395.44598326680421</v>
      </c>
      <c r="AH62" s="195">
        <f t="shared" si="37"/>
        <v>416.65080736385613</v>
      </c>
      <c r="AI62" s="195">
        <f t="shared" si="37"/>
        <v>366.07656536239608</v>
      </c>
      <c r="AJ62" s="195">
        <f t="shared" si="37"/>
        <v>405.26653444520412</v>
      </c>
      <c r="AK62" s="195">
        <f t="shared" ref="AK62:BP62" si="38">AK57*(PRODUCT($E$59:$E$61))</f>
        <v>399.50583065819103</v>
      </c>
      <c r="AL62" s="195">
        <f t="shared" si="38"/>
        <v>462.43872260484369</v>
      </c>
      <c r="AM62" s="195">
        <f t="shared" si="38"/>
        <v>359.90348281542686</v>
      </c>
      <c r="AN62" s="195">
        <f t="shared" si="38"/>
        <v>406.94791364966426</v>
      </c>
      <c r="AO62" s="195">
        <f t="shared" si="38"/>
        <v>387.89446055550798</v>
      </c>
      <c r="AP62" s="195">
        <f t="shared" si="38"/>
        <v>0</v>
      </c>
      <c r="AQ62" s="195">
        <f t="shared" si="38"/>
        <v>0</v>
      </c>
      <c r="AR62" s="195">
        <f t="shared" si="38"/>
        <v>0</v>
      </c>
      <c r="AS62" s="195">
        <f t="shared" si="38"/>
        <v>0</v>
      </c>
      <c r="AT62" s="195">
        <f t="shared" si="38"/>
        <v>0</v>
      </c>
      <c r="AU62" s="195">
        <f t="shared" si="38"/>
        <v>0</v>
      </c>
      <c r="AV62" s="195">
        <f t="shared" si="38"/>
        <v>334.14382888728989</v>
      </c>
      <c r="AW62" s="195">
        <f t="shared" si="38"/>
        <v>334.30631960439609</v>
      </c>
      <c r="AX62" s="195">
        <f t="shared" si="38"/>
        <v>409.62056893681347</v>
      </c>
      <c r="AY62" s="195">
        <f t="shared" si="38"/>
        <v>413.23139203168944</v>
      </c>
      <c r="AZ62" s="195">
        <f t="shared" si="38"/>
        <v>0</v>
      </c>
      <c r="BA62" s="195">
        <f t="shared" si="38"/>
        <v>0</v>
      </c>
      <c r="BB62" s="195">
        <f t="shared" si="38"/>
        <v>0</v>
      </c>
      <c r="BC62" s="195">
        <f t="shared" si="38"/>
        <v>0</v>
      </c>
      <c r="BD62" s="195">
        <f t="shared" si="38"/>
        <v>0</v>
      </c>
      <c r="BE62" s="195">
        <f t="shared" si="38"/>
        <v>0</v>
      </c>
      <c r="BF62" s="195">
        <f t="shared" si="38"/>
        <v>0</v>
      </c>
      <c r="BG62" s="195">
        <f t="shared" si="38"/>
        <v>0</v>
      </c>
      <c r="BH62" s="195">
        <f t="shared" si="38"/>
        <v>0</v>
      </c>
      <c r="BI62" s="195">
        <f t="shared" si="38"/>
        <v>0</v>
      </c>
      <c r="BJ62" s="195">
        <f t="shared" si="38"/>
        <v>0</v>
      </c>
      <c r="BK62" s="195">
        <f t="shared" si="38"/>
        <v>0</v>
      </c>
      <c r="BL62" s="195">
        <f t="shared" si="38"/>
        <v>0</v>
      </c>
      <c r="BM62" s="195">
        <f t="shared" si="38"/>
        <v>0</v>
      </c>
      <c r="BN62" s="195">
        <f t="shared" si="38"/>
        <v>0</v>
      </c>
      <c r="BO62" s="195">
        <f t="shared" si="38"/>
        <v>0</v>
      </c>
      <c r="BP62" s="195">
        <f t="shared" si="38"/>
        <v>0</v>
      </c>
      <c r="BQ62" s="195">
        <f t="shared" ref="BQ62:CV62" si="39">BQ57*(PRODUCT($E$59:$E$61))</f>
        <v>363.8258871041794</v>
      </c>
      <c r="BR62" s="195">
        <f t="shared" si="39"/>
        <v>346.79142337586296</v>
      </c>
      <c r="BS62" s="195">
        <f t="shared" si="39"/>
        <v>0</v>
      </c>
      <c r="BT62" s="195">
        <f t="shared" si="39"/>
        <v>0</v>
      </c>
      <c r="BU62" s="195">
        <f t="shared" si="39"/>
        <v>0</v>
      </c>
      <c r="BV62" s="195">
        <f t="shared" si="39"/>
        <v>0</v>
      </c>
      <c r="BW62" s="195">
        <f t="shared" si="39"/>
        <v>0</v>
      </c>
      <c r="BX62" s="195">
        <f t="shared" si="39"/>
        <v>0</v>
      </c>
      <c r="BY62" s="195">
        <f t="shared" si="39"/>
        <v>0</v>
      </c>
      <c r="BZ62" s="195">
        <f t="shared" si="39"/>
        <v>368.77760622915855</v>
      </c>
      <c r="CA62" s="195">
        <f t="shared" si="39"/>
        <v>351.51130116459547</v>
      </c>
      <c r="CB62" s="195">
        <f t="shared" si="39"/>
        <v>0</v>
      </c>
      <c r="CC62" s="195">
        <f t="shared" si="39"/>
        <v>0</v>
      </c>
      <c r="CD62" s="195">
        <f t="shared" si="39"/>
        <v>0</v>
      </c>
      <c r="CE62" s="195">
        <f t="shared" si="39"/>
        <v>0</v>
      </c>
      <c r="CF62" s="195">
        <f t="shared" si="39"/>
        <v>0</v>
      </c>
      <c r="CG62" s="195">
        <f t="shared" si="39"/>
        <v>0</v>
      </c>
      <c r="CH62" s="195">
        <f t="shared" si="39"/>
        <v>0</v>
      </c>
      <c r="CI62" s="195">
        <f t="shared" si="39"/>
        <v>370.29895051446886</v>
      </c>
      <c r="CJ62" s="195">
        <f t="shared" si="39"/>
        <v>352.96141554306053</v>
      </c>
      <c r="CK62" s="195">
        <f t="shared" si="39"/>
        <v>0</v>
      </c>
      <c r="CL62" s="195">
        <f t="shared" si="39"/>
        <v>0</v>
      </c>
      <c r="CM62" s="195">
        <f t="shared" si="39"/>
        <v>0</v>
      </c>
      <c r="CN62" s="195">
        <f t="shared" si="39"/>
        <v>0</v>
      </c>
      <c r="CO62" s="195">
        <f t="shared" si="39"/>
        <v>0</v>
      </c>
      <c r="CP62" s="195">
        <f t="shared" si="39"/>
        <v>0</v>
      </c>
      <c r="CQ62" s="195">
        <f t="shared" si="39"/>
        <v>353.05794706540462</v>
      </c>
      <c r="CR62" s="195">
        <f t="shared" si="39"/>
        <v>374.85997451013816</v>
      </c>
      <c r="CS62" s="195">
        <f t="shared" si="39"/>
        <v>396.57912695069768</v>
      </c>
      <c r="CT62" s="195">
        <f t="shared" si="39"/>
        <v>347.47975268181966</v>
      </c>
      <c r="CU62" s="195">
        <f t="shared" si="39"/>
        <v>392.90022781437386</v>
      </c>
      <c r="CV62" s="195">
        <f t="shared" si="39"/>
        <v>374.50449261031252</v>
      </c>
    </row>
    <row r="63" spans="2:100" ht="15" customHeight="1"/>
    <row r="64" spans="2:100" ht="15" customHeight="1">
      <c r="C64" s="76" t="s">
        <v>130</v>
      </c>
    </row>
    <row r="65" spans="2:100" ht="15" customHeight="1">
      <c r="B65" s="146" t="s">
        <v>195</v>
      </c>
      <c r="C65" s="152" t="s">
        <v>106</v>
      </c>
      <c r="D65" s="174" t="s">
        <v>2</v>
      </c>
      <c r="E65" s="90" t="str">
        <f t="shared" ref="E65:AJ65" si="40">IF(E13&lt;&gt;"",E13,"")</f>
        <v>70893GA0010017</v>
      </c>
      <c r="F65" s="90" t="str">
        <f t="shared" si="40"/>
        <v>70893GA0010022</v>
      </c>
      <c r="G65" s="90" t="str">
        <f t="shared" si="40"/>
        <v>70893GA0010068</v>
      </c>
      <c r="H65" s="90" t="str">
        <f t="shared" si="40"/>
        <v>70893GA0010006</v>
      </c>
      <c r="I65" s="90" t="str">
        <f t="shared" si="40"/>
        <v>70893GA0010051</v>
      </c>
      <c r="J65" s="90" t="str">
        <f t="shared" si="40"/>
        <v>70893GA0010020</v>
      </c>
      <c r="K65" s="90" t="str">
        <f t="shared" si="40"/>
        <v>70893GA0010070</v>
      </c>
      <c r="L65" s="90" t="str">
        <f t="shared" si="40"/>
        <v>70893GA0010067</v>
      </c>
      <c r="M65" s="90" t="str">
        <f t="shared" si="40"/>
        <v>70893GA0010064</v>
      </c>
      <c r="N65" s="90" t="str">
        <f t="shared" si="40"/>
        <v>70893GA0010071</v>
      </c>
      <c r="O65" s="90" t="str">
        <f t="shared" si="40"/>
        <v>70893GA0010073</v>
      </c>
      <c r="P65" s="90" t="str">
        <f t="shared" si="40"/>
        <v>70893GA0010074</v>
      </c>
      <c r="Q65" s="90" t="str">
        <f t="shared" si="40"/>
        <v>70893GA0010076</v>
      </c>
      <c r="R65" s="90" t="str">
        <f t="shared" si="40"/>
        <v>70893GA0010078</v>
      </c>
      <c r="S65" s="90" t="str">
        <f t="shared" si="40"/>
        <v>70893GA0010077</v>
      </c>
      <c r="T65" s="90" t="str">
        <f t="shared" si="40"/>
        <v>70893GA0010009</v>
      </c>
      <c r="U65" s="90" t="str">
        <f t="shared" si="40"/>
        <v>70893GA0010075</v>
      </c>
      <c r="V65" s="90" t="str">
        <f t="shared" si="40"/>
        <v>70893GA0010030</v>
      </c>
      <c r="W65" s="90" t="str">
        <f t="shared" si="40"/>
        <v>70893GA0010034</v>
      </c>
      <c r="X65" s="90" t="str">
        <f t="shared" si="40"/>
        <v>70893GA0010069</v>
      </c>
      <c r="Y65" s="90" t="str">
        <f t="shared" si="40"/>
        <v>70893GA0010065</v>
      </c>
      <c r="Z65" s="90" t="str">
        <f t="shared" si="40"/>
        <v>70893GA0010066</v>
      </c>
      <c r="AA65" s="90" t="str">
        <f t="shared" si="40"/>
        <v>70893GA0030017</v>
      </c>
      <c r="AB65" s="90" t="str">
        <f t="shared" si="40"/>
        <v>70893GA0030013</v>
      </c>
      <c r="AC65" s="90" t="str">
        <f t="shared" si="40"/>
        <v>70893GA0030019</v>
      </c>
      <c r="AD65" s="90" t="str">
        <f t="shared" si="40"/>
        <v>70893GA0030051</v>
      </c>
      <c r="AE65" s="90" t="str">
        <f t="shared" si="40"/>
        <v>70893GA0030020</v>
      </c>
      <c r="AF65" s="90" t="str">
        <f t="shared" si="40"/>
        <v>70893GA0030072</v>
      </c>
      <c r="AG65" s="90" t="str">
        <f t="shared" si="40"/>
        <v>70893GA0030070</v>
      </c>
      <c r="AH65" s="90" t="str">
        <f t="shared" si="40"/>
        <v>70893GA0030067</v>
      </c>
      <c r="AI65" s="90" t="str">
        <f t="shared" si="40"/>
        <v>70893GA0030064</v>
      </c>
      <c r="AJ65" s="90" t="str">
        <f t="shared" si="40"/>
        <v>70893GA0030071</v>
      </c>
      <c r="AK65" s="90" t="str">
        <f t="shared" ref="AK65:BP65" si="41">IF(AK13&lt;&gt;"",AK13,"")</f>
        <v>70893GA0030074</v>
      </c>
      <c r="AL65" s="90" t="str">
        <f t="shared" si="41"/>
        <v>70893GA0030075</v>
      </c>
      <c r="AM65" s="90" t="str">
        <f t="shared" si="41"/>
        <v>70893GA0030076</v>
      </c>
      <c r="AN65" s="90" t="str">
        <f t="shared" si="41"/>
        <v>70893GA0030078</v>
      </c>
      <c r="AO65" s="90" t="str">
        <f t="shared" si="41"/>
        <v>70893GA0030077</v>
      </c>
      <c r="AP65" s="90" t="str">
        <f t="shared" si="41"/>
        <v>70893GA0030014</v>
      </c>
      <c r="AQ65" s="90" t="str">
        <f t="shared" si="41"/>
        <v>70893GA0030043</v>
      </c>
      <c r="AR65" s="90" t="str">
        <f t="shared" si="41"/>
        <v>70893GA0030034</v>
      </c>
      <c r="AS65" s="90" t="str">
        <f t="shared" si="41"/>
        <v>70893GA0030069</v>
      </c>
      <c r="AT65" s="90" t="str">
        <f t="shared" si="41"/>
        <v>70893GA0030065</v>
      </c>
      <c r="AU65" s="90" t="str">
        <f t="shared" si="41"/>
        <v>70893GA0030066</v>
      </c>
      <c r="AV65" s="90" t="str">
        <f t="shared" si="41"/>
        <v>70893GA0040023</v>
      </c>
      <c r="AW65" s="90" t="str">
        <f t="shared" si="41"/>
        <v>70893GA0040024</v>
      </c>
      <c r="AX65" s="90" t="str">
        <f t="shared" si="41"/>
        <v>70893GA0040025</v>
      </c>
      <c r="AY65" s="90" t="str">
        <f t="shared" si="41"/>
        <v>70893GA0040026</v>
      </c>
      <c r="AZ65" s="90" t="str">
        <f t="shared" si="41"/>
        <v>70893GA0040028</v>
      </c>
      <c r="BA65" s="90" t="str">
        <f t="shared" si="41"/>
        <v>70893GA0040029</v>
      </c>
      <c r="BB65" s="90" t="str">
        <f t="shared" si="41"/>
        <v>70893GA0040027</v>
      </c>
      <c r="BC65" s="90" t="str">
        <f t="shared" si="41"/>
        <v>70893GA0040022</v>
      </c>
      <c r="BD65" s="90" t="str">
        <f t="shared" si="41"/>
        <v>70893GA0040021</v>
      </c>
      <c r="BE65" s="90" t="str">
        <f t="shared" si="41"/>
        <v>70893GA0040014</v>
      </c>
      <c r="BF65" s="90" t="str">
        <f t="shared" si="41"/>
        <v>70893GA0040011</v>
      </c>
      <c r="BG65" s="90" t="str">
        <f t="shared" si="41"/>
        <v>70893GA0040012</v>
      </c>
      <c r="BH65" s="90" t="str">
        <f t="shared" si="41"/>
        <v>70893GA0040018</v>
      </c>
      <c r="BI65" s="90" t="str">
        <f t="shared" si="41"/>
        <v>70893GA0050023</v>
      </c>
      <c r="BJ65" s="90" t="str">
        <f t="shared" si="41"/>
        <v>70893GA0050024</v>
      </c>
      <c r="BK65" s="90" t="str">
        <f t="shared" si="41"/>
        <v>70893GA0050027</v>
      </c>
      <c r="BL65" s="90" t="str">
        <f t="shared" si="41"/>
        <v>70893GA0050028</v>
      </c>
      <c r="BM65" s="90" t="str">
        <f t="shared" si="41"/>
        <v>70893GA0050025</v>
      </c>
      <c r="BN65" s="90" t="str">
        <f t="shared" si="41"/>
        <v>70893GA0050026</v>
      </c>
      <c r="BO65" s="90" t="str">
        <f t="shared" si="41"/>
        <v>70893GA0050022</v>
      </c>
      <c r="BP65" s="90" t="str">
        <f t="shared" si="41"/>
        <v>70893GA0050021</v>
      </c>
      <c r="BQ65" s="90" t="str">
        <f t="shared" ref="BQ65:CV65" si="42">IF(BQ13&lt;&gt;"",BQ13,"")</f>
        <v>70893GA0060014</v>
      </c>
      <c r="BR65" s="90" t="str">
        <f t="shared" si="42"/>
        <v>70893GA0060013</v>
      </c>
      <c r="BS65" s="90" t="str">
        <f t="shared" si="42"/>
        <v>70893GA0060010</v>
      </c>
      <c r="BT65" s="90" t="str">
        <f t="shared" si="42"/>
        <v>70893GA0060006</v>
      </c>
      <c r="BU65" s="90" t="str">
        <f t="shared" si="42"/>
        <v>70893GA0060007</v>
      </c>
      <c r="BV65" s="90" t="str">
        <f t="shared" si="42"/>
        <v>70893GA0060009</v>
      </c>
      <c r="BW65" s="90" t="str">
        <f t="shared" si="42"/>
        <v>70893GA0060011</v>
      </c>
      <c r="BX65" s="90" t="str">
        <f t="shared" si="42"/>
        <v>70893GA0060012</v>
      </c>
      <c r="BY65" s="90" t="str">
        <f t="shared" si="42"/>
        <v>70893GA0060008</v>
      </c>
      <c r="BZ65" s="90" t="str">
        <f t="shared" si="42"/>
        <v>70893GA0070014</v>
      </c>
      <c r="CA65" s="90" t="str">
        <f t="shared" si="42"/>
        <v>70893GA0070013</v>
      </c>
      <c r="CB65" s="90" t="str">
        <f t="shared" si="42"/>
        <v>70893GA0070010</v>
      </c>
      <c r="CC65" s="90" t="str">
        <f t="shared" si="42"/>
        <v>70893GA0070006</v>
      </c>
      <c r="CD65" s="90" t="str">
        <f t="shared" si="42"/>
        <v>70893GA0070007</v>
      </c>
      <c r="CE65" s="90" t="str">
        <f t="shared" si="42"/>
        <v>70893GA0070009</v>
      </c>
      <c r="CF65" s="90" t="str">
        <f t="shared" si="42"/>
        <v>70893GA0070011</v>
      </c>
      <c r="CG65" s="90" t="str">
        <f t="shared" si="42"/>
        <v>70893GA0070012</v>
      </c>
      <c r="CH65" s="90" t="str">
        <f t="shared" si="42"/>
        <v>70893GA0070008</v>
      </c>
      <c r="CI65" s="90" t="str">
        <f t="shared" si="42"/>
        <v>70893GA0090008</v>
      </c>
      <c r="CJ65" s="90" t="str">
        <f t="shared" si="42"/>
        <v>70893GA0090007</v>
      </c>
      <c r="CK65" s="90" t="str">
        <f t="shared" si="42"/>
        <v>70893GA0090001</v>
      </c>
      <c r="CL65" s="90" t="str">
        <f t="shared" si="42"/>
        <v>70893GA0090002</v>
      </c>
      <c r="CM65" s="90" t="str">
        <f t="shared" si="42"/>
        <v>70893GA0090003</v>
      </c>
      <c r="CN65" s="90" t="str">
        <f t="shared" si="42"/>
        <v>70893GA0090004</v>
      </c>
      <c r="CO65" s="90" t="str">
        <f t="shared" si="42"/>
        <v>70893GA0090005</v>
      </c>
      <c r="CP65" s="90" t="str">
        <f t="shared" si="42"/>
        <v>70893GA0090006</v>
      </c>
      <c r="CQ65" s="90" t="str">
        <f t="shared" si="42"/>
        <v>70893GA0100001</v>
      </c>
      <c r="CR65" s="90" t="str">
        <f t="shared" si="42"/>
        <v>70893GA0100002</v>
      </c>
      <c r="CS65" s="90" t="str">
        <f t="shared" si="42"/>
        <v>70893GA0100003</v>
      </c>
      <c r="CT65" s="90" t="str">
        <f t="shared" si="42"/>
        <v>70893GA0100004</v>
      </c>
      <c r="CU65" s="90" t="str">
        <f t="shared" si="42"/>
        <v>70893GA0100006</v>
      </c>
      <c r="CV65" s="90" t="str">
        <f t="shared" si="42"/>
        <v>70893GA0100005</v>
      </c>
    </row>
    <row r="66" spans="2:100" ht="15" customHeight="1">
      <c r="B66" s="146" t="s">
        <v>196</v>
      </c>
      <c r="C66" s="152" t="s">
        <v>86</v>
      </c>
      <c r="D66" s="159">
        <f>SUM(E66:CV66)</f>
        <v>2633375271.3922997</v>
      </c>
      <c r="E66" s="187">
        <v>186100641.83161578</v>
      </c>
      <c r="F66" s="187">
        <v>125850987.43526779</v>
      </c>
      <c r="G66" s="187">
        <v>175572616.49390623</v>
      </c>
      <c r="H66" s="187">
        <v>135466269.83516344</v>
      </c>
      <c r="I66" s="187">
        <v>41163201.915531486</v>
      </c>
      <c r="J66" s="187">
        <v>70103211.974010304</v>
      </c>
      <c r="K66" s="187">
        <v>566194441.2176739</v>
      </c>
      <c r="L66" s="187">
        <v>11987311.375401467</v>
      </c>
      <c r="M66" s="187">
        <v>91474976.852940753</v>
      </c>
      <c r="N66" s="187">
        <v>59240258.496698342</v>
      </c>
      <c r="O66" s="187">
        <v>31060806.148308616</v>
      </c>
      <c r="P66" s="187">
        <v>20621430.623896949</v>
      </c>
      <c r="Q66" s="187">
        <v>39897203.050599538</v>
      </c>
      <c r="R66" s="187">
        <v>3320439.0134592704</v>
      </c>
      <c r="S66" s="187">
        <v>206562204.53949344</v>
      </c>
      <c r="T66" s="187">
        <v>0</v>
      </c>
      <c r="U66" s="187">
        <v>0</v>
      </c>
      <c r="V66" s="187">
        <v>0</v>
      </c>
      <c r="W66" s="187">
        <v>0</v>
      </c>
      <c r="X66" s="187">
        <v>0</v>
      </c>
      <c r="Y66" s="187">
        <v>0</v>
      </c>
      <c r="Z66" s="187">
        <v>0</v>
      </c>
      <c r="AA66" s="187">
        <v>43742752.282443568</v>
      </c>
      <c r="AB66" s="187">
        <v>29153194.215440519</v>
      </c>
      <c r="AC66" s="187">
        <v>35471479.935637057</v>
      </c>
      <c r="AD66" s="187">
        <v>10758322.212783869</v>
      </c>
      <c r="AE66" s="187">
        <v>17723329.823032092</v>
      </c>
      <c r="AF66" s="187">
        <v>39846165.537485927</v>
      </c>
      <c r="AG66" s="187">
        <v>129368237.72195514</v>
      </c>
      <c r="AH66" s="187">
        <v>3131134.3053894024</v>
      </c>
      <c r="AI66" s="187">
        <v>23929662.797033992</v>
      </c>
      <c r="AJ66" s="187">
        <v>14984900.369367108</v>
      </c>
      <c r="AK66" s="187">
        <v>7858102.1528829671</v>
      </c>
      <c r="AL66" s="187">
        <v>5207917.904709232</v>
      </c>
      <c r="AM66" s="187">
        <v>10439230.0304405</v>
      </c>
      <c r="AN66" s="187">
        <v>839886.86138604709</v>
      </c>
      <c r="AO66" s="187">
        <v>45869775.646181703</v>
      </c>
      <c r="AP66" s="187">
        <v>0</v>
      </c>
      <c r="AQ66" s="187">
        <v>0</v>
      </c>
      <c r="AR66" s="187">
        <v>0</v>
      </c>
      <c r="AS66" s="187">
        <v>0</v>
      </c>
      <c r="AT66" s="187">
        <v>0</v>
      </c>
      <c r="AU66" s="187">
        <v>0</v>
      </c>
      <c r="AV66" s="187">
        <v>13952425.430402845</v>
      </c>
      <c r="AW66" s="187">
        <v>5141178.9524356397</v>
      </c>
      <c r="AX66" s="187">
        <v>2597254.817326128</v>
      </c>
      <c r="AY66" s="187">
        <v>5535892.544712916</v>
      </c>
      <c r="AZ66" s="187">
        <v>0</v>
      </c>
      <c r="BA66" s="187">
        <v>0</v>
      </c>
      <c r="BB66" s="187">
        <v>0</v>
      </c>
      <c r="BC66" s="187">
        <v>0</v>
      </c>
      <c r="BD66" s="187">
        <v>0</v>
      </c>
      <c r="BE66" s="187">
        <v>0</v>
      </c>
      <c r="BF66" s="187">
        <v>0</v>
      </c>
      <c r="BG66" s="187">
        <v>0</v>
      </c>
      <c r="BH66" s="187">
        <v>0</v>
      </c>
      <c r="BI66" s="187">
        <v>0</v>
      </c>
      <c r="BJ66" s="187">
        <v>0</v>
      </c>
      <c r="BK66" s="187">
        <v>0</v>
      </c>
      <c r="BL66" s="187">
        <v>0</v>
      </c>
      <c r="BM66" s="187">
        <v>0</v>
      </c>
      <c r="BN66" s="187">
        <v>0</v>
      </c>
      <c r="BO66" s="187">
        <v>0</v>
      </c>
      <c r="BP66" s="187">
        <v>0</v>
      </c>
      <c r="BQ66" s="187">
        <v>6912342.9721584478</v>
      </c>
      <c r="BR66" s="187">
        <v>73399582.278111666</v>
      </c>
      <c r="BS66" s="187">
        <v>0</v>
      </c>
      <c r="BT66" s="187">
        <v>0</v>
      </c>
      <c r="BU66" s="187">
        <v>0</v>
      </c>
      <c r="BV66" s="187">
        <v>0</v>
      </c>
      <c r="BW66" s="187">
        <v>0</v>
      </c>
      <c r="BX66" s="187">
        <v>0</v>
      </c>
      <c r="BY66" s="187">
        <v>0</v>
      </c>
      <c r="BZ66" s="187">
        <v>7251084.7226000894</v>
      </c>
      <c r="CA66" s="187">
        <v>87386272.56486252</v>
      </c>
      <c r="CB66" s="187">
        <v>0</v>
      </c>
      <c r="CC66" s="187">
        <v>0</v>
      </c>
      <c r="CD66" s="187">
        <v>0</v>
      </c>
      <c r="CE66" s="187">
        <v>0</v>
      </c>
      <c r="CF66" s="187">
        <v>0</v>
      </c>
      <c r="CG66" s="187">
        <v>0</v>
      </c>
      <c r="CH66" s="187">
        <v>0</v>
      </c>
      <c r="CI66" s="187">
        <v>1789041.2521017496</v>
      </c>
      <c r="CJ66" s="187">
        <v>8070756.2014281135</v>
      </c>
      <c r="CK66" s="187">
        <v>0</v>
      </c>
      <c r="CL66" s="187">
        <v>0</v>
      </c>
      <c r="CM66" s="187">
        <v>0</v>
      </c>
      <c r="CN66" s="187">
        <v>0</v>
      </c>
      <c r="CO66" s="187">
        <v>0</v>
      </c>
      <c r="CP66" s="187">
        <v>0</v>
      </c>
      <c r="CQ66" s="187">
        <v>18888636.136512771</v>
      </c>
      <c r="CR66" s="187">
        <v>217982740.50161377</v>
      </c>
      <c r="CS66" s="187">
        <v>1480811.4730431244</v>
      </c>
      <c r="CT66" s="187">
        <v>7209.246409447248</v>
      </c>
      <c r="CU66" s="187">
        <v>7825.5342408560491</v>
      </c>
      <c r="CV66" s="187">
        <v>32124.16420416877</v>
      </c>
    </row>
    <row r="67" spans="2:100" ht="15" customHeight="1">
      <c r="B67" s="146" t="s">
        <v>197</v>
      </c>
      <c r="C67" s="152" t="s">
        <v>87</v>
      </c>
      <c r="D67" s="159">
        <f>SUM(E67:CV67)</f>
        <v>255416022.61880705</v>
      </c>
      <c r="E67" s="187">
        <v>18050251.424403746</v>
      </c>
      <c r="F67" s="187">
        <v>12206524.076749003</v>
      </c>
      <c r="G67" s="187">
        <v>17029118.437016778</v>
      </c>
      <c r="H67" s="187">
        <v>13139128.409149943</v>
      </c>
      <c r="I67" s="187">
        <v>3992496.407836759</v>
      </c>
      <c r="J67" s="187">
        <v>6799442.4378937725</v>
      </c>
      <c r="K67" s="187">
        <v>54916264.22398819</v>
      </c>
      <c r="L67" s="187">
        <v>1162671.8860238385</v>
      </c>
      <c r="M67" s="187">
        <v>8872330.1273246221</v>
      </c>
      <c r="N67" s="187">
        <v>5745824.1400348395</v>
      </c>
      <c r="O67" s="187">
        <v>3012646.0333700422</v>
      </c>
      <c r="P67" s="187">
        <v>2000111.3581812691</v>
      </c>
      <c r="Q67" s="187">
        <v>3869704.7957814517</v>
      </c>
      <c r="R67" s="187">
        <v>322055.62776386365</v>
      </c>
      <c r="S67" s="187">
        <v>20034856.892597519</v>
      </c>
      <c r="T67" s="187">
        <v>0</v>
      </c>
      <c r="U67" s="187">
        <v>0</v>
      </c>
      <c r="V67" s="187">
        <v>0</v>
      </c>
      <c r="W67" s="187">
        <v>0</v>
      </c>
      <c r="X67" s="187">
        <v>0</v>
      </c>
      <c r="Y67" s="187">
        <v>0</v>
      </c>
      <c r="Z67" s="187">
        <v>0</v>
      </c>
      <c r="AA67" s="187">
        <v>4242691.8516912991</v>
      </c>
      <c r="AB67" s="187">
        <v>2827623.1625751266</v>
      </c>
      <c r="AC67" s="187">
        <v>3440445.5832734765</v>
      </c>
      <c r="AD67" s="187">
        <v>1043469.9146346867</v>
      </c>
      <c r="AE67" s="187">
        <v>1719019.1083425609</v>
      </c>
      <c r="AF67" s="187">
        <v>3864754.5713506811</v>
      </c>
      <c r="AG67" s="187">
        <v>12547668.800229892</v>
      </c>
      <c r="AH67" s="187">
        <v>303694.60792613425</v>
      </c>
      <c r="AI67" s="187">
        <v>2320983.0215334832</v>
      </c>
      <c r="AJ67" s="187">
        <v>1453413.6829116838</v>
      </c>
      <c r="AK67" s="187">
        <v>762172.11387440399</v>
      </c>
      <c r="AL67" s="187">
        <v>505125.75696923601</v>
      </c>
      <c r="AM67" s="187">
        <v>1012520.5634547435</v>
      </c>
      <c r="AN67" s="187">
        <v>81462.207044876501</v>
      </c>
      <c r="AO67" s="187">
        <v>4448995.8500181437</v>
      </c>
      <c r="AP67" s="187">
        <v>0</v>
      </c>
      <c r="AQ67" s="187">
        <v>0</v>
      </c>
      <c r="AR67" s="187">
        <v>0</v>
      </c>
      <c r="AS67" s="187">
        <v>0</v>
      </c>
      <c r="AT67" s="187">
        <v>0</v>
      </c>
      <c r="AU67" s="187">
        <v>0</v>
      </c>
      <c r="AV67" s="187">
        <v>1353271.9958423662</v>
      </c>
      <c r="AW67" s="187">
        <v>498652.62040998868</v>
      </c>
      <c r="AX67" s="187">
        <v>251912.6318134816</v>
      </c>
      <c r="AY67" s="187">
        <v>536936.63443118078</v>
      </c>
      <c r="AZ67" s="187">
        <v>0</v>
      </c>
      <c r="BA67" s="187">
        <v>0</v>
      </c>
      <c r="BB67" s="187">
        <v>0</v>
      </c>
      <c r="BC67" s="187">
        <v>0</v>
      </c>
      <c r="BD67" s="187">
        <v>0</v>
      </c>
      <c r="BE67" s="187">
        <v>0</v>
      </c>
      <c r="BF67" s="187">
        <v>0</v>
      </c>
      <c r="BG67" s="187">
        <v>0</v>
      </c>
      <c r="BH67" s="187">
        <v>0</v>
      </c>
      <c r="BI67" s="187">
        <v>0</v>
      </c>
      <c r="BJ67" s="187">
        <v>0</v>
      </c>
      <c r="BK67" s="187">
        <v>0</v>
      </c>
      <c r="BL67" s="187">
        <v>0</v>
      </c>
      <c r="BM67" s="187">
        <v>0</v>
      </c>
      <c r="BN67" s="187">
        <v>0</v>
      </c>
      <c r="BO67" s="187">
        <v>0</v>
      </c>
      <c r="BP67" s="187">
        <v>0</v>
      </c>
      <c r="BQ67" s="187">
        <v>670441.15136401285</v>
      </c>
      <c r="BR67" s="187">
        <v>7119163.5962485289</v>
      </c>
      <c r="BS67" s="187">
        <v>0</v>
      </c>
      <c r="BT67" s="187">
        <v>0</v>
      </c>
      <c r="BU67" s="187">
        <v>0</v>
      </c>
      <c r="BV67" s="187">
        <v>0</v>
      </c>
      <c r="BW67" s="187">
        <v>0</v>
      </c>
      <c r="BX67" s="187">
        <v>0</v>
      </c>
      <c r="BY67" s="187">
        <v>0</v>
      </c>
      <c r="BZ67" s="187">
        <v>703296.35112708807</v>
      </c>
      <c r="CA67" s="187">
        <v>8475759.0049819816</v>
      </c>
      <c r="CB67" s="187">
        <v>0</v>
      </c>
      <c r="CC67" s="187">
        <v>0</v>
      </c>
      <c r="CD67" s="187">
        <v>0</v>
      </c>
      <c r="CE67" s="187">
        <v>0</v>
      </c>
      <c r="CF67" s="187">
        <v>0</v>
      </c>
      <c r="CG67" s="187">
        <v>0</v>
      </c>
      <c r="CH67" s="187">
        <v>0</v>
      </c>
      <c r="CI67" s="187">
        <v>173522.4773608525</v>
      </c>
      <c r="CJ67" s="187">
        <v>782797.83017972601</v>
      </c>
      <c r="CK67" s="187">
        <v>0</v>
      </c>
      <c r="CL67" s="187">
        <v>0</v>
      </c>
      <c r="CM67" s="187">
        <v>0</v>
      </c>
      <c r="CN67" s="187">
        <v>0</v>
      </c>
      <c r="CO67" s="187">
        <v>0</v>
      </c>
      <c r="CP67" s="187">
        <v>0</v>
      </c>
      <c r="CQ67" s="187">
        <v>1832044.3603661566</v>
      </c>
      <c r="CR67" s="187">
        <v>21142556.164823759</v>
      </c>
      <c r="CS67" s="187">
        <v>143626.69111455584</v>
      </c>
      <c r="CT67" s="187">
        <v>699.23837441003286</v>
      </c>
      <c r="CU67" s="187">
        <v>759.01329080604705</v>
      </c>
      <c r="CV67" s="187">
        <v>3115.783132057792</v>
      </c>
    </row>
    <row r="68" spans="2:100" ht="15" customHeight="1">
      <c r="B68" s="146" t="s">
        <v>198</v>
      </c>
      <c r="C68" s="152" t="s">
        <v>111</v>
      </c>
      <c r="D68" s="159">
        <f>SUM(E68:CV68)</f>
        <v>273673523.89430892</v>
      </c>
      <c r="E68" s="187">
        <v>16322019.275471479</v>
      </c>
      <c r="F68" s="187">
        <v>10327827.220436871</v>
      </c>
      <c r="G68" s="187">
        <v>13967168.975915819</v>
      </c>
      <c r="H68" s="187">
        <v>33332592.182818368</v>
      </c>
      <c r="I68" s="187">
        <v>9347242.8824011758</v>
      </c>
      <c r="J68" s="187">
        <v>9320171.38070748</v>
      </c>
      <c r="K68" s="187">
        <v>37691110.667964041</v>
      </c>
      <c r="L68" s="187">
        <v>2143357.0760999583</v>
      </c>
      <c r="M68" s="187">
        <v>20149874.09309791</v>
      </c>
      <c r="N68" s="187">
        <v>8833239.518623136</v>
      </c>
      <c r="O68" s="187">
        <v>4831393.3674426042</v>
      </c>
      <c r="P68" s="187">
        <v>2152827.7817028649</v>
      </c>
      <c r="Q68" s="187">
        <v>9094177.8230863251</v>
      </c>
      <c r="R68" s="187">
        <v>437456.20757462643</v>
      </c>
      <c r="S68" s="187">
        <v>13202743.784987807</v>
      </c>
      <c r="T68" s="187">
        <v>0</v>
      </c>
      <c r="U68" s="187">
        <v>0</v>
      </c>
      <c r="V68" s="187">
        <v>0</v>
      </c>
      <c r="W68" s="187">
        <v>0</v>
      </c>
      <c r="X68" s="187">
        <v>0</v>
      </c>
      <c r="Y68" s="187">
        <v>0</v>
      </c>
      <c r="Z68" s="187">
        <v>0</v>
      </c>
      <c r="AA68" s="187">
        <v>3735451.5577600375</v>
      </c>
      <c r="AB68" s="187">
        <v>2329784.536128182</v>
      </c>
      <c r="AC68" s="187">
        <v>8451879.6338217035</v>
      </c>
      <c r="AD68" s="187">
        <v>2370105.8506597029</v>
      </c>
      <c r="AE68" s="187">
        <v>2290162.5417760164</v>
      </c>
      <c r="AF68" s="187">
        <v>3087220.097133033</v>
      </c>
      <c r="AG68" s="187">
        <v>8390804.4992418587</v>
      </c>
      <c r="AH68" s="187">
        <v>543473.96446516644</v>
      </c>
      <c r="AI68" s="187">
        <v>5109242.9156863242</v>
      </c>
      <c r="AJ68" s="187">
        <v>2170513.1206021458</v>
      </c>
      <c r="AK68" s="187">
        <v>1187175.1776588205</v>
      </c>
      <c r="AL68" s="187">
        <v>528995.15933325887</v>
      </c>
      <c r="AM68" s="187">
        <v>2305938.1612965604</v>
      </c>
      <c r="AN68" s="187">
        <v>107492.2101034103</v>
      </c>
      <c r="AO68" s="187">
        <v>2856817.2570262775</v>
      </c>
      <c r="AP68" s="187">
        <v>0</v>
      </c>
      <c r="AQ68" s="187">
        <v>0</v>
      </c>
      <c r="AR68" s="187">
        <v>0</v>
      </c>
      <c r="AS68" s="187">
        <v>0</v>
      </c>
      <c r="AT68" s="187">
        <v>0</v>
      </c>
      <c r="AU68" s="187">
        <v>0</v>
      </c>
      <c r="AV68" s="187">
        <v>2834628.4461398777</v>
      </c>
      <c r="AW68" s="187">
        <v>967666.78344609216</v>
      </c>
      <c r="AX68" s="187">
        <v>340689.52916964004</v>
      </c>
      <c r="AY68" s="187">
        <v>744832.77171856631</v>
      </c>
      <c r="AZ68" s="187">
        <v>0</v>
      </c>
      <c r="BA68" s="187">
        <v>0</v>
      </c>
      <c r="BB68" s="187">
        <v>0</v>
      </c>
      <c r="BC68" s="187">
        <v>0</v>
      </c>
      <c r="BD68" s="187">
        <v>0</v>
      </c>
      <c r="BE68" s="187">
        <v>0</v>
      </c>
      <c r="BF68" s="187">
        <v>0</v>
      </c>
      <c r="BG68" s="187">
        <v>0</v>
      </c>
      <c r="BH68" s="187">
        <v>0</v>
      </c>
      <c r="BI68" s="187">
        <v>0</v>
      </c>
      <c r="BJ68" s="187">
        <v>0</v>
      </c>
      <c r="BK68" s="187">
        <v>0</v>
      </c>
      <c r="BL68" s="187">
        <v>0</v>
      </c>
      <c r="BM68" s="187">
        <v>0</v>
      </c>
      <c r="BN68" s="187">
        <v>0</v>
      </c>
      <c r="BO68" s="187">
        <v>0</v>
      </c>
      <c r="BP68" s="187">
        <v>0</v>
      </c>
      <c r="BQ68" s="187">
        <v>910676.9706651764</v>
      </c>
      <c r="BR68" s="187">
        <v>5604475.8692986369</v>
      </c>
      <c r="BS68" s="187">
        <v>0</v>
      </c>
      <c r="BT68" s="187">
        <v>0</v>
      </c>
      <c r="BU68" s="187">
        <v>0</v>
      </c>
      <c r="BV68" s="187">
        <v>0</v>
      </c>
      <c r="BW68" s="187">
        <v>0</v>
      </c>
      <c r="BX68" s="187">
        <v>0</v>
      </c>
      <c r="BY68" s="187">
        <v>0</v>
      </c>
      <c r="BZ68" s="187">
        <v>955305.00957651623</v>
      </c>
      <c r="CA68" s="187">
        <v>6480590.0646715164</v>
      </c>
      <c r="CB68" s="187">
        <v>0</v>
      </c>
      <c r="CC68" s="187">
        <v>0</v>
      </c>
      <c r="CD68" s="187">
        <v>0</v>
      </c>
      <c r="CE68" s="187">
        <v>0</v>
      </c>
      <c r="CF68" s="187">
        <v>0</v>
      </c>
      <c r="CG68" s="187">
        <v>0</v>
      </c>
      <c r="CH68" s="187">
        <v>0</v>
      </c>
      <c r="CI68" s="187">
        <v>235699.9174406284</v>
      </c>
      <c r="CJ68" s="187">
        <v>667656.92400680296</v>
      </c>
      <c r="CK68" s="187">
        <v>0</v>
      </c>
      <c r="CL68" s="187">
        <v>0</v>
      </c>
      <c r="CM68" s="187">
        <v>0</v>
      </c>
      <c r="CN68" s="187">
        <v>0</v>
      </c>
      <c r="CO68" s="187">
        <v>0</v>
      </c>
      <c r="CP68" s="187">
        <v>0</v>
      </c>
      <c r="CQ68" s="187">
        <v>3999419.4287600163</v>
      </c>
      <c r="CR68" s="187">
        <v>13105544.533967555</v>
      </c>
      <c r="CS68" s="187">
        <v>201005.21365656052</v>
      </c>
      <c r="CT68" s="187">
        <v>1643.2773178312982</v>
      </c>
      <c r="CU68" s="187">
        <v>1030.9867211455903</v>
      </c>
      <c r="CV68" s="187">
        <v>4399.2467294249982</v>
      </c>
    </row>
    <row r="69" spans="2:100" ht="15" customHeight="1">
      <c r="B69" s="146" t="s">
        <v>199</v>
      </c>
      <c r="C69" s="152" t="s">
        <v>112</v>
      </c>
      <c r="D69" s="159">
        <f>SUM(E69:CV69)</f>
        <v>0</v>
      </c>
      <c r="E69" s="187">
        <v>0</v>
      </c>
      <c r="F69" s="187">
        <v>0</v>
      </c>
      <c r="G69" s="187">
        <v>0</v>
      </c>
      <c r="H69" s="187">
        <v>0</v>
      </c>
      <c r="I69" s="187">
        <v>0</v>
      </c>
      <c r="J69" s="187">
        <v>0</v>
      </c>
      <c r="K69" s="187">
        <v>0</v>
      </c>
      <c r="L69" s="187">
        <v>0</v>
      </c>
      <c r="M69" s="187">
        <v>0</v>
      </c>
      <c r="N69" s="187">
        <v>0</v>
      </c>
      <c r="O69" s="187">
        <v>0</v>
      </c>
      <c r="P69" s="187">
        <v>0</v>
      </c>
      <c r="Q69" s="187">
        <v>0</v>
      </c>
      <c r="R69" s="187">
        <v>0</v>
      </c>
      <c r="S69" s="187">
        <v>0</v>
      </c>
      <c r="T69" s="187">
        <v>0</v>
      </c>
      <c r="U69" s="187">
        <v>0</v>
      </c>
      <c r="V69" s="187">
        <v>0</v>
      </c>
      <c r="W69" s="187">
        <v>0</v>
      </c>
      <c r="X69" s="187">
        <v>0</v>
      </c>
      <c r="Y69" s="187">
        <v>0</v>
      </c>
      <c r="Z69" s="187">
        <v>0</v>
      </c>
      <c r="AA69" s="187">
        <v>0</v>
      </c>
      <c r="AB69" s="187">
        <v>0</v>
      </c>
      <c r="AC69" s="187">
        <v>0</v>
      </c>
      <c r="AD69" s="187">
        <v>0</v>
      </c>
      <c r="AE69" s="187">
        <v>0</v>
      </c>
      <c r="AF69" s="187">
        <v>0</v>
      </c>
      <c r="AG69" s="187">
        <v>0</v>
      </c>
      <c r="AH69" s="187">
        <v>0</v>
      </c>
      <c r="AI69" s="187">
        <v>0</v>
      </c>
      <c r="AJ69" s="187">
        <v>0</v>
      </c>
      <c r="AK69" s="187">
        <v>0</v>
      </c>
      <c r="AL69" s="187">
        <v>0</v>
      </c>
      <c r="AM69" s="187">
        <v>0</v>
      </c>
      <c r="AN69" s="187">
        <v>0</v>
      </c>
      <c r="AO69" s="187">
        <v>0</v>
      </c>
      <c r="AP69" s="187">
        <v>0</v>
      </c>
      <c r="AQ69" s="187">
        <v>0</v>
      </c>
      <c r="AR69" s="187">
        <v>0</v>
      </c>
      <c r="AS69" s="187">
        <v>0</v>
      </c>
      <c r="AT69" s="187">
        <v>0</v>
      </c>
      <c r="AU69" s="187">
        <v>0</v>
      </c>
      <c r="AV69" s="187">
        <v>0</v>
      </c>
      <c r="AW69" s="187">
        <v>0</v>
      </c>
      <c r="AX69" s="187">
        <v>0</v>
      </c>
      <c r="AY69" s="187">
        <v>0</v>
      </c>
      <c r="AZ69" s="187">
        <v>0</v>
      </c>
      <c r="BA69" s="187">
        <v>0</v>
      </c>
      <c r="BB69" s="187">
        <v>0</v>
      </c>
      <c r="BC69" s="187">
        <v>0</v>
      </c>
      <c r="BD69" s="187">
        <v>0</v>
      </c>
      <c r="BE69" s="187">
        <v>0</v>
      </c>
      <c r="BF69" s="187">
        <v>0</v>
      </c>
      <c r="BG69" s="187">
        <v>0</v>
      </c>
      <c r="BH69" s="187">
        <v>0</v>
      </c>
      <c r="BI69" s="187">
        <v>0</v>
      </c>
      <c r="BJ69" s="187">
        <v>0</v>
      </c>
      <c r="BK69" s="187">
        <v>0</v>
      </c>
      <c r="BL69" s="187">
        <v>0</v>
      </c>
      <c r="BM69" s="187">
        <v>0</v>
      </c>
      <c r="BN69" s="187">
        <v>0</v>
      </c>
      <c r="BO69" s="187">
        <v>0</v>
      </c>
      <c r="BP69" s="187">
        <v>0</v>
      </c>
      <c r="BQ69" s="187">
        <v>0</v>
      </c>
      <c r="BR69" s="187">
        <v>0</v>
      </c>
      <c r="BS69" s="187">
        <v>0</v>
      </c>
      <c r="BT69" s="187">
        <v>0</v>
      </c>
      <c r="BU69" s="187">
        <v>0</v>
      </c>
      <c r="BV69" s="187">
        <v>0</v>
      </c>
      <c r="BW69" s="187">
        <v>0</v>
      </c>
      <c r="BX69" s="187">
        <v>0</v>
      </c>
      <c r="BY69" s="187">
        <v>0</v>
      </c>
      <c r="BZ69" s="187">
        <v>0</v>
      </c>
      <c r="CA69" s="187">
        <v>0</v>
      </c>
      <c r="CB69" s="187">
        <v>0</v>
      </c>
      <c r="CC69" s="187">
        <v>0</v>
      </c>
      <c r="CD69" s="187">
        <v>0</v>
      </c>
      <c r="CE69" s="187">
        <v>0</v>
      </c>
      <c r="CF69" s="187">
        <v>0</v>
      </c>
      <c r="CG69" s="187">
        <v>0</v>
      </c>
      <c r="CH69" s="187">
        <v>0</v>
      </c>
      <c r="CI69" s="187">
        <v>0</v>
      </c>
      <c r="CJ69" s="187">
        <v>0</v>
      </c>
      <c r="CK69" s="187">
        <v>0</v>
      </c>
      <c r="CL69" s="187">
        <v>0</v>
      </c>
      <c r="CM69" s="187">
        <v>0</v>
      </c>
      <c r="CN69" s="187">
        <v>0</v>
      </c>
      <c r="CO69" s="187">
        <v>0</v>
      </c>
      <c r="CP69" s="187">
        <v>0</v>
      </c>
      <c r="CQ69" s="187">
        <v>0</v>
      </c>
      <c r="CR69" s="187">
        <v>0</v>
      </c>
      <c r="CS69" s="187">
        <v>0</v>
      </c>
      <c r="CT69" s="187">
        <v>0</v>
      </c>
      <c r="CU69" s="187">
        <v>0</v>
      </c>
      <c r="CV69" s="187">
        <v>0</v>
      </c>
    </row>
    <row r="70" spans="2:100" ht="15" customHeight="1">
      <c r="B70" s="146" t="s">
        <v>200</v>
      </c>
      <c r="C70" s="152" t="s">
        <v>113</v>
      </c>
      <c r="D70" s="159">
        <f t="shared" ref="D70:AI70" si="43">D66-D67-D68-D69</f>
        <v>2104285724.8791838</v>
      </c>
      <c r="E70" s="159">
        <f t="shared" si="43"/>
        <v>151728371.13174054</v>
      </c>
      <c r="F70" s="159">
        <f t="shared" si="43"/>
        <v>103316636.13808192</v>
      </c>
      <c r="G70" s="159">
        <f t="shared" si="43"/>
        <v>144576329.08097363</v>
      </c>
      <c r="H70" s="159">
        <f t="shared" si="43"/>
        <v>88994549.243195131</v>
      </c>
      <c r="I70" s="159">
        <f t="shared" si="43"/>
        <v>27823462.625293553</v>
      </c>
      <c r="J70" s="159">
        <f t="shared" si="43"/>
        <v>53983598.155409053</v>
      </c>
      <c r="K70" s="159">
        <f t="shared" si="43"/>
        <v>473587066.32572168</v>
      </c>
      <c r="L70" s="159">
        <f t="shared" si="43"/>
        <v>8681282.4132776707</v>
      </c>
      <c r="M70" s="159">
        <f t="shared" si="43"/>
        <v>62452772.632518217</v>
      </c>
      <c r="N70" s="159">
        <f t="shared" si="43"/>
        <v>44661194.838040367</v>
      </c>
      <c r="O70" s="159">
        <f t="shared" si="43"/>
        <v>23216766.747495968</v>
      </c>
      <c r="P70" s="159">
        <f t="shared" si="43"/>
        <v>16468491.484012816</v>
      </c>
      <c r="Q70" s="159">
        <f t="shared" si="43"/>
        <v>26933320.431731764</v>
      </c>
      <c r="R70" s="159">
        <f t="shared" si="43"/>
        <v>2560927.1781207803</v>
      </c>
      <c r="S70" s="159">
        <f t="shared" si="43"/>
        <v>173324603.86190811</v>
      </c>
      <c r="T70" s="159">
        <f t="shared" si="43"/>
        <v>0</v>
      </c>
      <c r="U70" s="159">
        <f t="shared" si="43"/>
        <v>0</v>
      </c>
      <c r="V70" s="159">
        <f t="shared" si="43"/>
        <v>0</v>
      </c>
      <c r="W70" s="159">
        <f t="shared" si="43"/>
        <v>0</v>
      </c>
      <c r="X70" s="159">
        <f t="shared" si="43"/>
        <v>0</v>
      </c>
      <c r="Y70" s="159">
        <f t="shared" si="43"/>
        <v>0</v>
      </c>
      <c r="Z70" s="159">
        <f t="shared" si="43"/>
        <v>0</v>
      </c>
      <c r="AA70" s="159">
        <f t="shared" si="43"/>
        <v>35764608.872992232</v>
      </c>
      <c r="AB70" s="159">
        <f t="shared" si="43"/>
        <v>23995786.516737211</v>
      </c>
      <c r="AC70" s="159">
        <f t="shared" si="43"/>
        <v>23579154.718541875</v>
      </c>
      <c r="AD70" s="159">
        <f t="shared" si="43"/>
        <v>7344746.4474894805</v>
      </c>
      <c r="AE70" s="159">
        <f t="shared" si="43"/>
        <v>13714148.172913514</v>
      </c>
      <c r="AF70" s="159">
        <f t="shared" si="43"/>
        <v>32894190.869002216</v>
      </c>
      <c r="AG70" s="159">
        <f t="shared" si="43"/>
        <v>108429764.42248338</v>
      </c>
      <c r="AH70" s="159">
        <f t="shared" si="43"/>
        <v>2283965.732998102</v>
      </c>
      <c r="AI70" s="159">
        <f t="shared" si="43"/>
        <v>16499436.859814186</v>
      </c>
      <c r="AJ70" s="159">
        <f t="shared" ref="AJ70:BO70" si="44">AJ66-AJ67-AJ68-AJ69</f>
        <v>11360973.565853279</v>
      </c>
      <c r="AK70" s="159">
        <f t="shared" si="44"/>
        <v>5908754.8613497429</v>
      </c>
      <c r="AL70" s="159">
        <f t="shared" si="44"/>
        <v>4173796.9884067373</v>
      </c>
      <c r="AM70" s="159">
        <f t="shared" si="44"/>
        <v>7120771.3056891961</v>
      </c>
      <c r="AN70" s="159">
        <f t="shared" si="44"/>
        <v>650932.44423776027</v>
      </c>
      <c r="AO70" s="159">
        <f t="shared" si="44"/>
        <v>38563962.539137281</v>
      </c>
      <c r="AP70" s="159">
        <f t="shared" si="44"/>
        <v>0</v>
      </c>
      <c r="AQ70" s="159">
        <f t="shared" si="44"/>
        <v>0</v>
      </c>
      <c r="AR70" s="159">
        <f t="shared" si="44"/>
        <v>0</v>
      </c>
      <c r="AS70" s="159">
        <f t="shared" si="44"/>
        <v>0</v>
      </c>
      <c r="AT70" s="159">
        <f t="shared" si="44"/>
        <v>0</v>
      </c>
      <c r="AU70" s="159">
        <f t="shared" si="44"/>
        <v>0</v>
      </c>
      <c r="AV70" s="159">
        <f t="shared" si="44"/>
        <v>9764524.9884206019</v>
      </c>
      <c r="AW70" s="159">
        <f t="shared" si="44"/>
        <v>3674859.5485795587</v>
      </c>
      <c r="AX70" s="159">
        <f t="shared" si="44"/>
        <v>2004652.6563430065</v>
      </c>
      <c r="AY70" s="159">
        <f t="shared" si="44"/>
        <v>4254123.1385631692</v>
      </c>
      <c r="AZ70" s="159">
        <f t="shared" si="44"/>
        <v>0</v>
      </c>
      <c r="BA70" s="159">
        <f t="shared" si="44"/>
        <v>0</v>
      </c>
      <c r="BB70" s="159">
        <f t="shared" si="44"/>
        <v>0</v>
      </c>
      <c r="BC70" s="159">
        <f t="shared" si="44"/>
        <v>0</v>
      </c>
      <c r="BD70" s="159">
        <f t="shared" si="44"/>
        <v>0</v>
      </c>
      <c r="BE70" s="159">
        <f t="shared" si="44"/>
        <v>0</v>
      </c>
      <c r="BF70" s="159">
        <f t="shared" si="44"/>
        <v>0</v>
      </c>
      <c r="BG70" s="159">
        <f t="shared" si="44"/>
        <v>0</v>
      </c>
      <c r="BH70" s="159">
        <f t="shared" si="44"/>
        <v>0</v>
      </c>
      <c r="BI70" s="159">
        <f t="shared" si="44"/>
        <v>0</v>
      </c>
      <c r="BJ70" s="159">
        <f t="shared" si="44"/>
        <v>0</v>
      </c>
      <c r="BK70" s="159">
        <f t="shared" si="44"/>
        <v>0</v>
      </c>
      <c r="BL70" s="159">
        <f t="shared" si="44"/>
        <v>0</v>
      </c>
      <c r="BM70" s="159">
        <f t="shared" si="44"/>
        <v>0</v>
      </c>
      <c r="BN70" s="159">
        <f t="shared" si="44"/>
        <v>0</v>
      </c>
      <c r="BO70" s="159">
        <f t="shared" si="44"/>
        <v>0</v>
      </c>
      <c r="BP70" s="159">
        <f t="shared" ref="BP70:CU70" si="45">BP66-BP67-BP68-BP69</f>
        <v>0</v>
      </c>
      <c r="BQ70" s="159">
        <f t="shared" si="45"/>
        <v>5331224.8501292588</v>
      </c>
      <c r="BR70" s="159">
        <f t="shared" si="45"/>
        <v>60675942.8125645</v>
      </c>
      <c r="BS70" s="159">
        <f t="shared" si="45"/>
        <v>0</v>
      </c>
      <c r="BT70" s="159">
        <f t="shared" si="45"/>
        <v>0</v>
      </c>
      <c r="BU70" s="159">
        <f t="shared" si="45"/>
        <v>0</v>
      </c>
      <c r="BV70" s="159">
        <f t="shared" si="45"/>
        <v>0</v>
      </c>
      <c r="BW70" s="159">
        <f t="shared" si="45"/>
        <v>0</v>
      </c>
      <c r="BX70" s="159">
        <f t="shared" si="45"/>
        <v>0</v>
      </c>
      <c r="BY70" s="159">
        <f t="shared" si="45"/>
        <v>0</v>
      </c>
      <c r="BZ70" s="159">
        <f t="shared" si="45"/>
        <v>5592483.3618964851</v>
      </c>
      <c r="CA70" s="159">
        <f t="shared" si="45"/>
        <v>72429923.495209023</v>
      </c>
      <c r="CB70" s="159">
        <f t="shared" si="45"/>
        <v>0</v>
      </c>
      <c r="CC70" s="159">
        <f t="shared" si="45"/>
        <v>0</v>
      </c>
      <c r="CD70" s="159">
        <f t="shared" si="45"/>
        <v>0</v>
      </c>
      <c r="CE70" s="159">
        <f t="shared" si="45"/>
        <v>0</v>
      </c>
      <c r="CF70" s="159">
        <f t="shared" si="45"/>
        <v>0</v>
      </c>
      <c r="CG70" s="159">
        <f t="shared" si="45"/>
        <v>0</v>
      </c>
      <c r="CH70" s="159">
        <f t="shared" si="45"/>
        <v>0</v>
      </c>
      <c r="CI70" s="159">
        <f t="shared" si="45"/>
        <v>1379818.8573002687</v>
      </c>
      <c r="CJ70" s="159">
        <f t="shared" si="45"/>
        <v>6620301.4472415848</v>
      </c>
      <c r="CK70" s="159">
        <f t="shared" si="45"/>
        <v>0</v>
      </c>
      <c r="CL70" s="159">
        <f t="shared" si="45"/>
        <v>0</v>
      </c>
      <c r="CM70" s="159">
        <f t="shared" si="45"/>
        <v>0</v>
      </c>
      <c r="CN70" s="159">
        <f t="shared" si="45"/>
        <v>0</v>
      </c>
      <c r="CO70" s="159">
        <f t="shared" si="45"/>
        <v>0</v>
      </c>
      <c r="CP70" s="159">
        <f t="shared" si="45"/>
        <v>0</v>
      </c>
      <c r="CQ70" s="159">
        <f t="shared" si="45"/>
        <v>13057172.347386597</v>
      </c>
      <c r="CR70" s="159">
        <f t="shared" si="45"/>
        <v>183734639.80282244</v>
      </c>
      <c r="CS70" s="159">
        <f t="shared" si="45"/>
        <v>1136179.5682720081</v>
      </c>
      <c r="CT70" s="159">
        <f t="shared" si="45"/>
        <v>4866.7307172059172</v>
      </c>
      <c r="CU70" s="159">
        <f t="shared" si="45"/>
        <v>6035.534228904412</v>
      </c>
      <c r="CV70" s="159">
        <f t="shared" ref="CV70:EA70" si="46">CV66-CV67-CV68-CV69</f>
        <v>24609.134342685978</v>
      </c>
    </row>
    <row r="71" spans="2:100" ht="15" customHeight="1">
      <c r="B71" s="146" t="s">
        <v>201</v>
      </c>
      <c r="C71" s="152" t="s">
        <v>114</v>
      </c>
      <c r="D71" s="159">
        <f>SUM(E71:CV71)</f>
        <v>279237121.7600013</v>
      </c>
      <c r="E71" s="187">
        <v>19268500.517451104</v>
      </c>
      <c r="F71" s="187">
        <v>12954842.267196175</v>
      </c>
      <c r="G71" s="187">
        <v>17990162.882064197</v>
      </c>
      <c r="H71" s="187">
        <v>16946713.318522353</v>
      </c>
      <c r="I71" s="187">
        <v>4845207.828585567</v>
      </c>
      <c r="J71" s="187">
        <v>7751312.3759395098</v>
      </c>
      <c r="K71" s="187">
        <v>57128267.728345834</v>
      </c>
      <c r="L71" s="187">
        <v>1383173.306538448</v>
      </c>
      <c r="M71" s="187">
        <v>11098959.957519978</v>
      </c>
      <c r="N71" s="187">
        <v>6673548.253612956</v>
      </c>
      <c r="O71" s="187">
        <v>3518247.5511309416</v>
      </c>
      <c r="P71" s="187">
        <v>2193733.9385399371</v>
      </c>
      <c r="Q71" s="187">
        <v>4874153.3317402005</v>
      </c>
      <c r="R71" s="187">
        <v>373704.31961413252</v>
      </c>
      <c r="S71" s="187">
        <v>20767279.50374756</v>
      </c>
      <c r="T71" s="187">
        <v>0</v>
      </c>
      <c r="U71" s="187">
        <v>0</v>
      </c>
      <c r="V71" s="187">
        <v>0</v>
      </c>
      <c r="W71" s="187">
        <v>0</v>
      </c>
      <c r="X71" s="187">
        <v>0</v>
      </c>
      <c r="Y71" s="187">
        <v>0</v>
      </c>
      <c r="Z71" s="187">
        <v>0</v>
      </c>
      <c r="AA71" s="187">
        <v>4409782.2125341007</v>
      </c>
      <c r="AB71" s="187">
        <v>2922395.0534696039</v>
      </c>
      <c r="AC71" s="187">
        <v>4297042.9773794906</v>
      </c>
      <c r="AD71" s="187">
        <v>1228560.7174939336</v>
      </c>
      <c r="AE71" s="187">
        <v>1904660.8187621126</v>
      </c>
      <c r="AF71" s="187">
        <v>3976438.7826892156</v>
      </c>
      <c r="AG71" s="187">
        <v>12717909.273401365</v>
      </c>
      <c r="AH71" s="187">
        <v>350720.22708165238</v>
      </c>
      <c r="AI71" s="187">
        <v>2814274.7826831122</v>
      </c>
      <c r="AJ71" s="187">
        <v>1639831.4587643265</v>
      </c>
      <c r="AK71" s="187">
        <v>864507.57450380782</v>
      </c>
      <c r="AL71" s="187">
        <v>539046.66421332967</v>
      </c>
      <c r="AM71" s="187">
        <v>1235900.1979418199</v>
      </c>
      <c r="AN71" s="187">
        <v>91827.027585753443</v>
      </c>
      <c r="AO71" s="187">
        <v>4493635.825551155</v>
      </c>
      <c r="AP71" s="187">
        <v>0</v>
      </c>
      <c r="AQ71" s="187">
        <v>0</v>
      </c>
      <c r="AR71" s="187">
        <v>0</v>
      </c>
      <c r="AS71" s="187">
        <v>0</v>
      </c>
      <c r="AT71" s="187">
        <v>0</v>
      </c>
      <c r="AU71" s="187">
        <v>0</v>
      </c>
      <c r="AV71" s="187">
        <v>1620587.7160778821</v>
      </c>
      <c r="AW71" s="187">
        <v>608992.15518980636</v>
      </c>
      <c r="AX71" s="187">
        <v>286848.08433293551</v>
      </c>
      <c r="AY71" s="187">
        <v>616931.24224648729</v>
      </c>
      <c r="AZ71" s="187">
        <v>0</v>
      </c>
      <c r="BA71" s="187">
        <v>0</v>
      </c>
      <c r="BB71" s="187">
        <v>0</v>
      </c>
      <c r="BC71" s="187">
        <v>0</v>
      </c>
      <c r="BD71" s="187">
        <v>0</v>
      </c>
      <c r="BE71" s="187">
        <v>0</v>
      </c>
      <c r="BF71" s="187">
        <v>0</v>
      </c>
      <c r="BG71" s="187">
        <v>0</v>
      </c>
      <c r="BH71" s="187">
        <v>0</v>
      </c>
      <c r="BI71" s="187">
        <v>0</v>
      </c>
      <c r="BJ71" s="187">
        <v>0</v>
      </c>
      <c r="BK71" s="187">
        <v>0</v>
      </c>
      <c r="BL71" s="187">
        <v>0</v>
      </c>
      <c r="BM71" s="187">
        <v>0</v>
      </c>
      <c r="BN71" s="187">
        <v>0</v>
      </c>
      <c r="BO71" s="187">
        <v>0</v>
      </c>
      <c r="BP71" s="187">
        <v>0</v>
      </c>
      <c r="BQ71" s="187">
        <v>823374.45132771612</v>
      </c>
      <c r="BR71" s="187">
        <v>7915878.3195635369</v>
      </c>
      <c r="BS71" s="187">
        <v>0</v>
      </c>
      <c r="BT71" s="187">
        <v>0</v>
      </c>
      <c r="BU71" s="187">
        <v>0</v>
      </c>
      <c r="BV71" s="187">
        <v>0</v>
      </c>
      <c r="BW71" s="187">
        <v>0</v>
      </c>
      <c r="BX71" s="187">
        <v>0</v>
      </c>
      <c r="BY71" s="187">
        <v>0</v>
      </c>
      <c r="BZ71" s="187">
        <v>852126.64227986545</v>
      </c>
      <c r="CA71" s="187">
        <v>9272401.7453469094</v>
      </c>
      <c r="CB71" s="187">
        <v>0</v>
      </c>
      <c r="CC71" s="187">
        <v>0</v>
      </c>
      <c r="CD71" s="187">
        <v>0</v>
      </c>
      <c r="CE71" s="187">
        <v>0</v>
      </c>
      <c r="CF71" s="187">
        <v>0</v>
      </c>
      <c r="CG71" s="187">
        <v>0</v>
      </c>
      <c r="CH71" s="187">
        <v>0</v>
      </c>
      <c r="CI71" s="187">
        <v>209379.22067355161</v>
      </c>
      <c r="CJ71" s="187">
        <v>861779.8335918634</v>
      </c>
      <c r="CK71" s="187">
        <v>0</v>
      </c>
      <c r="CL71" s="187">
        <v>0</v>
      </c>
      <c r="CM71" s="187">
        <v>0</v>
      </c>
      <c r="CN71" s="187">
        <v>0</v>
      </c>
      <c r="CO71" s="187">
        <v>0</v>
      </c>
      <c r="CP71" s="187">
        <v>0</v>
      </c>
      <c r="CQ71" s="187">
        <v>2328776.2911035381</v>
      </c>
      <c r="CR71" s="187">
        <v>22412220.044356193</v>
      </c>
      <c r="CS71" s="187">
        <v>168200.91287352768</v>
      </c>
      <c r="CT71" s="187">
        <v>880.73773896827947</v>
      </c>
      <c r="CU71" s="187">
        <v>880.73773896828675</v>
      </c>
      <c r="CV71" s="187">
        <v>3522.9509558731625</v>
      </c>
    </row>
    <row r="72" spans="2:100" ht="15" customHeight="1">
      <c r="B72" s="146" t="s">
        <v>202</v>
      </c>
      <c r="C72" s="152" t="s">
        <v>115</v>
      </c>
      <c r="D72" s="159">
        <f>SUM(E72:CV72)</f>
        <v>2360026422.9739199</v>
      </c>
      <c r="E72" s="187">
        <v>168218529.00531802</v>
      </c>
      <c r="F72" s="187">
        <v>112074410.00857927</v>
      </c>
      <c r="G72" s="187">
        <v>152358071.5153884</v>
      </c>
      <c r="H72" s="187">
        <v>124634286.57565868</v>
      </c>
      <c r="I72" s="187">
        <v>39353396.690136358</v>
      </c>
      <c r="J72" s="187">
        <v>71313071.471196279</v>
      </c>
      <c r="K72" s="187">
        <v>491044440.07478958</v>
      </c>
      <c r="L72" s="187">
        <v>12526547.825457359</v>
      </c>
      <c r="M72" s="187">
        <v>88315470.462115094</v>
      </c>
      <c r="N72" s="187">
        <v>58786840.785881497</v>
      </c>
      <c r="O72" s="187">
        <v>30551468.512483831</v>
      </c>
      <c r="P72" s="187">
        <v>22050615.735742446</v>
      </c>
      <c r="Q72" s="187">
        <v>38130088.268958233</v>
      </c>
      <c r="R72" s="187">
        <v>3305594.0508471476</v>
      </c>
      <c r="S72" s="187">
        <v>175095812.4515394</v>
      </c>
      <c r="T72" s="187">
        <v>0</v>
      </c>
      <c r="U72" s="187">
        <v>0</v>
      </c>
      <c r="V72" s="187">
        <v>0</v>
      </c>
      <c r="W72" s="187">
        <v>0</v>
      </c>
      <c r="X72" s="187">
        <v>0</v>
      </c>
      <c r="Y72" s="187">
        <v>0</v>
      </c>
      <c r="Z72" s="187">
        <v>0</v>
      </c>
      <c r="AA72" s="187">
        <v>39874899.266727135</v>
      </c>
      <c r="AB72" s="187">
        <v>26186038.464816734</v>
      </c>
      <c r="AC72" s="187">
        <v>32732433.358577713</v>
      </c>
      <c r="AD72" s="187">
        <v>10335297.533168064</v>
      </c>
      <c r="AE72" s="187">
        <v>18149643.393041138</v>
      </c>
      <c r="AF72" s="187">
        <v>34880380.829189532</v>
      </c>
      <c r="AG72" s="187">
        <v>113224916.95485879</v>
      </c>
      <c r="AH72" s="187">
        <v>3289820.1865256168</v>
      </c>
      <c r="AI72" s="187">
        <v>23194101.164752867</v>
      </c>
      <c r="AJ72" s="187">
        <v>14961635.706550399</v>
      </c>
      <c r="AK72" s="187">
        <v>7775548.6784672793</v>
      </c>
      <c r="AL72" s="187">
        <v>5612026.0135247754</v>
      </c>
      <c r="AM72" s="187">
        <v>10014022.685986271</v>
      </c>
      <c r="AN72" s="187">
        <v>841295.31917954562</v>
      </c>
      <c r="AO72" s="187">
        <v>39241949.145085074</v>
      </c>
      <c r="AP72" s="187">
        <v>0</v>
      </c>
      <c r="AQ72" s="187">
        <v>0</v>
      </c>
      <c r="AR72" s="187">
        <v>0</v>
      </c>
      <c r="AS72" s="187">
        <v>0</v>
      </c>
      <c r="AT72" s="187">
        <v>0</v>
      </c>
      <c r="AU72" s="187">
        <v>0</v>
      </c>
      <c r="AV72" s="187">
        <v>12191162.136653194</v>
      </c>
      <c r="AW72" s="187">
        <v>4583480.6730135996</v>
      </c>
      <c r="AX72" s="187">
        <v>2645287.1974844798</v>
      </c>
      <c r="AY72" s="187">
        <v>5739435.6378571503</v>
      </c>
      <c r="AZ72" s="187">
        <v>0</v>
      </c>
      <c r="BA72" s="187">
        <v>0</v>
      </c>
      <c r="BB72" s="187">
        <v>0</v>
      </c>
      <c r="BC72" s="187">
        <v>0</v>
      </c>
      <c r="BD72" s="187">
        <v>0</v>
      </c>
      <c r="BE72" s="187">
        <v>0</v>
      </c>
      <c r="BF72" s="187">
        <v>0</v>
      </c>
      <c r="BG72" s="187">
        <v>0</v>
      </c>
      <c r="BH72" s="187">
        <v>0</v>
      </c>
      <c r="BI72" s="187">
        <v>0</v>
      </c>
      <c r="BJ72" s="187">
        <v>0</v>
      </c>
      <c r="BK72" s="187">
        <v>0</v>
      </c>
      <c r="BL72" s="187">
        <v>0</v>
      </c>
      <c r="BM72" s="187">
        <v>0</v>
      </c>
      <c r="BN72" s="187">
        <v>0</v>
      </c>
      <c r="BO72" s="187">
        <v>0</v>
      </c>
      <c r="BP72" s="187">
        <v>0</v>
      </c>
      <c r="BQ72" s="187">
        <v>6744194.7649611933</v>
      </c>
      <c r="BR72" s="187">
        <v>61802576.056860223</v>
      </c>
      <c r="BS72" s="187">
        <v>0</v>
      </c>
      <c r="BT72" s="187">
        <v>0</v>
      </c>
      <c r="BU72" s="187">
        <v>0</v>
      </c>
      <c r="BV72" s="187">
        <v>0</v>
      </c>
      <c r="BW72" s="187">
        <v>0</v>
      </c>
      <c r="BX72" s="187">
        <v>0</v>
      </c>
      <c r="BY72" s="187">
        <v>0</v>
      </c>
      <c r="BZ72" s="187">
        <v>7074696.3545385636</v>
      </c>
      <c r="CA72" s="187">
        <v>73378807.905950814</v>
      </c>
      <c r="CB72" s="187">
        <v>0</v>
      </c>
      <c r="CC72" s="187">
        <v>0</v>
      </c>
      <c r="CD72" s="187">
        <v>0</v>
      </c>
      <c r="CE72" s="187">
        <v>0</v>
      </c>
      <c r="CF72" s="187">
        <v>0</v>
      </c>
      <c r="CG72" s="187">
        <v>0</v>
      </c>
      <c r="CH72" s="187">
        <v>0</v>
      </c>
      <c r="CI72" s="187">
        <v>1745521.4093574728</v>
      </c>
      <c r="CJ72" s="187">
        <v>6847983.0898820693</v>
      </c>
      <c r="CK72" s="187">
        <v>0</v>
      </c>
      <c r="CL72" s="187">
        <v>0</v>
      </c>
      <c r="CM72" s="187">
        <v>0</v>
      </c>
      <c r="CN72" s="187">
        <v>0</v>
      </c>
      <c r="CO72" s="187">
        <v>0</v>
      </c>
      <c r="CP72" s="187">
        <v>0</v>
      </c>
      <c r="CQ72" s="187">
        <v>18510275.484077007</v>
      </c>
      <c r="CR72" s="187">
        <v>189144217.584187</v>
      </c>
      <c r="CS72" s="187">
        <v>1501748.8934681127</v>
      </c>
      <c r="CT72" s="187">
        <v>6889.9366603785775</v>
      </c>
      <c r="CU72" s="187">
        <v>7790.5479746561559</v>
      </c>
      <c r="CV72" s="187">
        <v>29703.166451543362</v>
      </c>
    </row>
    <row r="73" spans="2:100" ht="15" customHeight="1">
      <c r="B73" s="146" t="s">
        <v>203</v>
      </c>
      <c r="C73" s="152" t="s">
        <v>4</v>
      </c>
      <c r="D73" s="176">
        <f>SUM(E73:CV73)</f>
        <v>3804589</v>
      </c>
      <c r="E73" s="218">
        <v>262532</v>
      </c>
      <c r="F73" s="218">
        <v>176509</v>
      </c>
      <c r="G73" s="218">
        <v>245115</v>
      </c>
      <c r="H73" s="218">
        <v>230898</v>
      </c>
      <c r="I73" s="218">
        <v>66016</v>
      </c>
      <c r="J73" s="218">
        <v>105611</v>
      </c>
      <c r="K73" s="218">
        <v>778369</v>
      </c>
      <c r="L73" s="218">
        <v>18846</v>
      </c>
      <c r="M73" s="218">
        <v>151223</v>
      </c>
      <c r="N73" s="218">
        <v>90927</v>
      </c>
      <c r="O73" s="218">
        <v>47936</v>
      </c>
      <c r="P73" s="218">
        <v>29889</v>
      </c>
      <c r="Q73" s="218">
        <v>66410</v>
      </c>
      <c r="R73" s="218">
        <v>5092</v>
      </c>
      <c r="S73" s="218">
        <v>282953</v>
      </c>
      <c r="T73" s="218">
        <v>0</v>
      </c>
      <c r="U73" s="218">
        <v>0</v>
      </c>
      <c r="V73" s="218">
        <v>0</v>
      </c>
      <c r="W73" s="218">
        <v>0</v>
      </c>
      <c r="X73" s="218">
        <v>0</v>
      </c>
      <c r="Y73" s="218">
        <v>0</v>
      </c>
      <c r="Z73" s="218">
        <v>0</v>
      </c>
      <c r="AA73" s="218">
        <v>60083</v>
      </c>
      <c r="AB73" s="218">
        <v>39817</v>
      </c>
      <c r="AC73" s="218">
        <v>58547</v>
      </c>
      <c r="AD73" s="218">
        <v>16739</v>
      </c>
      <c r="AE73" s="218">
        <v>25951</v>
      </c>
      <c r="AF73" s="218">
        <v>54179</v>
      </c>
      <c r="AG73" s="218">
        <v>173281</v>
      </c>
      <c r="AH73" s="218">
        <v>4779</v>
      </c>
      <c r="AI73" s="218">
        <v>38344</v>
      </c>
      <c r="AJ73" s="218">
        <v>22343</v>
      </c>
      <c r="AK73" s="218">
        <v>11779</v>
      </c>
      <c r="AL73" s="218">
        <v>7344</v>
      </c>
      <c r="AM73" s="218">
        <v>16839</v>
      </c>
      <c r="AN73" s="218">
        <v>1251</v>
      </c>
      <c r="AO73" s="218">
        <v>61226</v>
      </c>
      <c r="AP73" s="218">
        <v>0</v>
      </c>
      <c r="AQ73" s="218">
        <v>0</v>
      </c>
      <c r="AR73" s="218">
        <v>0</v>
      </c>
      <c r="AS73" s="218">
        <v>0</v>
      </c>
      <c r="AT73" s="218">
        <v>0</v>
      </c>
      <c r="AU73" s="218">
        <v>0</v>
      </c>
      <c r="AV73" s="218">
        <v>22080</v>
      </c>
      <c r="AW73" s="218">
        <v>8297</v>
      </c>
      <c r="AX73" s="218">
        <v>3908</v>
      </c>
      <c r="AY73" s="218">
        <v>8406</v>
      </c>
      <c r="AZ73" s="218">
        <v>0</v>
      </c>
      <c r="BA73" s="218">
        <v>0</v>
      </c>
      <c r="BB73" s="218">
        <v>0</v>
      </c>
      <c r="BC73" s="218">
        <v>0</v>
      </c>
      <c r="BD73" s="218">
        <v>0</v>
      </c>
      <c r="BE73" s="218">
        <v>0</v>
      </c>
      <c r="BF73" s="218">
        <v>0</v>
      </c>
      <c r="BG73" s="218">
        <v>0</v>
      </c>
      <c r="BH73" s="218">
        <v>0</v>
      </c>
      <c r="BI73" s="218">
        <v>0</v>
      </c>
      <c r="BJ73" s="218">
        <v>0</v>
      </c>
      <c r="BK73" s="218">
        <v>0</v>
      </c>
      <c r="BL73" s="218">
        <v>0</v>
      </c>
      <c r="BM73" s="218">
        <v>0</v>
      </c>
      <c r="BN73" s="218">
        <v>0</v>
      </c>
      <c r="BO73" s="218">
        <v>0</v>
      </c>
      <c r="BP73" s="218">
        <v>0</v>
      </c>
      <c r="BQ73" s="218">
        <v>11218</v>
      </c>
      <c r="BR73" s="218">
        <v>107853</v>
      </c>
      <c r="BS73" s="218">
        <v>0</v>
      </c>
      <c r="BT73" s="218">
        <v>0</v>
      </c>
      <c r="BU73" s="218">
        <v>0</v>
      </c>
      <c r="BV73" s="218">
        <v>0</v>
      </c>
      <c r="BW73" s="218">
        <v>0</v>
      </c>
      <c r="BX73" s="218">
        <v>0</v>
      </c>
      <c r="BY73" s="218">
        <v>0</v>
      </c>
      <c r="BZ73" s="218">
        <v>11610</v>
      </c>
      <c r="CA73" s="218">
        <v>126336</v>
      </c>
      <c r="CB73" s="218">
        <v>0</v>
      </c>
      <c r="CC73" s="218">
        <v>0</v>
      </c>
      <c r="CD73" s="218">
        <v>0</v>
      </c>
      <c r="CE73" s="218">
        <v>0</v>
      </c>
      <c r="CF73" s="218">
        <v>0</v>
      </c>
      <c r="CG73" s="218">
        <v>0</v>
      </c>
      <c r="CH73" s="218">
        <v>0</v>
      </c>
      <c r="CI73" s="218">
        <v>2853</v>
      </c>
      <c r="CJ73" s="218">
        <v>11742</v>
      </c>
      <c r="CK73" s="218">
        <v>0</v>
      </c>
      <c r="CL73" s="218">
        <v>0</v>
      </c>
      <c r="CM73" s="218">
        <v>0</v>
      </c>
      <c r="CN73" s="218">
        <v>0</v>
      </c>
      <c r="CO73" s="218">
        <v>0</v>
      </c>
      <c r="CP73" s="218">
        <v>0</v>
      </c>
      <c r="CQ73" s="218">
        <v>31729</v>
      </c>
      <c r="CR73" s="218">
        <v>305365</v>
      </c>
      <c r="CS73" s="218">
        <v>2292</v>
      </c>
      <c r="CT73" s="218">
        <v>12</v>
      </c>
      <c r="CU73" s="218">
        <v>12</v>
      </c>
      <c r="CV73" s="218">
        <v>48</v>
      </c>
    </row>
    <row r="74" spans="2:100" ht="15" customHeight="1">
      <c r="B74" s="148" t="s">
        <v>204</v>
      </c>
      <c r="C74" s="170" t="s">
        <v>118</v>
      </c>
      <c r="D74" s="89">
        <f t="shared" ref="D74:AI74" si="47">D70/(D71+D72)</f>
        <v>0.79730034125535898</v>
      </c>
      <c r="E74" s="89">
        <f t="shared" si="47"/>
        <v>0.8092739616065765</v>
      </c>
      <c r="F74" s="89">
        <f t="shared" si="47"/>
        <v>0.82633971056787348</v>
      </c>
      <c r="G74" s="89">
        <f t="shared" si="47"/>
        <v>0.84871046414048212</v>
      </c>
      <c r="H74" s="89">
        <f t="shared" si="47"/>
        <v>0.62857692281952016</v>
      </c>
      <c r="I74" s="89">
        <f t="shared" si="47"/>
        <v>0.62950997951774512</v>
      </c>
      <c r="J74" s="89">
        <f t="shared" si="47"/>
        <v>0.68278022958835316</v>
      </c>
      <c r="K74" s="89">
        <f t="shared" si="47"/>
        <v>0.86393769624846128</v>
      </c>
      <c r="L74" s="89">
        <f t="shared" si="47"/>
        <v>0.62411620843415538</v>
      </c>
      <c r="M74" s="89">
        <f t="shared" si="47"/>
        <v>0.62820631138659466</v>
      </c>
      <c r="N74" s="89">
        <f t="shared" si="47"/>
        <v>0.68226289964599451</v>
      </c>
      <c r="O74" s="89">
        <f t="shared" si="47"/>
        <v>0.68144878883480453</v>
      </c>
      <c r="P74" s="89">
        <f t="shared" si="47"/>
        <v>0.67927132322637862</v>
      </c>
      <c r="Q74" s="89">
        <f t="shared" si="47"/>
        <v>0.62629451024417881</v>
      </c>
      <c r="R74" s="89">
        <f t="shared" si="47"/>
        <v>0.6960368310112649</v>
      </c>
      <c r="S74" s="89">
        <f t="shared" si="47"/>
        <v>0.88492733435187421</v>
      </c>
      <c r="T74" s="89" t="e">
        <f t="shared" si="47"/>
        <v>#DIV/0!</v>
      </c>
      <c r="U74" s="89" t="e">
        <f t="shared" si="47"/>
        <v>#DIV/0!</v>
      </c>
      <c r="V74" s="89" t="e">
        <f t="shared" si="47"/>
        <v>#DIV/0!</v>
      </c>
      <c r="W74" s="89" t="e">
        <f t="shared" si="47"/>
        <v>#DIV/0!</v>
      </c>
      <c r="X74" s="89" t="e">
        <f t="shared" si="47"/>
        <v>#DIV/0!</v>
      </c>
      <c r="Y74" s="89" t="e">
        <f t="shared" si="47"/>
        <v>#DIV/0!</v>
      </c>
      <c r="Z74" s="89" t="e">
        <f t="shared" si="47"/>
        <v>#DIV/0!</v>
      </c>
      <c r="AA74" s="89">
        <f t="shared" si="47"/>
        <v>0.80760677684316184</v>
      </c>
      <c r="AB74" s="89">
        <f t="shared" si="47"/>
        <v>0.82435856610637293</v>
      </c>
      <c r="AC74" s="89">
        <f t="shared" si="47"/>
        <v>0.63676716636809438</v>
      </c>
      <c r="AD74" s="89">
        <f t="shared" si="47"/>
        <v>0.63514670348618407</v>
      </c>
      <c r="AE74" s="89">
        <f t="shared" si="47"/>
        <v>0.68385061022669913</v>
      </c>
      <c r="AF74" s="89">
        <f t="shared" si="47"/>
        <v>0.84654871905538764</v>
      </c>
      <c r="AG74" s="89">
        <f t="shared" si="47"/>
        <v>0.86094434808032727</v>
      </c>
      <c r="AH74" s="89">
        <f t="shared" si="47"/>
        <v>0.62736997080469425</v>
      </c>
      <c r="AI74" s="89">
        <f t="shared" si="47"/>
        <v>0.63438935568911492</v>
      </c>
      <c r="AJ74" s="89">
        <f t="shared" ref="AJ74:BO74" si="48">AJ70/(AJ71+AJ72)</f>
        <v>0.68433551400743931</v>
      </c>
      <c r="AK74" s="89">
        <f t="shared" si="48"/>
        <v>0.68387921193428325</v>
      </c>
      <c r="AL74" s="89">
        <f t="shared" si="48"/>
        <v>0.67854782524558643</v>
      </c>
      <c r="AM74" s="89">
        <f t="shared" si="48"/>
        <v>0.63296178819697513</v>
      </c>
      <c r="AN74" s="89">
        <f t="shared" si="48"/>
        <v>0.69758531289518477</v>
      </c>
      <c r="AO74" s="89">
        <f t="shared" si="48"/>
        <v>0.8817525263473408</v>
      </c>
      <c r="AP74" s="89" t="e">
        <f t="shared" si="48"/>
        <v>#DIV/0!</v>
      </c>
      <c r="AQ74" s="89" t="e">
        <f t="shared" si="48"/>
        <v>#DIV/0!</v>
      </c>
      <c r="AR74" s="89" t="e">
        <f t="shared" si="48"/>
        <v>#DIV/0!</v>
      </c>
      <c r="AS74" s="89" t="e">
        <f t="shared" si="48"/>
        <v>#DIV/0!</v>
      </c>
      <c r="AT74" s="89" t="e">
        <f t="shared" si="48"/>
        <v>#DIV/0!</v>
      </c>
      <c r="AU74" s="89" t="e">
        <f t="shared" si="48"/>
        <v>#DIV/0!</v>
      </c>
      <c r="AV74" s="89">
        <f t="shared" si="48"/>
        <v>0.70697233098887946</v>
      </c>
      <c r="AW74" s="89">
        <f t="shared" si="48"/>
        <v>0.70772821932147867</v>
      </c>
      <c r="AX74" s="89">
        <f t="shared" si="48"/>
        <v>0.68368354924622354</v>
      </c>
      <c r="AY74" s="89">
        <f t="shared" si="48"/>
        <v>0.66926960303049843</v>
      </c>
      <c r="AZ74" s="89" t="e">
        <f t="shared" si="48"/>
        <v>#DIV/0!</v>
      </c>
      <c r="BA74" s="89" t="e">
        <f t="shared" si="48"/>
        <v>#DIV/0!</v>
      </c>
      <c r="BB74" s="89" t="e">
        <f t="shared" si="48"/>
        <v>#DIV/0!</v>
      </c>
      <c r="BC74" s="89" t="e">
        <f t="shared" si="48"/>
        <v>#DIV/0!</v>
      </c>
      <c r="BD74" s="89" t="e">
        <f t="shared" si="48"/>
        <v>#DIV/0!</v>
      </c>
      <c r="BE74" s="89" t="e">
        <f t="shared" si="48"/>
        <v>#DIV/0!</v>
      </c>
      <c r="BF74" s="89" t="e">
        <f t="shared" si="48"/>
        <v>#DIV/0!</v>
      </c>
      <c r="BG74" s="89" t="e">
        <f t="shared" si="48"/>
        <v>#DIV/0!</v>
      </c>
      <c r="BH74" s="89" t="e">
        <f t="shared" si="48"/>
        <v>#DIV/0!</v>
      </c>
      <c r="BI74" s="89" t="e">
        <f t="shared" si="48"/>
        <v>#DIV/0!</v>
      </c>
      <c r="BJ74" s="89" t="e">
        <f t="shared" si="48"/>
        <v>#DIV/0!</v>
      </c>
      <c r="BK74" s="89" t="e">
        <f t="shared" si="48"/>
        <v>#DIV/0!</v>
      </c>
      <c r="BL74" s="89" t="e">
        <f t="shared" si="48"/>
        <v>#DIV/0!</v>
      </c>
      <c r="BM74" s="89" t="e">
        <f t="shared" si="48"/>
        <v>#DIV/0!</v>
      </c>
      <c r="BN74" s="89" t="e">
        <f t="shared" si="48"/>
        <v>#DIV/0!</v>
      </c>
      <c r="BO74" s="89" t="e">
        <f t="shared" si="48"/>
        <v>#DIV/0!</v>
      </c>
      <c r="BP74" s="89" t="e">
        <f t="shared" ref="BP74:CV74" si="49">BP70/(BP71+BP72)</f>
        <v>#DIV/0!</v>
      </c>
      <c r="BQ74" s="89">
        <f t="shared" si="49"/>
        <v>0.70448313028363152</v>
      </c>
      <c r="BR74" s="89">
        <f t="shared" si="49"/>
        <v>0.87029959793662448</v>
      </c>
      <c r="BS74" s="89" t="e">
        <f t="shared" si="49"/>
        <v>#DIV/0!</v>
      </c>
      <c r="BT74" s="89" t="e">
        <f t="shared" si="49"/>
        <v>#DIV/0!</v>
      </c>
      <c r="BU74" s="89" t="e">
        <f t="shared" si="49"/>
        <v>#DIV/0!</v>
      </c>
      <c r="BV74" s="89" t="e">
        <f t="shared" si="49"/>
        <v>#DIV/0!</v>
      </c>
      <c r="BW74" s="89" t="e">
        <f t="shared" si="49"/>
        <v>#DIV/0!</v>
      </c>
      <c r="BX74" s="89" t="e">
        <f t="shared" si="49"/>
        <v>#DIV/0!</v>
      </c>
      <c r="BY74" s="89" t="e">
        <f t="shared" si="49"/>
        <v>#DIV/0!</v>
      </c>
      <c r="BZ74" s="89">
        <f t="shared" si="49"/>
        <v>0.70551384383644333</v>
      </c>
      <c r="CA74" s="89">
        <f t="shared" si="49"/>
        <v>0.87633228600994584</v>
      </c>
      <c r="CB74" s="89" t="e">
        <f t="shared" si="49"/>
        <v>#DIV/0!</v>
      </c>
      <c r="CC74" s="89" t="e">
        <f t="shared" si="49"/>
        <v>#DIV/0!</v>
      </c>
      <c r="CD74" s="89" t="e">
        <f t="shared" si="49"/>
        <v>#DIV/0!</v>
      </c>
      <c r="CE74" s="89" t="e">
        <f t="shared" si="49"/>
        <v>#DIV/0!</v>
      </c>
      <c r="CF74" s="89" t="e">
        <f t="shared" si="49"/>
        <v>#DIV/0!</v>
      </c>
      <c r="CG74" s="89" t="e">
        <f t="shared" si="49"/>
        <v>#DIV/0!</v>
      </c>
      <c r="CH74" s="89" t="e">
        <f t="shared" si="49"/>
        <v>#DIV/0!</v>
      </c>
      <c r="CI74" s="89">
        <f t="shared" si="49"/>
        <v>0.70582557297470971</v>
      </c>
      <c r="CJ74" s="89">
        <f t="shared" si="49"/>
        <v>0.85869066441521025</v>
      </c>
      <c r="CK74" s="89" t="e">
        <f t="shared" si="49"/>
        <v>#DIV/0!</v>
      </c>
      <c r="CL74" s="89" t="e">
        <f t="shared" si="49"/>
        <v>#DIV/0!</v>
      </c>
      <c r="CM74" s="89" t="e">
        <f t="shared" si="49"/>
        <v>#DIV/0!</v>
      </c>
      <c r="CN74" s="89" t="e">
        <f t="shared" si="49"/>
        <v>#DIV/0!</v>
      </c>
      <c r="CO74" s="89" t="e">
        <f t="shared" si="49"/>
        <v>#DIV/0!</v>
      </c>
      <c r="CP74" s="89" t="e">
        <f t="shared" si="49"/>
        <v>#DIV/0!</v>
      </c>
      <c r="CQ74" s="89">
        <f t="shared" si="49"/>
        <v>0.6265722878493819</v>
      </c>
      <c r="CR74" s="89">
        <f t="shared" si="49"/>
        <v>0.86848994936012747</v>
      </c>
      <c r="CS74" s="89">
        <f t="shared" si="49"/>
        <v>0.68036749605129576</v>
      </c>
      <c r="CT74" s="89">
        <f t="shared" si="49"/>
        <v>0.6262945102441787</v>
      </c>
      <c r="CU74" s="89">
        <f t="shared" si="49"/>
        <v>0.69603683101126501</v>
      </c>
      <c r="CV74" s="89">
        <f t="shared" si="49"/>
        <v>0.74065633492262573</v>
      </c>
    </row>
    <row r="75" spans="2:100" ht="15" customHeight="1">
      <c r="C75" s="78" t="s">
        <v>120</v>
      </c>
    </row>
    <row r="76" spans="2:100" ht="15" customHeight="1">
      <c r="B76" s="146" t="s">
        <v>205</v>
      </c>
      <c r="C76" s="152" t="s">
        <v>86</v>
      </c>
      <c r="D76" s="107">
        <f t="shared" ref="D76:AI76" si="50">D66/D73</f>
        <v>692.15762107084356</v>
      </c>
      <c r="E76" s="107">
        <f t="shared" si="50"/>
        <v>708.86841159026619</v>
      </c>
      <c r="F76" s="107">
        <f t="shared" si="50"/>
        <v>713.00039904632501</v>
      </c>
      <c r="G76" s="107">
        <f t="shared" si="50"/>
        <v>716.28670825492622</v>
      </c>
      <c r="H76" s="107">
        <f t="shared" si="50"/>
        <v>586.69312785369925</v>
      </c>
      <c r="I76" s="107">
        <f t="shared" si="50"/>
        <v>623.53371781888461</v>
      </c>
      <c r="J76" s="107">
        <f t="shared" si="50"/>
        <v>663.78702951406865</v>
      </c>
      <c r="K76" s="107">
        <f t="shared" si="50"/>
        <v>727.41134502745342</v>
      </c>
      <c r="L76" s="107">
        <f t="shared" si="50"/>
        <v>636.0666122997701</v>
      </c>
      <c r="M76" s="107">
        <f t="shared" si="50"/>
        <v>604.90121775748901</v>
      </c>
      <c r="N76" s="107">
        <f t="shared" si="50"/>
        <v>651.51449510814541</v>
      </c>
      <c r="O76" s="107">
        <f t="shared" si="50"/>
        <v>647.96408019669173</v>
      </c>
      <c r="P76" s="107">
        <f t="shared" si="50"/>
        <v>689.9337757669025</v>
      </c>
      <c r="Q76" s="107">
        <f t="shared" si="50"/>
        <v>600.77101416352264</v>
      </c>
      <c r="R76" s="107">
        <f t="shared" si="50"/>
        <v>652.0893584955362</v>
      </c>
      <c r="S76" s="107">
        <f t="shared" si="50"/>
        <v>730.02302339785558</v>
      </c>
      <c r="T76" s="107" t="e">
        <f t="shared" si="50"/>
        <v>#DIV/0!</v>
      </c>
      <c r="U76" s="107" t="e">
        <f t="shared" si="50"/>
        <v>#DIV/0!</v>
      </c>
      <c r="V76" s="107" t="e">
        <f t="shared" si="50"/>
        <v>#DIV/0!</v>
      </c>
      <c r="W76" s="107" t="e">
        <f t="shared" si="50"/>
        <v>#DIV/0!</v>
      </c>
      <c r="X76" s="107" t="e">
        <f t="shared" si="50"/>
        <v>#DIV/0!</v>
      </c>
      <c r="Y76" s="107" t="e">
        <f t="shared" si="50"/>
        <v>#DIV/0!</v>
      </c>
      <c r="Z76" s="107" t="e">
        <f t="shared" si="50"/>
        <v>#DIV/0!</v>
      </c>
      <c r="AA76" s="107">
        <f t="shared" si="50"/>
        <v>728.03875110170213</v>
      </c>
      <c r="AB76" s="107">
        <f t="shared" si="50"/>
        <v>732.1795769505618</v>
      </c>
      <c r="AC76" s="107">
        <f t="shared" si="50"/>
        <v>605.86332238435887</v>
      </c>
      <c r="AD76" s="107">
        <f t="shared" si="50"/>
        <v>642.7099714907622</v>
      </c>
      <c r="AE76" s="107">
        <f t="shared" si="50"/>
        <v>682.95363658556869</v>
      </c>
      <c r="AF76" s="107">
        <f t="shared" si="50"/>
        <v>735.45406038291458</v>
      </c>
      <c r="AG76" s="107">
        <f t="shared" si="50"/>
        <v>746.58062754690434</v>
      </c>
      <c r="AH76" s="107">
        <f t="shared" si="50"/>
        <v>655.18608608273746</v>
      </c>
      <c r="AI76" s="107">
        <f t="shared" si="50"/>
        <v>624.07841636328999</v>
      </c>
      <c r="AJ76" s="107">
        <f t="shared" ref="AJ76:BO76" si="51">AJ66/AJ73</f>
        <v>670.67539584510178</v>
      </c>
      <c r="AK76" s="107">
        <f t="shared" si="51"/>
        <v>667.12812232642557</v>
      </c>
      <c r="AL76" s="107">
        <f t="shared" si="51"/>
        <v>709.13914824472113</v>
      </c>
      <c r="AM76" s="107">
        <f t="shared" si="51"/>
        <v>619.94358515591784</v>
      </c>
      <c r="AN76" s="107">
        <f t="shared" si="51"/>
        <v>671.37239119588094</v>
      </c>
      <c r="AO76" s="107">
        <f t="shared" si="51"/>
        <v>749.18785558719662</v>
      </c>
      <c r="AP76" s="107" t="e">
        <f t="shared" si="51"/>
        <v>#DIV/0!</v>
      </c>
      <c r="AQ76" s="107" t="e">
        <f t="shared" si="51"/>
        <v>#DIV/0!</v>
      </c>
      <c r="AR76" s="107" t="e">
        <f t="shared" si="51"/>
        <v>#DIV/0!</v>
      </c>
      <c r="AS76" s="107" t="e">
        <f t="shared" si="51"/>
        <v>#DIV/0!</v>
      </c>
      <c r="AT76" s="107" t="e">
        <f t="shared" si="51"/>
        <v>#DIV/0!</v>
      </c>
      <c r="AU76" s="107" t="e">
        <f t="shared" si="51"/>
        <v>#DIV/0!</v>
      </c>
      <c r="AV76" s="107">
        <f t="shared" si="51"/>
        <v>631.90332565230278</v>
      </c>
      <c r="AW76" s="107">
        <f t="shared" si="51"/>
        <v>619.64311828801249</v>
      </c>
      <c r="AX76" s="107">
        <f t="shared" si="51"/>
        <v>664.5994926627759</v>
      </c>
      <c r="AY76" s="107">
        <f t="shared" si="51"/>
        <v>658.56442359182915</v>
      </c>
      <c r="AZ76" s="107" t="e">
        <f t="shared" si="51"/>
        <v>#DIV/0!</v>
      </c>
      <c r="BA76" s="107" t="e">
        <f t="shared" si="51"/>
        <v>#DIV/0!</v>
      </c>
      <c r="BB76" s="107" t="e">
        <f t="shared" si="51"/>
        <v>#DIV/0!</v>
      </c>
      <c r="BC76" s="107" t="e">
        <f t="shared" si="51"/>
        <v>#DIV/0!</v>
      </c>
      <c r="BD76" s="107" t="e">
        <f t="shared" si="51"/>
        <v>#DIV/0!</v>
      </c>
      <c r="BE76" s="107" t="e">
        <f t="shared" si="51"/>
        <v>#DIV/0!</v>
      </c>
      <c r="BF76" s="107" t="e">
        <f t="shared" si="51"/>
        <v>#DIV/0!</v>
      </c>
      <c r="BG76" s="107" t="e">
        <f t="shared" si="51"/>
        <v>#DIV/0!</v>
      </c>
      <c r="BH76" s="107" t="e">
        <f t="shared" si="51"/>
        <v>#DIV/0!</v>
      </c>
      <c r="BI76" s="107" t="e">
        <f t="shared" si="51"/>
        <v>#DIV/0!</v>
      </c>
      <c r="BJ76" s="107" t="e">
        <f t="shared" si="51"/>
        <v>#DIV/0!</v>
      </c>
      <c r="BK76" s="107" t="e">
        <f t="shared" si="51"/>
        <v>#DIV/0!</v>
      </c>
      <c r="BL76" s="107" t="e">
        <f t="shared" si="51"/>
        <v>#DIV/0!</v>
      </c>
      <c r="BM76" s="107" t="e">
        <f t="shared" si="51"/>
        <v>#DIV/0!</v>
      </c>
      <c r="BN76" s="107" t="e">
        <f t="shared" si="51"/>
        <v>#DIV/0!</v>
      </c>
      <c r="BO76" s="107" t="e">
        <f t="shared" si="51"/>
        <v>#DIV/0!</v>
      </c>
      <c r="BP76" s="107" t="e">
        <f t="shared" ref="BP76:CV76" si="52">BP66/BP73</f>
        <v>#DIV/0!</v>
      </c>
      <c r="BQ76" s="107">
        <f t="shared" si="52"/>
        <v>616.18318525213476</v>
      </c>
      <c r="BR76" s="107">
        <f t="shared" si="52"/>
        <v>680.55206881692368</v>
      </c>
      <c r="BS76" s="107" t="e">
        <f t="shared" si="52"/>
        <v>#DIV/0!</v>
      </c>
      <c r="BT76" s="107" t="e">
        <f t="shared" si="52"/>
        <v>#DIV/0!</v>
      </c>
      <c r="BU76" s="107" t="e">
        <f t="shared" si="52"/>
        <v>#DIV/0!</v>
      </c>
      <c r="BV76" s="107" t="e">
        <f t="shared" si="52"/>
        <v>#DIV/0!</v>
      </c>
      <c r="BW76" s="107" t="e">
        <f t="shared" si="52"/>
        <v>#DIV/0!</v>
      </c>
      <c r="BX76" s="107" t="e">
        <f t="shared" si="52"/>
        <v>#DIV/0!</v>
      </c>
      <c r="BY76" s="107" t="e">
        <f t="shared" si="52"/>
        <v>#DIV/0!</v>
      </c>
      <c r="BZ76" s="107">
        <f t="shared" si="52"/>
        <v>624.55510099914636</v>
      </c>
      <c r="CA76" s="107">
        <f t="shared" si="52"/>
        <v>691.69731956736416</v>
      </c>
      <c r="CB76" s="107" t="e">
        <f t="shared" si="52"/>
        <v>#DIV/0!</v>
      </c>
      <c r="CC76" s="107" t="e">
        <f t="shared" si="52"/>
        <v>#DIV/0!</v>
      </c>
      <c r="CD76" s="107" t="e">
        <f t="shared" si="52"/>
        <v>#DIV/0!</v>
      </c>
      <c r="CE76" s="107" t="e">
        <f t="shared" si="52"/>
        <v>#DIV/0!</v>
      </c>
      <c r="CF76" s="107" t="e">
        <f t="shared" si="52"/>
        <v>#DIV/0!</v>
      </c>
      <c r="CG76" s="107" t="e">
        <f t="shared" si="52"/>
        <v>#DIV/0!</v>
      </c>
      <c r="CH76" s="107" t="e">
        <f t="shared" si="52"/>
        <v>#DIV/0!</v>
      </c>
      <c r="CI76" s="107">
        <f t="shared" si="52"/>
        <v>627.07369509349792</v>
      </c>
      <c r="CJ76" s="107">
        <f t="shared" si="52"/>
        <v>687.34084495214734</v>
      </c>
      <c r="CK76" s="107" t="e">
        <f t="shared" si="52"/>
        <v>#DIV/0!</v>
      </c>
      <c r="CL76" s="107" t="e">
        <f t="shared" si="52"/>
        <v>#DIV/0!</v>
      </c>
      <c r="CM76" s="107" t="e">
        <f t="shared" si="52"/>
        <v>#DIV/0!</v>
      </c>
      <c r="CN76" s="107" t="e">
        <f t="shared" si="52"/>
        <v>#DIV/0!</v>
      </c>
      <c r="CO76" s="107" t="e">
        <f t="shared" si="52"/>
        <v>#DIV/0!</v>
      </c>
      <c r="CP76" s="107" t="e">
        <f t="shared" si="52"/>
        <v>#DIV/0!</v>
      </c>
      <c r="CQ76" s="107">
        <f t="shared" si="52"/>
        <v>595.31142287852663</v>
      </c>
      <c r="CR76" s="107">
        <f t="shared" si="52"/>
        <v>713.84323842488095</v>
      </c>
      <c r="CS76" s="107">
        <f t="shared" si="52"/>
        <v>646.07830412003682</v>
      </c>
      <c r="CT76" s="107">
        <f t="shared" si="52"/>
        <v>600.770534120604</v>
      </c>
      <c r="CU76" s="107">
        <f t="shared" si="52"/>
        <v>652.12785340467076</v>
      </c>
      <c r="CV76" s="107">
        <f t="shared" si="52"/>
        <v>669.25342092018275</v>
      </c>
    </row>
    <row r="77" spans="2:100" ht="15" customHeight="1">
      <c r="B77" s="146" t="s">
        <v>206</v>
      </c>
      <c r="C77" s="152" t="s">
        <v>87</v>
      </c>
      <c r="D77" s="86">
        <f t="shared" ref="D77:AI77" si="53">D67/D73</f>
        <v>67.133670054454512</v>
      </c>
      <c r="E77" s="86">
        <f t="shared" si="53"/>
        <v>68.754481070512341</v>
      </c>
      <c r="F77" s="86">
        <f t="shared" si="53"/>
        <v>69.155250308760472</v>
      </c>
      <c r="G77" s="86">
        <f t="shared" si="53"/>
        <v>69.473995622531376</v>
      </c>
      <c r="H77" s="86">
        <f t="shared" si="53"/>
        <v>56.904470411826622</v>
      </c>
      <c r="I77" s="86">
        <f t="shared" si="53"/>
        <v>60.477708553028947</v>
      </c>
      <c r="J77" s="86">
        <f t="shared" si="53"/>
        <v>64.381952996314524</v>
      </c>
      <c r="K77" s="86">
        <f t="shared" si="53"/>
        <v>70.552995075585216</v>
      </c>
      <c r="L77" s="86">
        <f t="shared" si="53"/>
        <v>61.693297571040993</v>
      </c>
      <c r="M77" s="86">
        <f t="shared" si="53"/>
        <v>58.670507312542547</v>
      </c>
      <c r="N77" s="86">
        <f t="shared" si="53"/>
        <v>63.191616791875234</v>
      </c>
      <c r="O77" s="86">
        <f t="shared" si="53"/>
        <v>62.847255369034592</v>
      </c>
      <c r="P77" s="86">
        <f t="shared" si="53"/>
        <v>66.917975113963976</v>
      </c>
      <c r="Q77" s="86">
        <f t="shared" si="53"/>
        <v>58.269911094435351</v>
      </c>
      <c r="R77" s="86">
        <f t="shared" si="53"/>
        <v>63.247373873500322</v>
      </c>
      <c r="S77" s="86">
        <f t="shared" si="53"/>
        <v>70.806306674951387</v>
      </c>
      <c r="T77" s="86" t="e">
        <f t="shared" si="53"/>
        <v>#DIV/0!</v>
      </c>
      <c r="U77" s="86" t="e">
        <f t="shared" si="53"/>
        <v>#DIV/0!</v>
      </c>
      <c r="V77" s="86" t="e">
        <f t="shared" si="53"/>
        <v>#DIV/0!</v>
      </c>
      <c r="W77" s="86" t="e">
        <f t="shared" si="53"/>
        <v>#DIV/0!</v>
      </c>
      <c r="X77" s="86" t="e">
        <f t="shared" si="53"/>
        <v>#DIV/0!</v>
      </c>
      <c r="Y77" s="86" t="e">
        <f t="shared" si="53"/>
        <v>#DIV/0!</v>
      </c>
      <c r="Z77" s="86" t="e">
        <f t="shared" si="53"/>
        <v>#DIV/0!</v>
      </c>
      <c r="AA77" s="86">
        <f t="shared" si="53"/>
        <v>70.613848371274727</v>
      </c>
      <c r="AB77" s="86">
        <f t="shared" si="53"/>
        <v>71.015474861871226</v>
      </c>
      <c r="AC77" s="86">
        <f t="shared" si="53"/>
        <v>58.763823650630712</v>
      </c>
      <c r="AD77" s="86">
        <f t="shared" si="53"/>
        <v>62.337649479340861</v>
      </c>
      <c r="AE77" s="86">
        <f t="shared" si="53"/>
        <v>66.240958280704447</v>
      </c>
      <c r="AF77" s="86">
        <f t="shared" si="53"/>
        <v>71.333073171352027</v>
      </c>
      <c r="AG77" s="86">
        <f t="shared" si="53"/>
        <v>72.412259856706115</v>
      </c>
      <c r="AH77" s="86">
        <f t="shared" si="53"/>
        <v>63.547731309088569</v>
      </c>
      <c r="AI77" s="86">
        <f t="shared" si="53"/>
        <v>60.530539889773713</v>
      </c>
      <c r="AJ77" s="86">
        <f t="shared" ref="AJ77:BO77" si="54">AJ67/AJ73</f>
        <v>65.050068608140521</v>
      </c>
      <c r="AK77" s="86">
        <f t="shared" si="54"/>
        <v>64.706011874896333</v>
      </c>
      <c r="AL77" s="86">
        <f t="shared" si="54"/>
        <v>68.780740328055018</v>
      </c>
      <c r="AM77" s="86">
        <f t="shared" si="54"/>
        <v>60.129494830734814</v>
      </c>
      <c r="AN77" s="86">
        <f t="shared" si="54"/>
        <v>65.117671498702236</v>
      </c>
      <c r="AO77" s="86">
        <f t="shared" si="54"/>
        <v>72.665139810181032</v>
      </c>
      <c r="AP77" s="86" t="e">
        <f t="shared" si="54"/>
        <v>#DIV/0!</v>
      </c>
      <c r="AQ77" s="86" t="e">
        <f t="shared" si="54"/>
        <v>#DIV/0!</v>
      </c>
      <c r="AR77" s="86" t="e">
        <f t="shared" si="54"/>
        <v>#DIV/0!</v>
      </c>
      <c r="AS77" s="86" t="e">
        <f t="shared" si="54"/>
        <v>#DIV/0!</v>
      </c>
      <c r="AT77" s="86" t="e">
        <f t="shared" si="54"/>
        <v>#DIV/0!</v>
      </c>
      <c r="AU77" s="86" t="e">
        <f t="shared" si="54"/>
        <v>#DIV/0!</v>
      </c>
      <c r="AV77" s="86">
        <f t="shared" si="54"/>
        <v>61.289492565324558</v>
      </c>
      <c r="AW77" s="86">
        <f t="shared" si="54"/>
        <v>60.100351983848221</v>
      </c>
      <c r="AX77" s="86">
        <f t="shared" si="54"/>
        <v>64.460755325865307</v>
      </c>
      <c r="AY77" s="86">
        <f t="shared" si="54"/>
        <v>63.875402620887556</v>
      </c>
      <c r="AZ77" s="86" t="e">
        <f t="shared" si="54"/>
        <v>#DIV/0!</v>
      </c>
      <c r="BA77" s="86" t="e">
        <f t="shared" si="54"/>
        <v>#DIV/0!</v>
      </c>
      <c r="BB77" s="86" t="e">
        <f t="shared" si="54"/>
        <v>#DIV/0!</v>
      </c>
      <c r="BC77" s="86" t="e">
        <f t="shared" si="54"/>
        <v>#DIV/0!</v>
      </c>
      <c r="BD77" s="86" t="e">
        <f t="shared" si="54"/>
        <v>#DIV/0!</v>
      </c>
      <c r="BE77" s="86" t="e">
        <f t="shared" si="54"/>
        <v>#DIV/0!</v>
      </c>
      <c r="BF77" s="86" t="e">
        <f t="shared" si="54"/>
        <v>#DIV/0!</v>
      </c>
      <c r="BG77" s="86" t="e">
        <f t="shared" si="54"/>
        <v>#DIV/0!</v>
      </c>
      <c r="BH77" s="86" t="e">
        <f t="shared" si="54"/>
        <v>#DIV/0!</v>
      </c>
      <c r="BI77" s="86" t="e">
        <f t="shared" si="54"/>
        <v>#DIV/0!</v>
      </c>
      <c r="BJ77" s="86" t="e">
        <f t="shared" si="54"/>
        <v>#DIV/0!</v>
      </c>
      <c r="BK77" s="86" t="e">
        <f t="shared" si="54"/>
        <v>#DIV/0!</v>
      </c>
      <c r="BL77" s="86" t="e">
        <f t="shared" si="54"/>
        <v>#DIV/0!</v>
      </c>
      <c r="BM77" s="86" t="e">
        <f t="shared" si="54"/>
        <v>#DIV/0!</v>
      </c>
      <c r="BN77" s="86" t="e">
        <f t="shared" si="54"/>
        <v>#DIV/0!</v>
      </c>
      <c r="BO77" s="86" t="e">
        <f t="shared" si="54"/>
        <v>#DIV/0!</v>
      </c>
      <c r="BP77" s="86" t="e">
        <f t="shared" ref="BP77:CV77" si="55">BP67/BP73</f>
        <v>#DIV/0!</v>
      </c>
      <c r="BQ77" s="86">
        <f t="shared" si="55"/>
        <v>59.764766568373403</v>
      </c>
      <c r="BR77" s="86">
        <f t="shared" si="55"/>
        <v>66.008025703953791</v>
      </c>
      <c r="BS77" s="86" t="e">
        <f t="shared" si="55"/>
        <v>#DIV/0!</v>
      </c>
      <c r="BT77" s="86" t="e">
        <f t="shared" si="55"/>
        <v>#DIV/0!</v>
      </c>
      <c r="BU77" s="86" t="e">
        <f t="shared" si="55"/>
        <v>#DIV/0!</v>
      </c>
      <c r="BV77" s="86" t="e">
        <f t="shared" si="55"/>
        <v>#DIV/0!</v>
      </c>
      <c r="BW77" s="86" t="e">
        <f t="shared" si="55"/>
        <v>#DIV/0!</v>
      </c>
      <c r="BX77" s="86" t="e">
        <f t="shared" si="55"/>
        <v>#DIV/0!</v>
      </c>
      <c r="BY77" s="86" t="e">
        <f t="shared" si="55"/>
        <v>#DIV/0!</v>
      </c>
      <c r="BZ77" s="86">
        <f t="shared" si="55"/>
        <v>60.576774429551079</v>
      </c>
      <c r="CA77" s="86">
        <f t="shared" si="55"/>
        <v>67.089024545513411</v>
      </c>
      <c r="CB77" s="86" t="e">
        <f t="shared" si="55"/>
        <v>#DIV/0!</v>
      </c>
      <c r="CC77" s="86" t="e">
        <f t="shared" si="55"/>
        <v>#DIV/0!</v>
      </c>
      <c r="CD77" s="86" t="e">
        <f t="shared" si="55"/>
        <v>#DIV/0!</v>
      </c>
      <c r="CE77" s="86" t="e">
        <f t="shared" si="55"/>
        <v>#DIV/0!</v>
      </c>
      <c r="CF77" s="86" t="e">
        <f t="shared" si="55"/>
        <v>#DIV/0!</v>
      </c>
      <c r="CG77" s="86" t="e">
        <f t="shared" si="55"/>
        <v>#DIV/0!</v>
      </c>
      <c r="CH77" s="86" t="e">
        <f t="shared" si="55"/>
        <v>#DIV/0!</v>
      </c>
      <c r="CI77" s="86">
        <f t="shared" si="55"/>
        <v>60.821057609832629</v>
      </c>
      <c r="CJ77" s="86">
        <f t="shared" si="55"/>
        <v>66.666481875296029</v>
      </c>
      <c r="CK77" s="86" t="e">
        <f t="shared" si="55"/>
        <v>#DIV/0!</v>
      </c>
      <c r="CL77" s="86" t="e">
        <f t="shared" si="55"/>
        <v>#DIV/0!</v>
      </c>
      <c r="CM77" s="86" t="e">
        <f t="shared" si="55"/>
        <v>#DIV/0!</v>
      </c>
      <c r="CN77" s="86" t="e">
        <f t="shared" si="55"/>
        <v>#DIV/0!</v>
      </c>
      <c r="CO77" s="86" t="e">
        <f t="shared" si="55"/>
        <v>#DIV/0!</v>
      </c>
      <c r="CP77" s="86" t="e">
        <f t="shared" si="55"/>
        <v>#DIV/0!</v>
      </c>
      <c r="CQ77" s="86">
        <f t="shared" si="55"/>
        <v>57.740375062755099</v>
      </c>
      <c r="CR77" s="86">
        <f t="shared" si="55"/>
        <v>69.236998886001203</v>
      </c>
      <c r="CS77" s="86">
        <f t="shared" si="55"/>
        <v>62.664350399020876</v>
      </c>
      <c r="CT77" s="86">
        <f t="shared" si="55"/>
        <v>58.269864534169407</v>
      </c>
      <c r="CU77" s="86">
        <f t="shared" si="55"/>
        <v>63.251107567170585</v>
      </c>
      <c r="CV77" s="86">
        <f t="shared" si="55"/>
        <v>64.912148584537334</v>
      </c>
    </row>
    <row r="78" spans="2:100" ht="15" customHeight="1">
      <c r="B78" s="146" t="s">
        <v>207</v>
      </c>
      <c r="C78" s="152" t="s">
        <v>111</v>
      </c>
      <c r="D78" s="107">
        <f t="shared" ref="D78:AI78" si="56">D68/D73</f>
        <v>71.932480458285752</v>
      </c>
      <c r="E78" s="107">
        <f t="shared" si="56"/>
        <v>62.171542042385227</v>
      </c>
      <c r="F78" s="107">
        <f t="shared" si="56"/>
        <v>58.511618220242994</v>
      </c>
      <c r="G78" s="107">
        <f t="shared" si="56"/>
        <v>56.982106259983354</v>
      </c>
      <c r="H78" s="107">
        <f t="shared" si="56"/>
        <v>144.3606795330335</v>
      </c>
      <c r="I78" s="107">
        <f t="shared" si="56"/>
        <v>141.59056717161258</v>
      </c>
      <c r="J78" s="107">
        <f t="shared" si="56"/>
        <v>88.250005971986624</v>
      </c>
      <c r="K78" s="107">
        <f t="shared" si="56"/>
        <v>48.423190887566236</v>
      </c>
      <c r="L78" s="107">
        <f t="shared" si="56"/>
        <v>113.73007938554379</v>
      </c>
      <c r="M78" s="107">
        <f t="shared" si="56"/>
        <v>133.24609413315375</v>
      </c>
      <c r="N78" s="107">
        <f t="shared" si="56"/>
        <v>97.146496844976042</v>
      </c>
      <c r="O78" s="107">
        <f t="shared" si="56"/>
        <v>100.7884130391064</v>
      </c>
      <c r="P78" s="107">
        <f t="shared" si="56"/>
        <v>72.027427538655189</v>
      </c>
      <c r="Q78" s="107">
        <f t="shared" si="56"/>
        <v>136.93988590703697</v>
      </c>
      <c r="R78" s="107">
        <f t="shared" si="56"/>
        <v>85.910488526046038</v>
      </c>
      <c r="S78" s="107">
        <f t="shared" si="56"/>
        <v>46.660554173264842</v>
      </c>
      <c r="T78" s="107" t="e">
        <f t="shared" si="56"/>
        <v>#DIV/0!</v>
      </c>
      <c r="U78" s="107" t="e">
        <f t="shared" si="56"/>
        <v>#DIV/0!</v>
      </c>
      <c r="V78" s="107" t="e">
        <f t="shared" si="56"/>
        <v>#DIV/0!</v>
      </c>
      <c r="W78" s="107" t="e">
        <f t="shared" si="56"/>
        <v>#DIV/0!</v>
      </c>
      <c r="X78" s="107" t="e">
        <f t="shared" si="56"/>
        <v>#DIV/0!</v>
      </c>
      <c r="Y78" s="107" t="e">
        <f t="shared" si="56"/>
        <v>#DIV/0!</v>
      </c>
      <c r="Z78" s="107" t="e">
        <f t="shared" si="56"/>
        <v>#DIV/0!</v>
      </c>
      <c r="AA78" s="107">
        <f t="shared" si="56"/>
        <v>62.17152202386761</v>
      </c>
      <c r="AB78" s="107">
        <f t="shared" si="56"/>
        <v>58.512307208684277</v>
      </c>
      <c r="AC78" s="107">
        <f t="shared" si="56"/>
        <v>144.36059292229669</v>
      </c>
      <c r="AD78" s="107">
        <f t="shared" si="56"/>
        <v>141.59184244337791</v>
      </c>
      <c r="AE78" s="107">
        <f t="shared" si="56"/>
        <v>88.24949103217665</v>
      </c>
      <c r="AF78" s="107">
        <f t="shared" si="56"/>
        <v>56.981858231658634</v>
      </c>
      <c r="AG78" s="107">
        <f t="shared" si="56"/>
        <v>48.423107549251554</v>
      </c>
      <c r="AH78" s="107">
        <f t="shared" si="56"/>
        <v>113.72127316701537</v>
      </c>
      <c r="AI78" s="107">
        <f t="shared" si="56"/>
        <v>133.24752022966629</v>
      </c>
      <c r="AJ78" s="107">
        <f t="shared" ref="AJ78:BO78" si="57">AJ68/AJ73</f>
        <v>97.145106771791873</v>
      </c>
      <c r="AK78" s="107">
        <f t="shared" si="57"/>
        <v>100.78743336945585</v>
      </c>
      <c r="AL78" s="107">
        <f t="shared" si="57"/>
        <v>72.030931281761823</v>
      </c>
      <c r="AM78" s="107">
        <f t="shared" si="57"/>
        <v>136.94032669971853</v>
      </c>
      <c r="AN78" s="107">
        <f t="shared" si="57"/>
        <v>85.925028060280013</v>
      </c>
      <c r="AO78" s="107">
        <f t="shared" si="57"/>
        <v>46.660197579888894</v>
      </c>
      <c r="AP78" s="107" t="e">
        <f t="shared" si="57"/>
        <v>#DIV/0!</v>
      </c>
      <c r="AQ78" s="107" t="e">
        <f t="shared" si="57"/>
        <v>#DIV/0!</v>
      </c>
      <c r="AR78" s="107" t="e">
        <f t="shared" si="57"/>
        <v>#DIV/0!</v>
      </c>
      <c r="AS78" s="107" t="e">
        <f t="shared" si="57"/>
        <v>#DIV/0!</v>
      </c>
      <c r="AT78" s="107" t="e">
        <f t="shared" si="57"/>
        <v>#DIV/0!</v>
      </c>
      <c r="AU78" s="107" t="e">
        <f t="shared" si="57"/>
        <v>#DIV/0!</v>
      </c>
      <c r="AV78" s="107">
        <f t="shared" si="57"/>
        <v>128.37991150995822</v>
      </c>
      <c r="AW78" s="107">
        <f t="shared" si="57"/>
        <v>116.62851433603618</v>
      </c>
      <c r="AX78" s="107">
        <f t="shared" si="57"/>
        <v>87.177463963572166</v>
      </c>
      <c r="AY78" s="107">
        <f t="shared" si="57"/>
        <v>88.607277149484446</v>
      </c>
      <c r="AZ78" s="107" t="e">
        <f t="shared" si="57"/>
        <v>#DIV/0!</v>
      </c>
      <c r="BA78" s="107" t="e">
        <f t="shared" si="57"/>
        <v>#DIV/0!</v>
      </c>
      <c r="BB78" s="107" t="e">
        <f t="shared" si="57"/>
        <v>#DIV/0!</v>
      </c>
      <c r="BC78" s="107" t="e">
        <f t="shared" si="57"/>
        <v>#DIV/0!</v>
      </c>
      <c r="BD78" s="107" t="e">
        <f t="shared" si="57"/>
        <v>#DIV/0!</v>
      </c>
      <c r="BE78" s="107" t="e">
        <f t="shared" si="57"/>
        <v>#DIV/0!</v>
      </c>
      <c r="BF78" s="107" t="e">
        <f t="shared" si="57"/>
        <v>#DIV/0!</v>
      </c>
      <c r="BG78" s="107" t="e">
        <f t="shared" si="57"/>
        <v>#DIV/0!</v>
      </c>
      <c r="BH78" s="107" t="e">
        <f t="shared" si="57"/>
        <v>#DIV/0!</v>
      </c>
      <c r="BI78" s="107" t="e">
        <f t="shared" si="57"/>
        <v>#DIV/0!</v>
      </c>
      <c r="BJ78" s="107" t="e">
        <f t="shared" si="57"/>
        <v>#DIV/0!</v>
      </c>
      <c r="BK78" s="107" t="e">
        <f t="shared" si="57"/>
        <v>#DIV/0!</v>
      </c>
      <c r="BL78" s="107" t="e">
        <f t="shared" si="57"/>
        <v>#DIV/0!</v>
      </c>
      <c r="BM78" s="107" t="e">
        <f t="shared" si="57"/>
        <v>#DIV/0!</v>
      </c>
      <c r="BN78" s="107" t="e">
        <f t="shared" si="57"/>
        <v>#DIV/0!</v>
      </c>
      <c r="BO78" s="107" t="e">
        <f t="shared" si="57"/>
        <v>#DIV/0!</v>
      </c>
      <c r="BP78" s="107" t="e">
        <f t="shared" ref="BP78:CV78" si="58">BP68/BP73</f>
        <v>#DIV/0!</v>
      </c>
      <c r="BQ78" s="107">
        <f t="shared" si="58"/>
        <v>81.179975990834052</v>
      </c>
      <c r="BR78" s="107">
        <f t="shared" si="58"/>
        <v>51.964023896401926</v>
      </c>
      <c r="BS78" s="107" t="e">
        <f t="shared" si="58"/>
        <v>#DIV/0!</v>
      </c>
      <c r="BT78" s="107" t="e">
        <f t="shared" si="58"/>
        <v>#DIV/0!</v>
      </c>
      <c r="BU78" s="107" t="e">
        <f t="shared" si="58"/>
        <v>#DIV/0!</v>
      </c>
      <c r="BV78" s="107" t="e">
        <f t="shared" si="58"/>
        <v>#DIV/0!</v>
      </c>
      <c r="BW78" s="107" t="e">
        <f t="shared" si="58"/>
        <v>#DIV/0!</v>
      </c>
      <c r="BX78" s="107" t="e">
        <f t="shared" si="58"/>
        <v>#DIV/0!</v>
      </c>
      <c r="BY78" s="107" t="e">
        <f t="shared" si="58"/>
        <v>#DIV/0!</v>
      </c>
      <c r="BZ78" s="107">
        <f t="shared" si="58"/>
        <v>82.282946561284774</v>
      </c>
      <c r="CA78" s="107">
        <f t="shared" si="58"/>
        <v>51.296463911090399</v>
      </c>
      <c r="CB78" s="107" t="e">
        <f t="shared" si="58"/>
        <v>#DIV/0!</v>
      </c>
      <c r="CC78" s="107" t="e">
        <f t="shared" si="58"/>
        <v>#DIV/0!</v>
      </c>
      <c r="CD78" s="107" t="e">
        <f t="shared" si="58"/>
        <v>#DIV/0!</v>
      </c>
      <c r="CE78" s="107" t="e">
        <f t="shared" si="58"/>
        <v>#DIV/0!</v>
      </c>
      <c r="CF78" s="107" t="e">
        <f t="shared" si="58"/>
        <v>#DIV/0!</v>
      </c>
      <c r="CG78" s="107" t="e">
        <f t="shared" si="58"/>
        <v>#DIV/0!</v>
      </c>
      <c r="CH78" s="107" t="e">
        <f t="shared" si="58"/>
        <v>#DIV/0!</v>
      </c>
      <c r="CI78" s="107">
        <f t="shared" si="58"/>
        <v>82.614762509859233</v>
      </c>
      <c r="CJ78" s="107">
        <f t="shared" si="58"/>
        <v>56.860579458933991</v>
      </c>
      <c r="CK78" s="107" t="e">
        <f t="shared" si="58"/>
        <v>#DIV/0!</v>
      </c>
      <c r="CL78" s="107" t="e">
        <f t="shared" si="58"/>
        <v>#DIV/0!</v>
      </c>
      <c r="CM78" s="107" t="e">
        <f t="shared" si="58"/>
        <v>#DIV/0!</v>
      </c>
      <c r="CN78" s="107" t="e">
        <f t="shared" si="58"/>
        <v>#DIV/0!</v>
      </c>
      <c r="CO78" s="107" t="e">
        <f t="shared" si="58"/>
        <v>#DIV/0!</v>
      </c>
      <c r="CP78" s="107" t="e">
        <f t="shared" si="58"/>
        <v>#DIV/0!</v>
      </c>
      <c r="CQ78" s="107">
        <f t="shared" si="58"/>
        <v>126.04933747549612</v>
      </c>
      <c r="CR78" s="107">
        <f t="shared" si="58"/>
        <v>42.917638019968088</v>
      </c>
      <c r="CS78" s="107">
        <f t="shared" si="58"/>
        <v>87.698609797801268</v>
      </c>
      <c r="CT78" s="107">
        <f t="shared" si="58"/>
        <v>136.93977648594151</v>
      </c>
      <c r="CU78" s="107">
        <f t="shared" si="58"/>
        <v>85.915560095465864</v>
      </c>
      <c r="CV78" s="107">
        <f t="shared" si="58"/>
        <v>91.650973529687462</v>
      </c>
    </row>
    <row r="79" spans="2:100" ht="15" customHeight="1">
      <c r="B79" s="146" t="s">
        <v>208</v>
      </c>
      <c r="C79" s="152" t="s">
        <v>112</v>
      </c>
      <c r="D79" s="107">
        <f t="shared" ref="D79:AI79" si="59">D69/D73</f>
        <v>0</v>
      </c>
      <c r="E79" s="107">
        <f t="shared" si="59"/>
        <v>0</v>
      </c>
      <c r="F79" s="107">
        <f t="shared" si="59"/>
        <v>0</v>
      </c>
      <c r="G79" s="107">
        <f t="shared" si="59"/>
        <v>0</v>
      </c>
      <c r="H79" s="107">
        <f t="shared" si="59"/>
        <v>0</v>
      </c>
      <c r="I79" s="107">
        <f t="shared" si="59"/>
        <v>0</v>
      </c>
      <c r="J79" s="107">
        <f t="shared" si="59"/>
        <v>0</v>
      </c>
      <c r="K79" s="107">
        <f t="shared" si="59"/>
        <v>0</v>
      </c>
      <c r="L79" s="107">
        <f t="shared" si="59"/>
        <v>0</v>
      </c>
      <c r="M79" s="107">
        <f t="shared" si="59"/>
        <v>0</v>
      </c>
      <c r="N79" s="107">
        <f t="shared" si="59"/>
        <v>0</v>
      </c>
      <c r="O79" s="107">
        <f t="shared" si="59"/>
        <v>0</v>
      </c>
      <c r="P79" s="107">
        <f t="shared" si="59"/>
        <v>0</v>
      </c>
      <c r="Q79" s="107">
        <f t="shared" si="59"/>
        <v>0</v>
      </c>
      <c r="R79" s="107">
        <f t="shared" si="59"/>
        <v>0</v>
      </c>
      <c r="S79" s="107">
        <f t="shared" si="59"/>
        <v>0</v>
      </c>
      <c r="T79" s="107" t="e">
        <f t="shared" si="59"/>
        <v>#DIV/0!</v>
      </c>
      <c r="U79" s="107" t="e">
        <f t="shared" si="59"/>
        <v>#DIV/0!</v>
      </c>
      <c r="V79" s="107" t="e">
        <f t="shared" si="59"/>
        <v>#DIV/0!</v>
      </c>
      <c r="W79" s="107" t="e">
        <f t="shared" si="59"/>
        <v>#DIV/0!</v>
      </c>
      <c r="X79" s="107" t="e">
        <f t="shared" si="59"/>
        <v>#DIV/0!</v>
      </c>
      <c r="Y79" s="107" t="e">
        <f t="shared" si="59"/>
        <v>#DIV/0!</v>
      </c>
      <c r="Z79" s="107" t="e">
        <f t="shared" si="59"/>
        <v>#DIV/0!</v>
      </c>
      <c r="AA79" s="107">
        <f t="shared" si="59"/>
        <v>0</v>
      </c>
      <c r="AB79" s="107">
        <f t="shared" si="59"/>
        <v>0</v>
      </c>
      <c r="AC79" s="107">
        <f t="shared" si="59"/>
        <v>0</v>
      </c>
      <c r="AD79" s="107">
        <f t="shared" si="59"/>
        <v>0</v>
      </c>
      <c r="AE79" s="107">
        <f t="shared" si="59"/>
        <v>0</v>
      </c>
      <c r="AF79" s="107">
        <f t="shared" si="59"/>
        <v>0</v>
      </c>
      <c r="AG79" s="107">
        <f t="shared" si="59"/>
        <v>0</v>
      </c>
      <c r="AH79" s="107">
        <f t="shared" si="59"/>
        <v>0</v>
      </c>
      <c r="AI79" s="107">
        <f t="shared" si="59"/>
        <v>0</v>
      </c>
      <c r="AJ79" s="107">
        <f t="shared" ref="AJ79:BO79" si="60">AJ69/AJ73</f>
        <v>0</v>
      </c>
      <c r="AK79" s="107">
        <f t="shared" si="60"/>
        <v>0</v>
      </c>
      <c r="AL79" s="107">
        <f t="shared" si="60"/>
        <v>0</v>
      </c>
      <c r="AM79" s="107">
        <f t="shared" si="60"/>
        <v>0</v>
      </c>
      <c r="AN79" s="107">
        <f t="shared" si="60"/>
        <v>0</v>
      </c>
      <c r="AO79" s="107">
        <f t="shared" si="60"/>
        <v>0</v>
      </c>
      <c r="AP79" s="107" t="e">
        <f t="shared" si="60"/>
        <v>#DIV/0!</v>
      </c>
      <c r="AQ79" s="107" t="e">
        <f t="shared" si="60"/>
        <v>#DIV/0!</v>
      </c>
      <c r="AR79" s="107" t="e">
        <f t="shared" si="60"/>
        <v>#DIV/0!</v>
      </c>
      <c r="AS79" s="107" t="e">
        <f t="shared" si="60"/>
        <v>#DIV/0!</v>
      </c>
      <c r="AT79" s="107" t="e">
        <f t="shared" si="60"/>
        <v>#DIV/0!</v>
      </c>
      <c r="AU79" s="107" t="e">
        <f t="shared" si="60"/>
        <v>#DIV/0!</v>
      </c>
      <c r="AV79" s="107">
        <f t="shared" si="60"/>
        <v>0</v>
      </c>
      <c r="AW79" s="107">
        <f t="shared" si="60"/>
        <v>0</v>
      </c>
      <c r="AX79" s="107">
        <f t="shared" si="60"/>
        <v>0</v>
      </c>
      <c r="AY79" s="107">
        <f t="shared" si="60"/>
        <v>0</v>
      </c>
      <c r="AZ79" s="107" t="e">
        <f t="shared" si="60"/>
        <v>#DIV/0!</v>
      </c>
      <c r="BA79" s="107" t="e">
        <f t="shared" si="60"/>
        <v>#DIV/0!</v>
      </c>
      <c r="BB79" s="107" t="e">
        <f t="shared" si="60"/>
        <v>#DIV/0!</v>
      </c>
      <c r="BC79" s="107" t="e">
        <f t="shared" si="60"/>
        <v>#DIV/0!</v>
      </c>
      <c r="BD79" s="107" t="e">
        <f t="shared" si="60"/>
        <v>#DIV/0!</v>
      </c>
      <c r="BE79" s="107" t="e">
        <f t="shared" si="60"/>
        <v>#DIV/0!</v>
      </c>
      <c r="BF79" s="107" t="e">
        <f t="shared" si="60"/>
        <v>#DIV/0!</v>
      </c>
      <c r="BG79" s="107" t="e">
        <f t="shared" si="60"/>
        <v>#DIV/0!</v>
      </c>
      <c r="BH79" s="107" t="e">
        <f t="shared" si="60"/>
        <v>#DIV/0!</v>
      </c>
      <c r="BI79" s="107" t="e">
        <f t="shared" si="60"/>
        <v>#DIV/0!</v>
      </c>
      <c r="BJ79" s="107" t="e">
        <f t="shared" si="60"/>
        <v>#DIV/0!</v>
      </c>
      <c r="BK79" s="107" t="e">
        <f t="shared" si="60"/>
        <v>#DIV/0!</v>
      </c>
      <c r="BL79" s="107" t="e">
        <f t="shared" si="60"/>
        <v>#DIV/0!</v>
      </c>
      <c r="BM79" s="107" t="e">
        <f t="shared" si="60"/>
        <v>#DIV/0!</v>
      </c>
      <c r="BN79" s="107" t="e">
        <f t="shared" si="60"/>
        <v>#DIV/0!</v>
      </c>
      <c r="BO79" s="107" t="e">
        <f t="shared" si="60"/>
        <v>#DIV/0!</v>
      </c>
      <c r="BP79" s="107" t="e">
        <f t="shared" ref="BP79:CV79" si="61">BP69/BP73</f>
        <v>#DIV/0!</v>
      </c>
      <c r="BQ79" s="107">
        <f t="shared" si="61"/>
        <v>0</v>
      </c>
      <c r="BR79" s="107">
        <f t="shared" si="61"/>
        <v>0</v>
      </c>
      <c r="BS79" s="107" t="e">
        <f t="shared" si="61"/>
        <v>#DIV/0!</v>
      </c>
      <c r="BT79" s="107" t="e">
        <f t="shared" si="61"/>
        <v>#DIV/0!</v>
      </c>
      <c r="BU79" s="107" t="e">
        <f t="shared" si="61"/>
        <v>#DIV/0!</v>
      </c>
      <c r="BV79" s="107" t="e">
        <f t="shared" si="61"/>
        <v>#DIV/0!</v>
      </c>
      <c r="BW79" s="107" t="e">
        <f t="shared" si="61"/>
        <v>#DIV/0!</v>
      </c>
      <c r="BX79" s="107" t="e">
        <f t="shared" si="61"/>
        <v>#DIV/0!</v>
      </c>
      <c r="BY79" s="107" t="e">
        <f t="shared" si="61"/>
        <v>#DIV/0!</v>
      </c>
      <c r="BZ79" s="107">
        <f t="shared" si="61"/>
        <v>0</v>
      </c>
      <c r="CA79" s="107">
        <f t="shared" si="61"/>
        <v>0</v>
      </c>
      <c r="CB79" s="107" t="e">
        <f t="shared" si="61"/>
        <v>#DIV/0!</v>
      </c>
      <c r="CC79" s="107" t="e">
        <f t="shared" si="61"/>
        <v>#DIV/0!</v>
      </c>
      <c r="CD79" s="107" t="e">
        <f t="shared" si="61"/>
        <v>#DIV/0!</v>
      </c>
      <c r="CE79" s="107" t="e">
        <f t="shared" si="61"/>
        <v>#DIV/0!</v>
      </c>
      <c r="CF79" s="107" t="e">
        <f t="shared" si="61"/>
        <v>#DIV/0!</v>
      </c>
      <c r="CG79" s="107" t="e">
        <f t="shared" si="61"/>
        <v>#DIV/0!</v>
      </c>
      <c r="CH79" s="107" t="e">
        <f t="shared" si="61"/>
        <v>#DIV/0!</v>
      </c>
      <c r="CI79" s="107">
        <f t="shared" si="61"/>
        <v>0</v>
      </c>
      <c r="CJ79" s="107">
        <f t="shared" si="61"/>
        <v>0</v>
      </c>
      <c r="CK79" s="107" t="e">
        <f t="shared" si="61"/>
        <v>#DIV/0!</v>
      </c>
      <c r="CL79" s="107" t="e">
        <f t="shared" si="61"/>
        <v>#DIV/0!</v>
      </c>
      <c r="CM79" s="107" t="e">
        <f t="shared" si="61"/>
        <v>#DIV/0!</v>
      </c>
      <c r="CN79" s="107" t="e">
        <f t="shared" si="61"/>
        <v>#DIV/0!</v>
      </c>
      <c r="CO79" s="107" t="e">
        <f t="shared" si="61"/>
        <v>#DIV/0!</v>
      </c>
      <c r="CP79" s="107" t="e">
        <f t="shared" si="61"/>
        <v>#DIV/0!</v>
      </c>
      <c r="CQ79" s="107">
        <f t="shared" si="61"/>
        <v>0</v>
      </c>
      <c r="CR79" s="107">
        <f t="shared" si="61"/>
        <v>0</v>
      </c>
      <c r="CS79" s="107">
        <f t="shared" si="61"/>
        <v>0</v>
      </c>
      <c r="CT79" s="107">
        <f t="shared" si="61"/>
        <v>0</v>
      </c>
      <c r="CU79" s="107">
        <f t="shared" si="61"/>
        <v>0</v>
      </c>
      <c r="CV79" s="107">
        <f t="shared" si="61"/>
        <v>0</v>
      </c>
    </row>
    <row r="80" spans="2:100" ht="15" customHeight="1">
      <c r="B80" s="146" t="s">
        <v>209</v>
      </c>
      <c r="C80" s="152" t="s">
        <v>113</v>
      </c>
      <c r="D80" s="107">
        <f t="shared" ref="D80:AI80" si="62">D70/D73</f>
        <v>553.09147055810331</v>
      </c>
      <c r="E80" s="107">
        <f t="shared" si="62"/>
        <v>577.94238847736858</v>
      </c>
      <c r="F80" s="107">
        <f t="shared" si="62"/>
        <v>585.33353051732161</v>
      </c>
      <c r="G80" s="107">
        <f t="shared" si="62"/>
        <v>589.83060637241147</v>
      </c>
      <c r="H80" s="107">
        <f t="shared" si="62"/>
        <v>385.42797790883913</v>
      </c>
      <c r="I80" s="107">
        <f t="shared" si="62"/>
        <v>421.46544209424309</v>
      </c>
      <c r="J80" s="107">
        <f t="shared" si="62"/>
        <v>511.1550705457675</v>
      </c>
      <c r="K80" s="107">
        <f t="shared" si="62"/>
        <v>608.43515906430196</v>
      </c>
      <c r="L80" s="107">
        <f t="shared" si="62"/>
        <v>460.64323534318532</v>
      </c>
      <c r="M80" s="107">
        <f t="shared" si="62"/>
        <v>412.98461631179265</v>
      </c>
      <c r="N80" s="107">
        <f t="shared" si="62"/>
        <v>491.17638147129418</v>
      </c>
      <c r="O80" s="107">
        <f t="shared" si="62"/>
        <v>484.32841178855074</v>
      </c>
      <c r="P80" s="107">
        <f t="shared" si="62"/>
        <v>550.98837311428338</v>
      </c>
      <c r="Q80" s="107">
        <f t="shared" si="62"/>
        <v>405.56121716205035</v>
      </c>
      <c r="R80" s="107">
        <f t="shared" si="62"/>
        <v>502.93149609598981</v>
      </c>
      <c r="S80" s="107">
        <f t="shared" si="62"/>
        <v>612.55616254963934</v>
      </c>
      <c r="T80" s="107" t="e">
        <f t="shared" si="62"/>
        <v>#DIV/0!</v>
      </c>
      <c r="U80" s="107" t="e">
        <f t="shared" si="62"/>
        <v>#DIV/0!</v>
      </c>
      <c r="V80" s="107" t="e">
        <f t="shared" si="62"/>
        <v>#DIV/0!</v>
      </c>
      <c r="W80" s="107" t="e">
        <f t="shared" si="62"/>
        <v>#DIV/0!</v>
      </c>
      <c r="X80" s="107" t="e">
        <f t="shared" si="62"/>
        <v>#DIV/0!</v>
      </c>
      <c r="Y80" s="107" t="e">
        <f t="shared" si="62"/>
        <v>#DIV/0!</v>
      </c>
      <c r="Z80" s="107" t="e">
        <f t="shared" si="62"/>
        <v>#DIV/0!</v>
      </c>
      <c r="AA80" s="107">
        <f t="shared" si="62"/>
        <v>595.25338070655982</v>
      </c>
      <c r="AB80" s="107">
        <f t="shared" si="62"/>
        <v>602.65179488000626</v>
      </c>
      <c r="AC80" s="107">
        <f t="shared" si="62"/>
        <v>402.73890581143144</v>
      </c>
      <c r="AD80" s="107">
        <f t="shared" si="62"/>
        <v>438.78047956804352</v>
      </c>
      <c r="AE80" s="107">
        <f t="shared" si="62"/>
        <v>528.46318727268749</v>
      </c>
      <c r="AF80" s="107">
        <f t="shared" si="62"/>
        <v>607.13912897990394</v>
      </c>
      <c r="AG80" s="107">
        <f t="shared" si="62"/>
        <v>625.7452601409467</v>
      </c>
      <c r="AH80" s="107">
        <f t="shared" si="62"/>
        <v>477.91708160663359</v>
      </c>
      <c r="AI80" s="107">
        <f t="shared" si="62"/>
        <v>430.30035624385005</v>
      </c>
      <c r="AJ80" s="107">
        <f t="shared" ref="AJ80:BO80" si="63">AJ70/AJ73</f>
        <v>508.48022046516934</v>
      </c>
      <c r="AK80" s="107">
        <f t="shared" si="63"/>
        <v>501.63467708207344</v>
      </c>
      <c r="AL80" s="107">
        <f t="shared" si="63"/>
        <v>568.32747663490431</v>
      </c>
      <c r="AM80" s="107">
        <f t="shared" si="63"/>
        <v>422.87376362546445</v>
      </c>
      <c r="AN80" s="107">
        <f t="shared" si="63"/>
        <v>520.3296916368987</v>
      </c>
      <c r="AO80" s="107">
        <f t="shared" si="63"/>
        <v>629.86251819712675</v>
      </c>
      <c r="AP80" s="107" t="e">
        <f t="shared" si="63"/>
        <v>#DIV/0!</v>
      </c>
      <c r="AQ80" s="107" t="e">
        <f t="shared" si="63"/>
        <v>#DIV/0!</v>
      </c>
      <c r="AR80" s="107" t="e">
        <f t="shared" si="63"/>
        <v>#DIV/0!</v>
      </c>
      <c r="AS80" s="107" t="e">
        <f t="shared" si="63"/>
        <v>#DIV/0!</v>
      </c>
      <c r="AT80" s="107" t="e">
        <f t="shared" si="63"/>
        <v>#DIV/0!</v>
      </c>
      <c r="AU80" s="107" t="e">
        <f t="shared" si="63"/>
        <v>#DIV/0!</v>
      </c>
      <c r="AV80" s="107">
        <f t="shared" si="63"/>
        <v>442.23392157702</v>
      </c>
      <c r="AW80" s="107">
        <f t="shared" si="63"/>
        <v>442.9142519681281</v>
      </c>
      <c r="AX80" s="107">
        <f t="shared" si="63"/>
        <v>512.96127337333837</v>
      </c>
      <c r="AY80" s="107">
        <f t="shared" si="63"/>
        <v>506.08174382145717</v>
      </c>
      <c r="AZ80" s="107" t="e">
        <f t="shared" si="63"/>
        <v>#DIV/0!</v>
      </c>
      <c r="BA80" s="107" t="e">
        <f t="shared" si="63"/>
        <v>#DIV/0!</v>
      </c>
      <c r="BB80" s="107" t="e">
        <f t="shared" si="63"/>
        <v>#DIV/0!</v>
      </c>
      <c r="BC80" s="107" t="e">
        <f t="shared" si="63"/>
        <v>#DIV/0!</v>
      </c>
      <c r="BD80" s="107" t="e">
        <f t="shared" si="63"/>
        <v>#DIV/0!</v>
      </c>
      <c r="BE80" s="107" t="e">
        <f t="shared" si="63"/>
        <v>#DIV/0!</v>
      </c>
      <c r="BF80" s="107" t="e">
        <f t="shared" si="63"/>
        <v>#DIV/0!</v>
      </c>
      <c r="BG80" s="107" t="e">
        <f t="shared" si="63"/>
        <v>#DIV/0!</v>
      </c>
      <c r="BH80" s="107" t="e">
        <f t="shared" si="63"/>
        <v>#DIV/0!</v>
      </c>
      <c r="BI80" s="107" t="e">
        <f t="shared" si="63"/>
        <v>#DIV/0!</v>
      </c>
      <c r="BJ80" s="107" t="e">
        <f t="shared" si="63"/>
        <v>#DIV/0!</v>
      </c>
      <c r="BK80" s="107" t="e">
        <f t="shared" si="63"/>
        <v>#DIV/0!</v>
      </c>
      <c r="BL80" s="107" t="e">
        <f t="shared" si="63"/>
        <v>#DIV/0!</v>
      </c>
      <c r="BM80" s="107" t="e">
        <f t="shared" si="63"/>
        <v>#DIV/0!</v>
      </c>
      <c r="BN80" s="107" t="e">
        <f t="shared" si="63"/>
        <v>#DIV/0!</v>
      </c>
      <c r="BO80" s="107" t="e">
        <f t="shared" si="63"/>
        <v>#DIV/0!</v>
      </c>
      <c r="BP80" s="107" t="e">
        <f t="shared" ref="BP80:CV80" si="64">BP70/BP73</f>
        <v>#DIV/0!</v>
      </c>
      <c r="BQ80" s="107">
        <f t="shared" si="64"/>
        <v>475.23844269292732</v>
      </c>
      <c r="BR80" s="107">
        <f t="shared" si="64"/>
        <v>562.58001921656796</v>
      </c>
      <c r="BS80" s="107" t="e">
        <f t="shared" si="64"/>
        <v>#DIV/0!</v>
      </c>
      <c r="BT80" s="107" t="e">
        <f t="shared" si="64"/>
        <v>#DIV/0!</v>
      </c>
      <c r="BU80" s="107" t="e">
        <f t="shared" si="64"/>
        <v>#DIV/0!</v>
      </c>
      <c r="BV80" s="107" t="e">
        <f t="shared" si="64"/>
        <v>#DIV/0!</v>
      </c>
      <c r="BW80" s="107" t="e">
        <f t="shared" si="64"/>
        <v>#DIV/0!</v>
      </c>
      <c r="BX80" s="107" t="e">
        <f t="shared" si="64"/>
        <v>#DIV/0!</v>
      </c>
      <c r="BY80" s="107" t="e">
        <f t="shared" si="64"/>
        <v>#DIV/0!</v>
      </c>
      <c r="BZ80" s="107">
        <f t="shared" si="64"/>
        <v>481.69538000831051</v>
      </c>
      <c r="CA80" s="107">
        <f t="shared" si="64"/>
        <v>573.31183111076041</v>
      </c>
      <c r="CB80" s="107" t="e">
        <f t="shared" si="64"/>
        <v>#DIV/0!</v>
      </c>
      <c r="CC80" s="107" t="e">
        <f t="shared" si="64"/>
        <v>#DIV/0!</v>
      </c>
      <c r="CD80" s="107" t="e">
        <f t="shared" si="64"/>
        <v>#DIV/0!</v>
      </c>
      <c r="CE80" s="107" t="e">
        <f t="shared" si="64"/>
        <v>#DIV/0!</v>
      </c>
      <c r="CF80" s="107" t="e">
        <f t="shared" si="64"/>
        <v>#DIV/0!</v>
      </c>
      <c r="CG80" s="107" t="e">
        <f t="shared" si="64"/>
        <v>#DIV/0!</v>
      </c>
      <c r="CH80" s="107" t="e">
        <f t="shared" si="64"/>
        <v>#DIV/0!</v>
      </c>
      <c r="CI80" s="107">
        <f t="shared" si="64"/>
        <v>483.63787497380605</v>
      </c>
      <c r="CJ80" s="107">
        <f t="shared" si="64"/>
        <v>563.81378361791724</v>
      </c>
      <c r="CK80" s="107" t="e">
        <f t="shared" si="64"/>
        <v>#DIV/0!</v>
      </c>
      <c r="CL80" s="107" t="e">
        <f t="shared" si="64"/>
        <v>#DIV/0!</v>
      </c>
      <c r="CM80" s="107" t="e">
        <f t="shared" si="64"/>
        <v>#DIV/0!</v>
      </c>
      <c r="CN80" s="107" t="e">
        <f t="shared" si="64"/>
        <v>#DIV/0!</v>
      </c>
      <c r="CO80" s="107" t="e">
        <f t="shared" si="64"/>
        <v>#DIV/0!</v>
      </c>
      <c r="CP80" s="107" t="e">
        <f t="shared" si="64"/>
        <v>#DIV/0!</v>
      </c>
      <c r="CQ80" s="107">
        <f t="shared" si="64"/>
        <v>411.52171034027538</v>
      </c>
      <c r="CR80" s="107">
        <f t="shared" si="64"/>
        <v>601.68860151891158</v>
      </c>
      <c r="CS80" s="107">
        <f t="shared" si="64"/>
        <v>495.71534392321468</v>
      </c>
      <c r="CT80" s="107">
        <f t="shared" si="64"/>
        <v>405.5608931004931</v>
      </c>
      <c r="CU80" s="107">
        <f t="shared" si="64"/>
        <v>502.96118574203433</v>
      </c>
      <c r="CV80" s="107">
        <f t="shared" si="64"/>
        <v>512.69029880595792</v>
      </c>
    </row>
    <row r="81" spans="2:100" ht="15" customHeight="1">
      <c r="B81" s="146" t="s">
        <v>210</v>
      </c>
      <c r="C81" s="152" t="s">
        <v>114</v>
      </c>
      <c r="D81" s="107">
        <f t="shared" ref="D81:AI81" si="65">D71/D73</f>
        <v>73.39481919334817</v>
      </c>
      <c r="E81" s="107">
        <f t="shared" si="65"/>
        <v>73.394864311592883</v>
      </c>
      <c r="F81" s="107">
        <f t="shared" si="65"/>
        <v>73.394797246577653</v>
      </c>
      <c r="G81" s="107">
        <f t="shared" si="65"/>
        <v>73.394785639655666</v>
      </c>
      <c r="H81" s="107">
        <f t="shared" si="65"/>
        <v>73.394803413292252</v>
      </c>
      <c r="I81" s="107">
        <f t="shared" si="65"/>
        <v>73.394447233785243</v>
      </c>
      <c r="J81" s="107">
        <f t="shared" si="65"/>
        <v>73.394934011982741</v>
      </c>
      <c r="K81" s="107">
        <f t="shared" si="65"/>
        <v>73.394839373543704</v>
      </c>
      <c r="L81" s="107">
        <f t="shared" si="65"/>
        <v>73.393468456884648</v>
      </c>
      <c r="M81" s="107">
        <f t="shared" si="65"/>
        <v>73.394655293969691</v>
      </c>
      <c r="N81" s="107">
        <f t="shared" si="65"/>
        <v>73.39457205904688</v>
      </c>
      <c r="O81" s="107">
        <f t="shared" si="65"/>
        <v>73.394683559974581</v>
      </c>
      <c r="P81" s="107">
        <f t="shared" si="65"/>
        <v>73.396029928734222</v>
      </c>
      <c r="Q81" s="107">
        <f t="shared" si="65"/>
        <v>73.394870226474936</v>
      </c>
      <c r="R81" s="107">
        <f t="shared" si="65"/>
        <v>73.390479107253043</v>
      </c>
      <c r="S81" s="107">
        <f t="shared" si="65"/>
        <v>73.394802330237042</v>
      </c>
      <c r="T81" s="107" t="e">
        <f t="shared" si="65"/>
        <v>#DIV/0!</v>
      </c>
      <c r="U81" s="107" t="e">
        <f t="shared" si="65"/>
        <v>#DIV/0!</v>
      </c>
      <c r="V81" s="107" t="e">
        <f t="shared" si="65"/>
        <v>#DIV/0!</v>
      </c>
      <c r="W81" s="107" t="e">
        <f t="shared" si="65"/>
        <v>#DIV/0!</v>
      </c>
      <c r="X81" s="107" t="e">
        <f t="shared" si="65"/>
        <v>#DIV/0!</v>
      </c>
      <c r="Y81" s="107" t="e">
        <f t="shared" si="65"/>
        <v>#DIV/0!</v>
      </c>
      <c r="Z81" s="107" t="e">
        <f t="shared" si="65"/>
        <v>#DIV/0!</v>
      </c>
      <c r="AA81" s="107">
        <f t="shared" si="65"/>
        <v>73.394840679295314</v>
      </c>
      <c r="AB81" s="107">
        <f t="shared" si="65"/>
        <v>73.395661488047921</v>
      </c>
      <c r="AC81" s="107">
        <f t="shared" si="65"/>
        <v>73.394759379293404</v>
      </c>
      <c r="AD81" s="107">
        <f t="shared" si="65"/>
        <v>73.395108279702114</v>
      </c>
      <c r="AE81" s="107">
        <f t="shared" si="65"/>
        <v>73.394505751690204</v>
      </c>
      <c r="AF81" s="107">
        <f t="shared" si="65"/>
        <v>73.394466171195774</v>
      </c>
      <c r="AG81" s="107">
        <f t="shared" si="65"/>
        <v>73.394713057988838</v>
      </c>
      <c r="AH81" s="107">
        <f t="shared" si="65"/>
        <v>73.387785537068922</v>
      </c>
      <c r="AI81" s="107">
        <f t="shared" si="65"/>
        <v>73.395440816897349</v>
      </c>
      <c r="AJ81" s="107">
        <f t="shared" ref="AJ81:BO81" si="66">AJ71/AJ73</f>
        <v>73.393521853122976</v>
      </c>
      <c r="AK81" s="107">
        <f t="shared" si="66"/>
        <v>73.393970159080382</v>
      </c>
      <c r="AL81" s="107">
        <f t="shared" si="66"/>
        <v>73.399600246913081</v>
      </c>
      <c r="AM81" s="107">
        <f t="shared" si="66"/>
        <v>73.395106475551984</v>
      </c>
      <c r="AN81" s="107">
        <f t="shared" si="66"/>
        <v>73.402899748803705</v>
      </c>
      <c r="AO81" s="107">
        <f t="shared" si="66"/>
        <v>73.394241426047017</v>
      </c>
      <c r="AP81" s="107" t="e">
        <f t="shared" si="66"/>
        <v>#DIV/0!</v>
      </c>
      <c r="AQ81" s="107" t="e">
        <f t="shared" si="66"/>
        <v>#DIV/0!</v>
      </c>
      <c r="AR81" s="107" t="e">
        <f t="shared" si="66"/>
        <v>#DIV/0!</v>
      </c>
      <c r="AS81" s="107" t="e">
        <f t="shared" si="66"/>
        <v>#DIV/0!</v>
      </c>
      <c r="AT81" s="107" t="e">
        <f t="shared" si="66"/>
        <v>#DIV/0!</v>
      </c>
      <c r="AU81" s="107" t="e">
        <f t="shared" si="66"/>
        <v>#DIV/0!</v>
      </c>
      <c r="AV81" s="107">
        <f t="shared" si="66"/>
        <v>73.396182793382337</v>
      </c>
      <c r="AW81" s="107">
        <f t="shared" si="66"/>
        <v>73.399078605496726</v>
      </c>
      <c r="AX81" s="107">
        <f t="shared" si="66"/>
        <v>73.400226287854537</v>
      </c>
      <c r="AY81" s="107">
        <f t="shared" si="66"/>
        <v>73.391772810669437</v>
      </c>
      <c r="AZ81" s="107" t="e">
        <f t="shared" si="66"/>
        <v>#DIV/0!</v>
      </c>
      <c r="BA81" s="107" t="e">
        <f t="shared" si="66"/>
        <v>#DIV/0!</v>
      </c>
      <c r="BB81" s="107" t="e">
        <f t="shared" si="66"/>
        <v>#DIV/0!</v>
      </c>
      <c r="BC81" s="107" t="e">
        <f t="shared" si="66"/>
        <v>#DIV/0!</v>
      </c>
      <c r="BD81" s="107" t="e">
        <f t="shared" si="66"/>
        <v>#DIV/0!</v>
      </c>
      <c r="BE81" s="107" t="e">
        <f t="shared" si="66"/>
        <v>#DIV/0!</v>
      </c>
      <c r="BF81" s="107" t="e">
        <f t="shared" si="66"/>
        <v>#DIV/0!</v>
      </c>
      <c r="BG81" s="107" t="e">
        <f t="shared" si="66"/>
        <v>#DIV/0!</v>
      </c>
      <c r="BH81" s="107" t="e">
        <f t="shared" si="66"/>
        <v>#DIV/0!</v>
      </c>
      <c r="BI81" s="107" t="e">
        <f t="shared" si="66"/>
        <v>#DIV/0!</v>
      </c>
      <c r="BJ81" s="107" t="e">
        <f t="shared" si="66"/>
        <v>#DIV/0!</v>
      </c>
      <c r="BK81" s="107" t="e">
        <f t="shared" si="66"/>
        <v>#DIV/0!</v>
      </c>
      <c r="BL81" s="107" t="e">
        <f t="shared" si="66"/>
        <v>#DIV/0!</v>
      </c>
      <c r="BM81" s="107" t="e">
        <f t="shared" si="66"/>
        <v>#DIV/0!</v>
      </c>
      <c r="BN81" s="107" t="e">
        <f t="shared" si="66"/>
        <v>#DIV/0!</v>
      </c>
      <c r="BO81" s="107" t="e">
        <f t="shared" si="66"/>
        <v>#DIV/0!</v>
      </c>
      <c r="BP81" s="107" t="e">
        <f t="shared" ref="BP81:CV81" si="67">BP71/BP73</f>
        <v>#DIV/0!</v>
      </c>
      <c r="BQ81" s="107">
        <f t="shared" si="67"/>
        <v>73.397615557828146</v>
      </c>
      <c r="BR81" s="107">
        <f t="shared" si="67"/>
        <v>73.395068468781929</v>
      </c>
      <c r="BS81" s="107" t="e">
        <f t="shared" si="67"/>
        <v>#DIV/0!</v>
      </c>
      <c r="BT81" s="107" t="e">
        <f t="shared" si="67"/>
        <v>#DIV/0!</v>
      </c>
      <c r="BU81" s="107" t="e">
        <f t="shared" si="67"/>
        <v>#DIV/0!</v>
      </c>
      <c r="BV81" s="107" t="e">
        <f t="shared" si="67"/>
        <v>#DIV/0!</v>
      </c>
      <c r="BW81" s="107" t="e">
        <f t="shared" si="67"/>
        <v>#DIV/0!</v>
      </c>
      <c r="BX81" s="107" t="e">
        <f t="shared" si="67"/>
        <v>#DIV/0!</v>
      </c>
      <c r="BY81" s="107" t="e">
        <f t="shared" si="67"/>
        <v>#DIV/0!</v>
      </c>
      <c r="BZ81" s="107">
        <f t="shared" si="67"/>
        <v>73.395920954338109</v>
      </c>
      <c r="CA81" s="107">
        <f t="shared" si="67"/>
        <v>73.394770654025052</v>
      </c>
      <c r="CB81" s="107" t="e">
        <f t="shared" si="67"/>
        <v>#DIV/0!</v>
      </c>
      <c r="CC81" s="107" t="e">
        <f t="shared" si="67"/>
        <v>#DIV/0!</v>
      </c>
      <c r="CD81" s="107" t="e">
        <f t="shared" si="67"/>
        <v>#DIV/0!</v>
      </c>
      <c r="CE81" s="107" t="e">
        <f t="shared" si="67"/>
        <v>#DIV/0!</v>
      </c>
      <c r="CF81" s="107" t="e">
        <f t="shared" si="67"/>
        <v>#DIV/0!</v>
      </c>
      <c r="CG81" s="107" t="e">
        <f t="shared" si="67"/>
        <v>#DIV/0!</v>
      </c>
      <c r="CH81" s="107" t="e">
        <f t="shared" si="67"/>
        <v>#DIV/0!</v>
      </c>
      <c r="CI81" s="107">
        <f t="shared" si="67"/>
        <v>73.389141490904876</v>
      </c>
      <c r="CJ81" s="107">
        <f t="shared" si="67"/>
        <v>73.392934218349808</v>
      </c>
      <c r="CK81" s="107" t="e">
        <f t="shared" si="67"/>
        <v>#DIV/0!</v>
      </c>
      <c r="CL81" s="107" t="e">
        <f t="shared" si="67"/>
        <v>#DIV/0!</v>
      </c>
      <c r="CM81" s="107" t="e">
        <f t="shared" si="67"/>
        <v>#DIV/0!</v>
      </c>
      <c r="CN81" s="107" t="e">
        <f t="shared" si="67"/>
        <v>#DIV/0!</v>
      </c>
      <c r="CO81" s="107" t="e">
        <f t="shared" si="67"/>
        <v>#DIV/0!</v>
      </c>
      <c r="CP81" s="107" t="e">
        <f t="shared" si="67"/>
        <v>#DIV/0!</v>
      </c>
      <c r="CQ81" s="107">
        <f t="shared" si="67"/>
        <v>73.395830032573926</v>
      </c>
      <c r="CR81" s="107">
        <f t="shared" si="67"/>
        <v>73.394855482311968</v>
      </c>
      <c r="CS81" s="107">
        <f t="shared" si="67"/>
        <v>73.386087641155186</v>
      </c>
      <c r="CT81" s="107">
        <f t="shared" si="67"/>
        <v>73.394811580689961</v>
      </c>
      <c r="CU81" s="107">
        <f t="shared" si="67"/>
        <v>73.394811580690558</v>
      </c>
      <c r="CV81" s="107">
        <f t="shared" si="67"/>
        <v>73.394811580690885</v>
      </c>
    </row>
    <row r="82" spans="2:100" ht="15" customHeight="1">
      <c r="B82" s="148" t="s">
        <v>211</v>
      </c>
      <c r="C82" s="170" t="s">
        <v>115</v>
      </c>
      <c r="D82" s="107">
        <f t="shared" ref="D82:AI82" si="68">D72/D73</f>
        <v>620.3104784705838</v>
      </c>
      <c r="E82" s="107">
        <f t="shared" si="68"/>
        <v>640.75438043864369</v>
      </c>
      <c r="F82" s="107">
        <f t="shared" si="68"/>
        <v>634.95011590672016</v>
      </c>
      <c r="G82" s="107">
        <f t="shared" si="68"/>
        <v>621.57791859081817</v>
      </c>
      <c r="H82" s="107">
        <f t="shared" si="68"/>
        <v>539.78071085786223</v>
      </c>
      <c r="I82" s="107">
        <f t="shared" si="68"/>
        <v>596.1190724996419</v>
      </c>
      <c r="J82" s="107">
        <f t="shared" si="68"/>
        <v>675.24283901484011</v>
      </c>
      <c r="K82" s="107">
        <f t="shared" si="68"/>
        <v>630.86330528938026</v>
      </c>
      <c r="L82" s="107">
        <f t="shared" si="68"/>
        <v>664.6793922029799</v>
      </c>
      <c r="M82" s="107">
        <f t="shared" si="68"/>
        <v>584.00818964122584</v>
      </c>
      <c r="N82" s="107">
        <f t="shared" si="68"/>
        <v>646.52788265181402</v>
      </c>
      <c r="O82" s="107">
        <f t="shared" si="68"/>
        <v>637.33871229313729</v>
      </c>
      <c r="P82" s="107">
        <f t="shared" si="68"/>
        <v>737.75020026573145</v>
      </c>
      <c r="Q82" s="107">
        <f t="shared" si="68"/>
        <v>574.16184714588519</v>
      </c>
      <c r="R82" s="107">
        <f t="shared" si="68"/>
        <v>649.17400841460085</v>
      </c>
      <c r="S82" s="107">
        <f t="shared" si="68"/>
        <v>618.81588974684632</v>
      </c>
      <c r="T82" s="107" t="e">
        <f t="shared" si="68"/>
        <v>#DIV/0!</v>
      </c>
      <c r="U82" s="107" t="e">
        <f t="shared" si="68"/>
        <v>#DIV/0!</v>
      </c>
      <c r="V82" s="107" t="e">
        <f t="shared" si="68"/>
        <v>#DIV/0!</v>
      </c>
      <c r="W82" s="107" t="e">
        <f t="shared" si="68"/>
        <v>#DIV/0!</v>
      </c>
      <c r="X82" s="107" t="e">
        <f t="shared" si="68"/>
        <v>#DIV/0!</v>
      </c>
      <c r="Y82" s="107" t="e">
        <f t="shared" si="68"/>
        <v>#DIV/0!</v>
      </c>
      <c r="Z82" s="107" t="e">
        <f t="shared" si="68"/>
        <v>#DIV/0!</v>
      </c>
      <c r="AA82" s="107">
        <f t="shared" si="68"/>
        <v>663.66358648414916</v>
      </c>
      <c r="AB82" s="107">
        <f t="shared" si="68"/>
        <v>657.65975499954129</v>
      </c>
      <c r="AC82" s="107">
        <f t="shared" si="68"/>
        <v>559.07960029681647</v>
      </c>
      <c r="AD82" s="107">
        <f t="shared" si="68"/>
        <v>617.43817033084804</v>
      </c>
      <c r="AE82" s="107">
        <f t="shared" si="68"/>
        <v>699.38127212982693</v>
      </c>
      <c r="AF82" s="107">
        <f t="shared" si="68"/>
        <v>643.79890417301044</v>
      </c>
      <c r="AG82" s="107">
        <f t="shared" si="68"/>
        <v>653.41795669957355</v>
      </c>
      <c r="AH82" s="107">
        <f t="shared" si="68"/>
        <v>688.39091578271962</v>
      </c>
      <c r="AI82" s="107">
        <f t="shared" si="68"/>
        <v>604.89518998416611</v>
      </c>
      <c r="AJ82" s="107">
        <f t="shared" ref="AJ82:BO82" si="69">AJ72/AJ73</f>
        <v>669.63414521552158</v>
      </c>
      <c r="AK82" s="107">
        <f t="shared" si="69"/>
        <v>660.11959236499524</v>
      </c>
      <c r="AL82" s="107">
        <f t="shared" si="69"/>
        <v>764.16476219019273</v>
      </c>
      <c r="AM82" s="107">
        <f t="shared" si="69"/>
        <v>594.6922433628049</v>
      </c>
      <c r="AN82" s="107">
        <f t="shared" si="69"/>
        <v>672.49825673824591</v>
      </c>
      <c r="AO82" s="107">
        <f t="shared" si="69"/>
        <v>640.93602628107465</v>
      </c>
      <c r="AP82" s="107" t="e">
        <f t="shared" si="69"/>
        <v>#DIV/0!</v>
      </c>
      <c r="AQ82" s="107" t="e">
        <f t="shared" si="69"/>
        <v>#DIV/0!</v>
      </c>
      <c r="AR82" s="107" t="e">
        <f t="shared" si="69"/>
        <v>#DIV/0!</v>
      </c>
      <c r="AS82" s="107" t="e">
        <f t="shared" si="69"/>
        <v>#DIV/0!</v>
      </c>
      <c r="AT82" s="107" t="e">
        <f t="shared" si="69"/>
        <v>#DIV/0!</v>
      </c>
      <c r="AU82" s="107" t="e">
        <f t="shared" si="69"/>
        <v>#DIV/0!</v>
      </c>
      <c r="AV82" s="107">
        <f t="shared" si="69"/>
        <v>552.13596633393092</v>
      </c>
      <c r="AW82" s="107">
        <f t="shared" si="69"/>
        <v>552.42625925197058</v>
      </c>
      <c r="AX82" s="107">
        <f t="shared" si="69"/>
        <v>676.89027571250756</v>
      </c>
      <c r="AY82" s="107">
        <f t="shared" si="69"/>
        <v>682.77844847218057</v>
      </c>
      <c r="AZ82" s="107" t="e">
        <f t="shared" si="69"/>
        <v>#DIV/0!</v>
      </c>
      <c r="BA82" s="107" t="e">
        <f t="shared" si="69"/>
        <v>#DIV/0!</v>
      </c>
      <c r="BB82" s="107" t="e">
        <f t="shared" si="69"/>
        <v>#DIV/0!</v>
      </c>
      <c r="BC82" s="107" t="e">
        <f t="shared" si="69"/>
        <v>#DIV/0!</v>
      </c>
      <c r="BD82" s="107" t="e">
        <f t="shared" si="69"/>
        <v>#DIV/0!</v>
      </c>
      <c r="BE82" s="107" t="e">
        <f t="shared" si="69"/>
        <v>#DIV/0!</v>
      </c>
      <c r="BF82" s="107" t="e">
        <f t="shared" si="69"/>
        <v>#DIV/0!</v>
      </c>
      <c r="BG82" s="107" t="e">
        <f t="shared" si="69"/>
        <v>#DIV/0!</v>
      </c>
      <c r="BH82" s="107" t="e">
        <f t="shared" si="69"/>
        <v>#DIV/0!</v>
      </c>
      <c r="BI82" s="107" t="e">
        <f t="shared" si="69"/>
        <v>#DIV/0!</v>
      </c>
      <c r="BJ82" s="107" t="e">
        <f t="shared" si="69"/>
        <v>#DIV/0!</v>
      </c>
      <c r="BK82" s="107" t="e">
        <f t="shared" si="69"/>
        <v>#DIV/0!</v>
      </c>
      <c r="BL82" s="107" t="e">
        <f t="shared" si="69"/>
        <v>#DIV/0!</v>
      </c>
      <c r="BM82" s="107" t="e">
        <f t="shared" si="69"/>
        <v>#DIV/0!</v>
      </c>
      <c r="BN82" s="107" t="e">
        <f t="shared" si="69"/>
        <v>#DIV/0!</v>
      </c>
      <c r="BO82" s="107" t="e">
        <f t="shared" si="69"/>
        <v>#DIV/0!</v>
      </c>
      <c r="BP82" s="107" t="e">
        <f t="shared" ref="BP82:CV82" si="70">BP72/BP73</f>
        <v>#DIV/0!</v>
      </c>
      <c r="BQ82" s="107">
        <f t="shared" si="70"/>
        <v>601.19404216091937</v>
      </c>
      <c r="BR82" s="107">
        <f t="shared" si="70"/>
        <v>573.02602669244459</v>
      </c>
      <c r="BS82" s="107" t="e">
        <f t="shared" si="70"/>
        <v>#DIV/0!</v>
      </c>
      <c r="BT82" s="107" t="e">
        <f t="shared" si="70"/>
        <v>#DIV/0!</v>
      </c>
      <c r="BU82" s="107" t="e">
        <f t="shared" si="70"/>
        <v>#DIV/0!</v>
      </c>
      <c r="BV82" s="107" t="e">
        <f t="shared" si="70"/>
        <v>#DIV/0!</v>
      </c>
      <c r="BW82" s="107" t="e">
        <f t="shared" si="70"/>
        <v>#DIV/0!</v>
      </c>
      <c r="BX82" s="107" t="e">
        <f t="shared" si="70"/>
        <v>#DIV/0!</v>
      </c>
      <c r="BY82" s="107" t="e">
        <f t="shared" si="70"/>
        <v>#DIV/0!</v>
      </c>
      <c r="BZ82" s="107">
        <f t="shared" si="70"/>
        <v>609.36230443915281</v>
      </c>
      <c r="CA82" s="107">
        <f t="shared" si="70"/>
        <v>580.82263096782242</v>
      </c>
      <c r="CB82" s="107" t="e">
        <f t="shared" si="70"/>
        <v>#DIV/0!</v>
      </c>
      <c r="CC82" s="107" t="e">
        <f t="shared" si="70"/>
        <v>#DIV/0!</v>
      </c>
      <c r="CD82" s="107" t="e">
        <f t="shared" si="70"/>
        <v>#DIV/0!</v>
      </c>
      <c r="CE82" s="107" t="e">
        <f t="shared" si="70"/>
        <v>#DIV/0!</v>
      </c>
      <c r="CF82" s="107" t="e">
        <f t="shared" si="70"/>
        <v>#DIV/0!</v>
      </c>
      <c r="CG82" s="107" t="e">
        <f t="shared" si="70"/>
        <v>#DIV/0!</v>
      </c>
      <c r="CH82" s="107" t="e">
        <f t="shared" si="70"/>
        <v>#DIV/0!</v>
      </c>
      <c r="CI82" s="107">
        <f t="shared" si="70"/>
        <v>611.81963174114014</v>
      </c>
      <c r="CJ82" s="107">
        <f t="shared" si="70"/>
        <v>583.20414664299688</v>
      </c>
      <c r="CK82" s="107" t="e">
        <f t="shared" si="70"/>
        <v>#DIV/0!</v>
      </c>
      <c r="CL82" s="107" t="e">
        <f t="shared" si="70"/>
        <v>#DIV/0!</v>
      </c>
      <c r="CM82" s="107" t="e">
        <f t="shared" si="70"/>
        <v>#DIV/0!</v>
      </c>
      <c r="CN82" s="107" t="e">
        <f t="shared" si="70"/>
        <v>#DIV/0!</v>
      </c>
      <c r="CO82" s="107" t="e">
        <f t="shared" si="70"/>
        <v>#DIV/0!</v>
      </c>
      <c r="CP82" s="107" t="e">
        <f t="shared" si="70"/>
        <v>#DIV/0!</v>
      </c>
      <c r="CQ82" s="107">
        <f t="shared" si="70"/>
        <v>583.38666469403404</v>
      </c>
      <c r="CR82" s="107">
        <f t="shared" si="70"/>
        <v>619.40372205127312</v>
      </c>
      <c r="CS82" s="107">
        <f t="shared" si="70"/>
        <v>655.21330430545925</v>
      </c>
      <c r="CT82" s="107">
        <f t="shared" si="70"/>
        <v>574.16138836488142</v>
      </c>
      <c r="CU82" s="107">
        <f t="shared" si="70"/>
        <v>649.21233122134629</v>
      </c>
      <c r="CV82" s="107">
        <f t="shared" si="70"/>
        <v>618.81596774048671</v>
      </c>
    </row>
    <row r="83" spans="2:100" ht="15" customHeight="1"/>
  </sheetData>
  <sheetProtection algorithmName="SHA-512" hashValue="wjdSN2GSgBxO6MQVrMW8LH5+64jf+i1336jVvjc1u/sJYE2GXCDHrKdfesPBaeVOhFzLrMttsdkQRUV8eEW7mg==" saltValue="dJyjlxdGjUEEKrPzoJfqgQ==" spinCount="100000" sheet="1" objects="1"/>
  <mergeCells count="30">
    <mergeCell ref="C7:V8"/>
    <mergeCell ref="E10:Z10"/>
    <mergeCell ref="E11:Z11"/>
    <mergeCell ref="E21:Z21"/>
    <mergeCell ref="E60:CV60"/>
    <mergeCell ref="E61:CV61"/>
    <mergeCell ref="BQ10:BY10"/>
    <mergeCell ref="BQ11:BY11"/>
    <mergeCell ref="BQ21:BY21"/>
    <mergeCell ref="BI10:BP10"/>
    <mergeCell ref="BI11:BP11"/>
    <mergeCell ref="BI21:BP21"/>
    <mergeCell ref="AV10:BH10"/>
    <mergeCell ref="AV11:BH11"/>
    <mergeCell ref="AV21:BH21"/>
    <mergeCell ref="AA10:AU10"/>
    <mergeCell ref="AA11:AU11"/>
    <mergeCell ref="AA21:AU21"/>
    <mergeCell ref="CQ10:CV10"/>
    <mergeCell ref="CQ11:CV11"/>
    <mergeCell ref="CQ21:CV21"/>
    <mergeCell ref="E22:CV22"/>
    <mergeCell ref="E59:CV59"/>
    <mergeCell ref="E48:CV48"/>
    <mergeCell ref="CI10:CP10"/>
    <mergeCell ref="CI11:CP11"/>
    <mergeCell ref="CI21:CP21"/>
    <mergeCell ref="BZ10:CH10"/>
    <mergeCell ref="BZ11:CH11"/>
    <mergeCell ref="BZ21:CH21"/>
  </mergeCells>
  <dataValidations xWindow="756" yWindow="613" count="38">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CV73" xr:uid="{3025EDD3-C119-44D0-BCF2-9D4DD8A45B5F}">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CV72" xr:uid="{4284C826-BCCC-4B48-B842-9DA0BCC777D7}"/>
    <dataValidation allowBlank="1" showInputMessage="1" showErrorMessage="1" promptTitle="Required:" prompt="Enter the Risk Adjustment Transfer Amount for the benefit plan for the projection period as a dollar value with up to 16 characters including decimal place." sqref="E71:CV71" xr:uid="{E53DEF0E-619A-4EF1-8F26-1EF5B197FDEF}"/>
    <dataValidation allowBlank="1" showInputMessage="1" showErrorMessage="1" promptTitle="Required:" prompt="Enter the Cost Sharing Reduction for the benefit plan for the projection period as a dollar value with up to 16 characters including decimal place." sqref="E69:CV69" xr:uid="{D88AAD97-3518-48D0-BAA0-FDC923490EF0}"/>
    <dataValidation allowBlank="1" showInputMessage="1" showErrorMessage="1" promptTitle="Required:" prompt="Enter the Member Cost Sharing for the benefit plan for the projection period as a dollar value with up to 16 characters including decimal place." sqref="E68:CV68" xr:uid="{872CFFD0-C896-453B-BBD5-DC237115BEF7}"/>
    <dataValidation allowBlank="1" showInputMessage="1" showErrorMessage="1" promptTitle="Required:" prompt="Enter the Reinsurance for the benefit plan for the projection period as a dollar value with up to 16 characters including decimal place." sqref="E67:CV67" xr:uid="{3BB8ED96-6348-4D9A-973D-539D41E9B247}"/>
    <dataValidation allowBlank="1" showInputMessage="1" showErrorMessage="1" promptTitle="Required:" prompt="Enter the total allowed claims for the benefit plan for the projection period as a dollar value with up to 16 characters including decimal place." sqref="E66:CV66" xr:uid="{A323C71B-ED06-4469-9EA1-C088B4A3AC37}"/>
    <dataValidation allowBlank="1" showInputMessage="1" showErrorMessage="1" promptTitle="Required:" prompt="Enter the Catastrophic Adjustment for each plan as a numeric value greater than or equal to 0 with up to 16 characters including decimal place." sqref="E56:CV56" xr:uid="{186F8792-23D7-4FF2-B95E-C2ECD0616AE6}"/>
    <dataValidation allowBlank="1" showInputMessage="1" showErrorMessage="1" promptTitle="Required:" prompt="Enter the Profit and Risk Load as a percentage up to 16 characters including decimal place." sqref="E55:CV55" xr:uid="{F37A8198-0A03-4116-B51B-68BA891FC3C8}"/>
    <dataValidation allowBlank="1" showInputMessage="1" showErrorMessage="1" promptTitle="Required:" prompt="Enter the Taxes and Fees as a percentage up to 16 characters including decimal place." sqref="E54:CV54" xr:uid="{E03D6C98-B090-4864-82A5-FDDC3F8A6D3B}"/>
    <dataValidation allowBlank="1" showInputMessage="1" showErrorMessage="1" promptTitle="Required:" prompt="Enter the Administrative Expense as a percentage up to 16 characters including decimal place." sqref="E53:CV53" xr:uid="{B8F2CA21-B296-411A-9547-CF1F47B632CB}"/>
    <dataValidation allowBlank="1" showInputMessage="1" showErrorMessage="1" promptTitle="Required:" prompt="Enter the Benefits in Addition to EHB as a numeric value up to 16 characters including decimal place." sqref="E51:CV51" xr:uid="{841B0BF2-AD8F-49E6-B25D-5B63D88BCF1A}"/>
    <dataValidation allowBlank="1" showInputMessage="1" showErrorMessage="1" promptTitle="Required:" prompt="Enter the Provider Network Adjustment as a numeric value up to 16 characters including decimal place." sqref="E50:CV50" xr:uid="{1EC5B246-E9A0-4577-853E-97D8698E0E65}"/>
    <dataValidation allowBlank="1" showInputMessage="1" showErrorMessage="1" promptTitle="Required:" prompt="Enter the AV Cost Sharing Design of Plan as a numeric value up to 16 characters including decimal place." sqref="E49:CV49" xr:uid="{5054FB91-80A7-4E14-800E-26958059B477}"/>
    <dataValidation allowBlank="1" showInputMessage="1" showErrorMessage="1" promptTitle="Required:" prompt="Enter the Current Premium PMPM as a dollar amount greater than or equal to 0, with up to 16 characters including decimal place." sqref="E35:CV35" xr:uid="{2277433D-684A-4438-A3A0-D00033853677}"/>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CV34" xr:uid="{AEF4D14A-FB72-41E3-95D0-2A7A412A805B}">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CV33" xr:uid="{C485602B-A635-4EB0-9A88-E163254FD86E}">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CV32" xr:uid="{FD0EC265-64CF-4459-B1B0-C147AFB08A2D}"/>
    <dataValidation allowBlank="1" showInputMessage="1" showErrorMessage="1" promptTitle="Required:" prompt="Enter the Risk Adjustment Transfer Amount for the benefit plan with service dates within the experience period as a dollar value with up to 16 characters including decimal place." sqref="E31:CV31" xr:uid="{9D7469C2-6E2C-4C7E-9333-68867EC7CA2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CV30" xr:uid="{4B1D4A6E-836B-4B35-9386-73D0B1FEA6D9}">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CV29" xr:uid="{89F63F0D-66FE-4672-BCDE-61F162E36AC5}"/>
    <dataValidation allowBlank="1" showInputMessage="1" showErrorMessage="1" promptTitle="Required:" prompt="Enter the Member Cost Sharing for the benefit plan with service dates within the experience period as a dollar value with up to 16 characters including decimal place." sqref="E28:CV28" xr:uid="{FD831FE3-D2A3-4160-909A-B13FBD43A341}"/>
    <dataValidation allowBlank="1" showInputMessage="1" showErrorMessage="1" promptTitle="Required:" prompt="Enter Reinsurance for the benefit plan with service dates within the experience period as a dollar value with up to 16 characters including decimal place." sqref="E27:CV27" xr:uid="{B29993E8-BBA0-4B47-BA4E-F3D254E96AAE}"/>
    <dataValidation allowBlank="1" showInputMessage="1" showErrorMessage="1" promptTitle="Required:" prompt="Enter the total allowed claims for the benefit plan with service dates within the experience period as a dollar value with up to 16 characters including decimal place." sqref="E26:CV26" xr:uid="{F5DB6128-EB63-4D5A-B27C-CB3E0784CFE3}"/>
    <dataValidation allowBlank="1" showInputMessage="1" showErrorMessage="1" promptTitle="Required:" prompt="Enter the average change in premium rates over the twelve month period prior to the effective date for the plan as a percentage with up to 16 characters including decimal place." sqref="E20:CV20" xr:uid="{D2093E40-1717-418A-B486-11A8D01A0C55}"/>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CV19" xr:uid="{F148D8AD-A3E3-4E0B-A240-33E01CB4CD94}">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CV18" xr:uid="{08C05087-7B08-4248-ACE8-E32A0F043520}">
      <formula1>YesNo</formula1>
    </dataValidation>
    <dataValidation allowBlank="1" showInputMessage="1" showErrorMessage="1" promptTitle="Required:" prompt="Enter the AV Metal Value for the designated plan as a numeric value between 0 and 1, with up to 16 characters including decimal place." sqref="E15:CV15" xr:uid="{36A6584D-5D51-4560-B849-17D5F68E20D5}"/>
    <dataValidation type="list" operator="greaterThan" allowBlank="1" showInputMessage="1" showErrorMessage="1" errorTitle="Value not valid:" error="Select a value from the list." promptTitle="Required:" prompt="Select the Plan Category for the designated plan." sqref="E16:CV16" xr:uid="{4E793B68-3A6A-4C02-B286-F937820E929A}">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CV13" xr:uid="{2CB831A9-87AD-4DD7-9B94-5950830989C2}">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CV12" xr:uid="{C96154C7-19F6-4550-BE12-3F300E977C01}">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CV14" xr:uid="{8AC9CBDC-9CB8-4E09-B531-C55727359D6A}">
      <formula1>MetalLevels</formula1>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AA11 AV11 BI11 BQ11 BZ11 CI11 CQ11" xr:uid="{665E63B8-9146-4BC9-9E49-B30D7237A4E8}">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AA10 AV10 BI10 BQ10 BZ10 CI10 CQ10" xr:uid="{09132DC6-9BB5-4C17-B8F0-6FA340F68CDC}">
      <formula1>0</formula1>
      <formula2>100</formula2>
    </dataValidation>
    <dataValidation type="list" allowBlank="1" showInputMessage="1" showErrorMessage="1" errorTitle="Value not valid:" error="Select a value from the list." promptTitle="Required:" prompt="Select the Plan Type for the designated plan." sqref="E17:CV17" xr:uid="{4B966B52-DAB0-43EB-9D57-81E3FC705BA8}">
      <formula1>"HMO, PPO, Indemnity, EPO, POS"</formula1>
    </dataValidation>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57150</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171450</xdr:colOff>
                    <xdr:row>1</xdr:row>
                    <xdr:rowOff>57150</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57150</xdr:colOff>
                    <xdr:row>1</xdr:row>
                    <xdr:rowOff>57150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57150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94</xdr:col>
                    <xdr:colOff>228600</xdr:colOff>
                    <xdr:row>0</xdr:row>
                    <xdr:rowOff>0</xdr:rowOff>
                  </from>
                  <to>
                    <xdr:col>95</xdr:col>
                    <xdr:colOff>209550</xdr:colOff>
                    <xdr:row>1</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election activeCell="A6" sqref="A6:B21"/>
    </sheetView>
  </sheetViews>
  <sheetFormatPr defaultColWidth="0" defaultRowHeight="15"/>
  <cols>
    <col min="1" max="1" width="28.7109375" style="87" customWidth="1"/>
    <col min="2" max="2" width="28.7109375" style="91" customWidth="1"/>
    <col min="3" max="14" width="9.28515625" customWidth="1"/>
    <col min="15" max="16384" width="9.28515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87" t="s">
        <v>229</v>
      </c>
      <c r="B6" s="91">
        <v>0.94269999999999998</v>
      </c>
    </row>
    <row r="7" spans="1:3">
      <c r="A7" s="87" t="s">
        <v>230</v>
      </c>
      <c r="B7" s="91">
        <v>1.1296999999999999</v>
      </c>
    </row>
    <row r="8" spans="1:3">
      <c r="A8" s="87" t="s">
        <v>231</v>
      </c>
      <c r="B8" s="91">
        <v>1.0860000000000001</v>
      </c>
    </row>
    <row r="9" spans="1:3">
      <c r="A9" s="87" t="s">
        <v>232</v>
      </c>
      <c r="B9" s="91">
        <v>0.95579999999999998</v>
      </c>
    </row>
    <row r="10" spans="1:3">
      <c r="A10" s="87" t="s">
        <v>233</v>
      </c>
      <c r="B10" s="91">
        <v>0.98050000000000004</v>
      </c>
    </row>
    <row r="11" spans="1:3">
      <c r="A11" s="87" t="s">
        <v>234</v>
      </c>
      <c r="B11" s="91">
        <v>0.90500000000000003</v>
      </c>
    </row>
    <row r="12" spans="1:3">
      <c r="A12" s="87" t="s">
        <v>235</v>
      </c>
      <c r="B12" s="91">
        <v>0.94569999999999999</v>
      </c>
    </row>
    <row r="13" spans="1:3">
      <c r="A13" s="87" t="s">
        <v>236</v>
      </c>
      <c r="B13" s="91">
        <v>0.98709999999999998</v>
      </c>
    </row>
    <row r="14" spans="1:3">
      <c r="A14" s="87" t="s">
        <v>237</v>
      </c>
      <c r="B14" s="91">
        <v>0.95450000000000002</v>
      </c>
    </row>
    <row r="15" spans="1:3">
      <c r="A15" s="87" t="s">
        <v>238</v>
      </c>
      <c r="B15" s="91">
        <v>0.74860000000000004</v>
      </c>
    </row>
    <row r="16" spans="1:3">
      <c r="A16" s="87" t="s">
        <v>239</v>
      </c>
      <c r="B16" s="91">
        <v>0.85309999999999997</v>
      </c>
    </row>
    <row r="17" spans="1:2">
      <c r="A17" s="87" t="s">
        <v>240</v>
      </c>
      <c r="B17" s="91">
        <v>0.86509999999999998</v>
      </c>
    </row>
    <row r="18" spans="1:2">
      <c r="A18" s="87" t="s">
        <v>241</v>
      </c>
      <c r="B18" s="91">
        <v>0.85960000000000003</v>
      </c>
    </row>
    <row r="19" spans="1:2">
      <c r="A19" s="87" t="s">
        <v>242</v>
      </c>
      <c r="B19" s="91">
        <v>0.98180000000000001</v>
      </c>
    </row>
    <row r="20" spans="1:2">
      <c r="A20" s="87" t="s">
        <v>243</v>
      </c>
      <c r="B20" s="91">
        <v>0.79259999999999997</v>
      </c>
    </row>
    <row r="21" spans="1:2">
      <c r="A21" s="87" t="s">
        <v>244</v>
      </c>
      <c r="B21" s="91">
        <v>0.88080000000000003</v>
      </c>
    </row>
  </sheetData>
  <sheetProtection algorithmName="SHA-512" hashValue="RsmWkWlhQz8og9ibfHvtfzBEIqOU/2bdVrat9nxsN2wFftlC8y3fuzfDpCAKPI2vfAQR4dBpyDzeiBHMaUXmdA==" saltValue="7Ae2mgKFEVaQmj+eay5KhA==" spinCount="100000"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5" name="Button 2">
              <controlPr defaultSize="0" print="0" autoFill="0" autoPict="0" macro="[0]!ValidateAndFinalize">
                <anchor moveWithCells="1" sizeWithCells="1">
                  <from>
                    <xdr:col>1</xdr:col>
                    <xdr:colOff>609600</xdr:colOff>
                    <xdr:row>1</xdr:row>
                    <xdr:rowOff>57150</xdr:rowOff>
                  </from>
                  <to>
                    <xdr:col>1</xdr:col>
                    <xdr:colOff>1657350</xdr:colOff>
                    <xdr:row>2</xdr:row>
                    <xdr:rowOff>133350</xdr:rowOff>
                  </to>
                </anchor>
              </controlPr>
            </control>
          </mc:Choice>
        </mc:AlternateContent>
        <mc:AlternateContent xmlns:mc="http://schemas.openxmlformats.org/markup-compatibility/2006">
          <mc:Choice Requires="x14">
            <control shapeId="5123" r:id="rId6" name="Button 3">
              <controlPr defaultSize="0" print="0" autoFill="0" autoPict="0" macro="[0]!CreateRatingAreas">
                <anchor moveWithCells="1" sizeWithCells="1">
                  <from>
                    <xdr:col>0</xdr:col>
                    <xdr:colOff>57150</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28515625" bestFit="1" customWidth="1"/>
    <col min="2" max="2" width="7.5703125" customWidth="1"/>
    <col min="3" max="3" width="43.7109375" customWidth="1"/>
    <col min="4" max="4" width="14.5703125" customWidth="1"/>
    <col min="5" max="5" width="15" customWidth="1"/>
    <col min="6" max="6" width="12.28515625" customWidth="1"/>
    <col min="7" max="7" width="14.71093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28515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7109375" customWidth="1"/>
    <col min="24" max="24" width="15.28515625" customWidth="1"/>
    <col min="25" max="25" width="13.7109375" customWidth="1"/>
  </cols>
  <sheetData>
    <row r="1" spans="2:23" ht="18.75">
      <c r="C1" s="16" t="s">
        <v>13</v>
      </c>
      <c r="D1" s="16"/>
      <c r="E1" s="3"/>
      <c r="F1" s="3"/>
      <c r="G1" s="3"/>
      <c r="H1" s="3"/>
      <c r="I1" s="4"/>
      <c r="J1" s="1"/>
      <c r="K1" s="1"/>
      <c r="L1" s="1"/>
      <c r="M1" s="1"/>
      <c r="N1" s="1"/>
      <c r="O1" s="1"/>
      <c r="P1" s="1"/>
      <c r="Q1" s="1"/>
      <c r="R1" s="1"/>
      <c r="S1" s="1"/>
      <c r="T1" s="1"/>
      <c r="U1" s="1"/>
      <c r="V1" s="1"/>
    </row>
    <row r="2" spans="2:23" ht="18.75">
      <c r="C2" s="3"/>
      <c r="D2" s="3"/>
      <c r="E2" s="3"/>
      <c r="F2" s="3"/>
      <c r="G2" s="3"/>
      <c r="H2" s="3"/>
      <c r="I2" s="4"/>
      <c r="J2" s="1"/>
      <c r="K2" s="1"/>
      <c r="L2" s="1"/>
      <c r="M2" s="1"/>
      <c r="N2" s="1"/>
      <c r="O2" s="1"/>
      <c r="P2" s="1"/>
      <c r="Q2" s="1"/>
      <c r="R2" s="1"/>
      <c r="S2" s="1"/>
      <c r="T2" s="1"/>
      <c r="U2" s="1"/>
      <c r="V2" s="1"/>
    </row>
    <row r="3" spans="2:23" ht="18.75">
      <c r="C3" s="6" t="s">
        <v>5</v>
      </c>
      <c r="D3" s="3" t="str">
        <f>IF('Wksh 1 - Market Experience'!C3&lt;&gt;"", 'Wksh 1 - Market Experience'!C3,"")</f>
        <v>Ambetter of Peach State Inc.</v>
      </c>
      <c r="F3" s="3"/>
      <c r="G3" s="21"/>
      <c r="J3" s="1"/>
      <c r="K3" s="1"/>
      <c r="N3" s="6" t="s">
        <v>7</v>
      </c>
      <c r="O3" s="74" t="str">
        <f>IF('Wksh 1 - Market Experience'!E4="","",'Wksh 1 - Market Experience'!E4)</f>
        <v>GA</v>
      </c>
      <c r="P3" s="1"/>
    </row>
    <row r="4" spans="2:23" ht="18.75">
      <c r="C4" s="7" t="s">
        <v>6</v>
      </c>
      <c r="D4" s="4">
        <f>IF('Wksh 1 - Market Experience'!C4&lt;&gt;"", 'Wksh 1 - Market Experience'!C4,"")</f>
        <v>70893</v>
      </c>
      <c r="F4" s="3"/>
      <c r="G4" s="68"/>
      <c r="J4" s="1"/>
      <c r="K4" s="1"/>
      <c r="N4" s="6" t="s">
        <v>9</v>
      </c>
      <c r="O4" s="74" t="str">
        <f>IF('Wksh 1 - Market Experience'!E5="","",'Wksh 1 - Market Experience'!E5)</f>
        <v>Individual</v>
      </c>
      <c r="P4" s="1"/>
    </row>
    <row r="5" spans="2:23" ht="18.75">
      <c r="C5" s="6" t="s">
        <v>14</v>
      </c>
      <c r="D5" s="83" t="e">
        <f>IF('Wksh 1 - Market Experience'!#REF!&lt;&gt;"", 'Wksh 1 - Market Experience'!#REF!,"")</f>
        <v>#REF!</v>
      </c>
      <c r="F5" s="3"/>
      <c r="G5" s="266"/>
      <c r="H5" s="266"/>
      <c r="I5" s="267"/>
      <c r="J5" s="1"/>
      <c r="K5" s="1"/>
      <c r="L5" s="1"/>
      <c r="M5" s="1"/>
      <c r="N5" s="1"/>
      <c r="O5" s="1"/>
      <c r="P5" s="1"/>
      <c r="Q5" s="1"/>
      <c r="R5" s="1"/>
      <c r="S5" s="1"/>
      <c r="T5" s="1"/>
      <c r="U5" s="1"/>
      <c r="V5" s="1"/>
    </row>
    <row r="6" spans="2:23">
      <c r="C6" s="1"/>
      <c r="D6" s="1"/>
      <c r="E6" s="1"/>
      <c r="F6" s="1"/>
      <c r="G6" s="1"/>
      <c r="H6" s="1"/>
      <c r="I6" s="2"/>
      <c r="J6" s="1"/>
      <c r="K6" s="1"/>
      <c r="L6" s="1"/>
      <c r="M6" s="1"/>
      <c r="N6" s="1"/>
      <c r="O6" s="1"/>
      <c r="P6" s="1"/>
      <c r="Q6" s="1"/>
      <c r="R6" s="1"/>
      <c r="S6" s="1"/>
      <c r="T6" s="1"/>
      <c r="U6" s="1"/>
      <c r="V6" s="1"/>
    </row>
    <row r="7" spans="2:23">
      <c r="C7" s="15" t="s">
        <v>15</v>
      </c>
      <c r="D7" s="23"/>
      <c r="E7" s="8"/>
      <c r="F7" s="8"/>
      <c r="G7" s="8"/>
      <c r="H7" s="8"/>
      <c r="I7" s="9"/>
      <c r="J7" s="8"/>
      <c r="K7" s="8"/>
      <c r="L7" s="8"/>
      <c r="M7" s="8"/>
      <c r="N7" s="8"/>
      <c r="O7" s="8"/>
      <c r="P7" s="8"/>
      <c r="Q7" s="8"/>
      <c r="R7" s="8"/>
      <c r="S7" s="8"/>
      <c r="T7" s="8"/>
      <c r="U7" s="8"/>
      <c r="V7" s="8"/>
      <c r="W7" s="10"/>
    </row>
    <row r="8" spans="2:23">
      <c r="C8" s="11"/>
      <c r="D8" s="12"/>
      <c r="E8" s="12"/>
      <c r="F8" s="12"/>
      <c r="G8" s="12"/>
      <c r="H8" s="12"/>
      <c r="I8" s="13"/>
      <c r="J8" s="12"/>
      <c r="K8" s="12"/>
      <c r="L8" s="12"/>
      <c r="M8" s="12"/>
      <c r="N8" s="12"/>
      <c r="O8" s="12"/>
      <c r="P8" s="12"/>
      <c r="Q8" s="12"/>
      <c r="R8" s="12"/>
      <c r="S8" s="12"/>
      <c r="T8" s="12"/>
      <c r="U8" s="12"/>
      <c r="V8" s="12"/>
      <c r="W8" s="14"/>
    </row>
    <row r="9" spans="2:23">
      <c r="B9" s="75" t="s">
        <v>103</v>
      </c>
      <c r="C9" s="19" t="s">
        <v>77</v>
      </c>
      <c r="D9" s="19"/>
      <c r="E9" s="17"/>
      <c r="F9" s="17"/>
      <c r="G9" s="17"/>
      <c r="H9" s="17"/>
      <c r="I9" s="18"/>
      <c r="J9" s="17"/>
      <c r="K9" s="17"/>
      <c r="L9" s="17"/>
      <c r="M9" s="17"/>
      <c r="N9" s="17"/>
      <c r="O9" s="17"/>
      <c r="P9" s="17"/>
      <c r="Q9" s="17"/>
      <c r="R9" s="17"/>
      <c r="S9" s="17"/>
      <c r="T9" s="17"/>
      <c r="U9" s="17"/>
      <c r="V9" s="17"/>
    </row>
    <row r="10" spans="2:23">
      <c r="B10" s="146" t="s">
        <v>155</v>
      </c>
      <c r="C10" s="147" t="s">
        <v>104</v>
      </c>
      <c r="D10" s="268"/>
      <c r="E10" s="177"/>
      <c r="I10" s="70"/>
      <c r="J10" s="70"/>
      <c r="K10" s="70" t="s">
        <v>229</v>
      </c>
      <c r="L10" s="67" t="s">
        <v>27</v>
      </c>
      <c r="M10" s="70" t="s">
        <v>81</v>
      </c>
      <c r="N10" s="70" t="s">
        <v>139</v>
      </c>
      <c r="O10" s="70" t="s">
        <v>145</v>
      </c>
    </row>
    <row r="11" spans="2:23">
      <c r="B11" s="146" t="s">
        <v>156</v>
      </c>
      <c r="C11" s="147" t="s">
        <v>105</v>
      </c>
      <c r="D11" s="269"/>
      <c r="E11" s="177"/>
      <c r="I11" s="70"/>
      <c r="J11" s="70"/>
      <c r="K11" s="70" t="s">
        <v>230</v>
      </c>
      <c r="L11" s="67" t="s">
        <v>28</v>
      </c>
      <c r="M11" s="70" t="s">
        <v>82</v>
      </c>
      <c r="N11" s="70" t="s">
        <v>140</v>
      </c>
      <c r="O11" s="70" t="s">
        <v>146</v>
      </c>
    </row>
    <row r="12" spans="2:23">
      <c r="B12" s="146" t="s">
        <v>157</v>
      </c>
      <c r="C12" s="147" t="s">
        <v>10</v>
      </c>
      <c r="D12" s="269"/>
      <c r="E12" s="179"/>
      <c r="I12" s="70"/>
      <c r="J12" s="70"/>
      <c r="K12" s="70" t="s">
        <v>231</v>
      </c>
      <c r="L12" s="67" t="s">
        <v>29</v>
      </c>
      <c r="M12" s="70" t="s">
        <v>83</v>
      </c>
      <c r="N12" s="70" t="s">
        <v>141</v>
      </c>
    </row>
    <row r="13" spans="2:23">
      <c r="B13" s="146" t="s">
        <v>158</v>
      </c>
      <c r="C13" s="147" t="s">
        <v>106</v>
      </c>
      <c r="D13" s="269"/>
      <c r="E13" s="180"/>
      <c r="I13" s="70"/>
      <c r="K13" s="70" t="s">
        <v>232</v>
      </c>
      <c r="L13" s="67" t="s">
        <v>30</v>
      </c>
      <c r="N13" s="70" t="s">
        <v>142</v>
      </c>
    </row>
    <row r="14" spans="2:23">
      <c r="B14" s="146" t="s">
        <v>159</v>
      </c>
      <c r="C14" s="147" t="s">
        <v>107</v>
      </c>
      <c r="D14" s="269"/>
      <c r="E14" s="181"/>
      <c r="K14" s="70" t="s">
        <v>233</v>
      </c>
      <c r="L14" s="67" t="s">
        <v>31</v>
      </c>
      <c r="N14" s="70" t="s">
        <v>143</v>
      </c>
    </row>
    <row r="15" spans="2:23">
      <c r="B15" s="146" t="s">
        <v>160</v>
      </c>
      <c r="C15" s="147" t="s">
        <v>26</v>
      </c>
      <c r="D15" s="269"/>
      <c r="E15" s="182"/>
      <c r="K15" s="70" t="s">
        <v>234</v>
      </c>
      <c r="L15" s="67" t="s">
        <v>32</v>
      </c>
      <c r="N15" s="70" t="s">
        <v>144</v>
      </c>
    </row>
    <row r="16" spans="2:23">
      <c r="B16" s="146" t="s">
        <v>161</v>
      </c>
      <c r="C16" s="147" t="s">
        <v>80</v>
      </c>
      <c r="D16" s="269"/>
      <c r="E16" s="179"/>
      <c r="K16" t="s">
        <v>235</v>
      </c>
      <c r="L16" s="67" t="s">
        <v>33</v>
      </c>
    </row>
    <row r="17" spans="1:12">
      <c r="B17" s="146" t="s">
        <v>154</v>
      </c>
      <c r="C17" s="147" t="s">
        <v>108</v>
      </c>
      <c r="D17" s="269"/>
      <c r="E17" s="179"/>
      <c r="K17" t="s">
        <v>236</v>
      </c>
      <c r="L17" s="67" t="s">
        <v>35</v>
      </c>
    </row>
    <row r="18" spans="1:12">
      <c r="B18" s="146" t="s">
        <v>153</v>
      </c>
      <c r="C18" s="147" t="s">
        <v>16</v>
      </c>
      <c r="D18" s="269"/>
      <c r="E18" s="183"/>
      <c r="K18" t="s">
        <v>237</v>
      </c>
      <c r="L18" s="67" t="s">
        <v>34</v>
      </c>
    </row>
    <row r="19" spans="1:12">
      <c r="B19" s="146" t="s">
        <v>149</v>
      </c>
      <c r="C19" s="147" t="s">
        <v>25</v>
      </c>
      <c r="D19" s="269"/>
      <c r="E19" s="184"/>
      <c r="K19" t="s">
        <v>238</v>
      </c>
      <c r="L19" s="67" t="s">
        <v>36</v>
      </c>
    </row>
    <row r="20" spans="1:12">
      <c r="B20" s="146" t="s">
        <v>150</v>
      </c>
      <c r="C20" s="147" t="s">
        <v>109</v>
      </c>
      <c r="D20" s="269"/>
      <c r="E20" s="185"/>
      <c r="K20" t="s">
        <v>239</v>
      </c>
      <c r="L20" s="67" t="s">
        <v>37</v>
      </c>
    </row>
    <row r="21" spans="1:12">
      <c r="B21" s="146" t="s">
        <v>151</v>
      </c>
      <c r="C21" s="147" t="s">
        <v>84</v>
      </c>
      <c r="D21" s="269"/>
      <c r="E21" s="178"/>
      <c r="K21" t="s">
        <v>240</v>
      </c>
      <c r="L21" s="67" t="s">
        <v>38</v>
      </c>
    </row>
    <row r="22" spans="1:12">
      <c r="B22" s="148" t="s">
        <v>152</v>
      </c>
      <c r="C22" s="138" t="s">
        <v>212</v>
      </c>
      <c r="D22" s="270"/>
      <c r="E22" s="178"/>
      <c r="K22" t="s">
        <v>241</v>
      </c>
      <c r="L22" s="67" t="s">
        <v>39</v>
      </c>
    </row>
    <row r="23" spans="1:12">
      <c r="E23" s="73"/>
      <c r="K23" t="s">
        <v>242</v>
      </c>
      <c r="L23" s="67" t="s">
        <v>40</v>
      </c>
    </row>
    <row r="24" spans="1:12" ht="18.75">
      <c r="A24" s="6"/>
      <c r="B24" s="75"/>
      <c r="C24" s="78" t="s">
        <v>110</v>
      </c>
      <c r="D24" s="1"/>
      <c r="E24" s="17"/>
      <c r="K24" t="s">
        <v>243</v>
      </c>
      <c r="L24" s="67" t="s">
        <v>41</v>
      </c>
    </row>
    <row r="25" spans="1:12" ht="18.75">
      <c r="A25" s="6"/>
      <c r="B25" s="146" t="s">
        <v>162</v>
      </c>
      <c r="C25" s="147" t="s">
        <v>106</v>
      </c>
      <c r="D25" s="186" t="s">
        <v>2</v>
      </c>
      <c r="E25" s="90" t="str">
        <f>IF(E13&lt;&gt;"",E13,"")</f>
        <v/>
      </c>
      <c r="K25" t="s">
        <v>244</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71"/>
      <c r="E47" s="191" t="str">
        <f>IF(E13&lt;&gt;"",E13,"")</f>
        <v/>
      </c>
      <c r="L47" s="67" t="s">
        <v>64</v>
      </c>
    </row>
    <row r="48" spans="1:12" ht="18.75">
      <c r="A48" s="6"/>
      <c r="B48" s="146" t="s">
        <v>182</v>
      </c>
      <c r="C48" s="189" t="s">
        <v>122</v>
      </c>
      <c r="D48" s="272"/>
      <c r="E48" s="192">
        <f>'Wksh 1 - Market Experience'!F46</f>
        <v>557.06760981112393</v>
      </c>
      <c r="L48" s="67" t="s">
        <v>65</v>
      </c>
    </row>
    <row r="49" spans="1:12" ht="18.75">
      <c r="A49" s="6"/>
      <c r="B49" s="146" t="s">
        <v>183</v>
      </c>
      <c r="C49" s="189" t="s">
        <v>123</v>
      </c>
      <c r="D49" s="272"/>
      <c r="E49" s="193"/>
      <c r="L49" s="67" t="s">
        <v>66</v>
      </c>
    </row>
    <row r="50" spans="1:12" ht="18.75">
      <c r="A50" s="6"/>
      <c r="B50" s="146" t="s">
        <v>184</v>
      </c>
      <c r="C50" s="189" t="s">
        <v>124</v>
      </c>
      <c r="D50" s="272"/>
      <c r="E50" s="193"/>
      <c r="L50" s="67" t="s">
        <v>67</v>
      </c>
    </row>
    <row r="51" spans="1:12" ht="18.75">
      <c r="A51" s="6"/>
      <c r="B51" s="148" t="s">
        <v>185</v>
      </c>
      <c r="C51" s="190" t="s">
        <v>125</v>
      </c>
      <c r="D51" s="273"/>
      <c r="E51" s="193"/>
      <c r="L51" s="67" t="s">
        <v>68</v>
      </c>
    </row>
    <row r="52" spans="1:12" ht="18.75">
      <c r="A52" s="6"/>
      <c r="C52" s="82" t="s">
        <v>133</v>
      </c>
      <c r="D52" s="6"/>
      <c r="L52" s="67" t="s">
        <v>69</v>
      </c>
    </row>
    <row r="53" spans="1:12" ht="18.75">
      <c r="A53" s="6"/>
      <c r="B53" s="146" t="s">
        <v>186</v>
      </c>
      <c r="C53" s="172" t="s">
        <v>134</v>
      </c>
      <c r="D53" s="271"/>
      <c r="E53" s="196"/>
      <c r="F53" s="5"/>
      <c r="L53" s="67" t="s">
        <v>70</v>
      </c>
    </row>
    <row r="54" spans="1:12" ht="18.75">
      <c r="A54" s="6"/>
      <c r="B54" s="146" t="s">
        <v>187</v>
      </c>
      <c r="C54" s="172" t="s">
        <v>135</v>
      </c>
      <c r="D54" s="272"/>
      <c r="E54" s="196"/>
      <c r="F54" s="5"/>
      <c r="L54" s="67" t="s">
        <v>71</v>
      </c>
    </row>
    <row r="55" spans="1:12" ht="18.75">
      <c r="A55" s="6"/>
      <c r="B55" s="146" t="s">
        <v>188</v>
      </c>
      <c r="C55" s="172" t="s">
        <v>12</v>
      </c>
      <c r="D55" s="272"/>
      <c r="E55" s="196"/>
      <c r="F55" s="5"/>
      <c r="L55" s="67" t="s">
        <v>72</v>
      </c>
    </row>
    <row r="56" spans="1:12" ht="18.75">
      <c r="A56" s="6"/>
      <c r="B56" s="146" t="s">
        <v>189</v>
      </c>
      <c r="C56" s="189" t="s">
        <v>126</v>
      </c>
      <c r="D56" s="272"/>
      <c r="E56" s="193"/>
      <c r="F56" s="5"/>
      <c r="L56" s="67" t="s">
        <v>73</v>
      </c>
    </row>
    <row r="57" spans="1:12" ht="18.75">
      <c r="A57" s="6"/>
      <c r="B57" s="148" t="s">
        <v>190</v>
      </c>
      <c r="C57" s="194" t="s">
        <v>79</v>
      </c>
      <c r="D57" s="273"/>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6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rkHshG3pUBLTn3+G40SJeQqU/FlSYcpxnN+MLlMCOPTFk/kgc8lqAelkV2rxSzBWriEm32bLsNeppIxC13NKag==" saltValue="K1i4JEtKtwI/BPcw34X03Q==" spinCount="100000" sheet="1" object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2.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3.xml><?xml version="1.0" encoding="utf-8"?>
<ds:datastoreItem xmlns:ds="http://schemas.openxmlformats.org/officeDocument/2006/customXml" ds:itemID="{8E2799AA-D1F3-40BD-95A7-1FAB19FBD92C}"/>
</file>

<file path=customXml/itemProps4.xml><?xml version="1.0" encoding="utf-8"?>
<ds:datastoreItem xmlns:ds="http://schemas.openxmlformats.org/officeDocument/2006/customXml" ds:itemID="{8BA26A6A-6337-4ED7-A649-960EFD22D054}">
  <ds:schemaRefs>
    <ds:schemaRef ds:uri="http://schemas.microsoft.com/office/infopath/2007/PartnerControls"/>
    <ds:schemaRef ds:uri="http://purl.org/dc/elements/1.1/"/>
    <ds:schemaRef ds:uri="http://schemas.microsoft.com/office/2006/documentManagement/types"/>
    <ds:schemaRef ds:uri="a1027b0e-b76a-4f87-8a3e-5c0955473ea1"/>
    <ds:schemaRef ds:uri="http://purl.org/dc/terms/"/>
    <ds:schemaRef ds:uri="http://schemas.openxmlformats.org/package/2006/metadata/core-properties"/>
    <ds:schemaRef ds:uri="a7eddb22-ec30-47fe-81c9-a147b8ade4a5"/>
    <ds:schemaRef ds:uri="http://purl.org/dc/dcmitype/"/>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Ashlesha Joshi</cp:lastModifiedBy>
  <dcterms:created xsi:type="dcterms:W3CDTF">2013-12-09T20:12:41Z</dcterms:created>
  <dcterms:modified xsi:type="dcterms:W3CDTF">2023-05-01T23:43:55Z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y fmtid="{D5CDD505-2E9C-101B-9397-08002B2CF9AE}" pid="6" name="MSIP_Label_5a776955-85f6-4fec-9553-96dd3e0373c4_Enabled">
    <vt:lpwstr>true</vt:lpwstr>
  </property>
  <property fmtid="{D5CDD505-2E9C-101B-9397-08002B2CF9AE}" pid="7" name="MSIP_Label_5a776955-85f6-4fec-9553-96dd3e0373c4_SetDate">
    <vt:lpwstr>2023-05-01T23:38:57Z</vt:lpwstr>
  </property>
  <property fmtid="{D5CDD505-2E9C-101B-9397-08002B2CF9AE}" pid="8" name="MSIP_Label_5a776955-85f6-4fec-9553-96dd3e0373c4_Method">
    <vt:lpwstr>Standard</vt:lpwstr>
  </property>
  <property fmtid="{D5CDD505-2E9C-101B-9397-08002B2CF9AE}" pid="9" name="MSIP_Label_5a776955-85f6-4fec-9553-96dd3e0373c4_Name">
    <vt:lpwstr>Confidential</vt:lpwstr>
  </property>
  <property fmtid="{D5CDD505-2E9C-101B-9397-08002B2CF9AE}" pid="10" name="MSIP_Label_5a776955-85f6-4fec-9553-96dd3e0373c4_SiteId">
    <vt:lpwstr>f45ccc07-e57e-4d15-bf6f-f6cbccd2d395</vt:lpwstr>
  </property>
  <property fmtid="{D5CDD505-2E9C-101B-9397-08002B2CF9AE}" pid="11" name="MSIP_Label_5a776955-85f6-4fec-9553-96dd3e0373c4_ActionId">
    <vt:lpwstr>b89bafea-3434-4e4a-8de1-2a9a0cdef6b6</vt:lpwstr>
  </property>
  <property fmtid="{D5CDD505-2E9C-101B-9397-08002B2CF9AE}" pid="12" name="MSIP_Label_5a776955-85f6-4fec-9553-96dd3e0373c4_ContentBits">
    <vt:lpwstr>0</vt:lpwstr>
  </property>
</Properties>
</file>