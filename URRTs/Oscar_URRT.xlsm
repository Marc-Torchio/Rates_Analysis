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carter\Desktop\Rate Materials\GA\Initial Plan B\"/>
    </mc:Choice>
  </mc:AlternateContent>
  <workbookProtection workbookAlgorithmName="SHA-512" workbookHashValue="7VbHqZtVfWkJ7YLlvZG4QvMmF+0PcddqEPcBtXK9NHLxRGV+ihPZQ/Ura21uLHDMh8CnbDu5eEs75c0XZel51g==" workbookSaltValue="zzQWUWAIXnIKC8t+A3WCDQ==" workbookSpinCount="100000" lockStructure="1"/>
  <bookViews>
    <workbookView xWindow="0" yWindow="0" windowWidth="18570" windowHeight="12300" tabRatio="515"/>
  </bookViews>
  <sheets>
    <sheet name="Wksh 1 - Market Experience" sheetId="1" r:id="rId1"/>
    <sheet name="Wksh 2 - Plan Product Info" sheetId="13" r:id="rId2"/>
    <sheet name="Wksh 3 - Rating Areas" sheetId="18" r:id="rId3"/>
    <sheet name="PlanTemplate" sheetId="15" state="veryHidden" r:id="rId4"/>
  </sheets>
  <functionGroups builtInGroupCount="18"/>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PlanTemplate!$K$10:$K$22</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70" i="13" s="1"/>
  <c r="D35" i="13"/>
  <c r="D34" i="13"/>
  <c r="D33" i="13"/>
  <c r="D44" i="13" s="1"/>
  <c r="D32" i="13"/>
  <c r="D31" i="13"/>
  <c r="D43" i="13" s="1"/>
  <c r="D29" i="13"/>
  <c r="D28" i="13"/>
  <c r="D27" i="13"/>
  <c r="D26" i="13"/>
  <c r="D30" i="13" s="1"/>
  <c r="E22" i="13" a="1"/>
  <c r="E22" i="13" s="1"/>
  <c r="E21" i="13" a="1"/>
  <c r="E21" i="13" s="1"/>
  <c r="C5" i="1"/>
  <c r="AQ82" i="13"/>
  <c r="AQ81" i="13"/>
  <c r="AQ79" i="13"/>
  <c r="AQ78" i="13"/>
  <c r="AQ77" i="13"/>
  <c r="AQ76" i="13"/>
  <c r="AQ70" i="13"/>
  <c r="AQ74" i="13" s="1"/>
  <c r="AQ65" i="13"/>
  <c r="AQ57" i="13"/>
  <c r="AQ47" i="13"/>
  <c r="AQ44" i="13"/>
  <c r="AQ43" i="13"/>
  <c r="AQ41" i="13"/>
  <c r="AQ40" i="13"/>
  <c r="AQ39" i="13"/>
  <c r="AQ38" i="13"/>
  <c r="AQ30" i="13"/>
  <c r="AQ42" i="13" s="1"/>
  <c r="AQ25" i="13"/>
  <c r="AP82" i="13"/>
  <c r="AP81" i="13"/>
  <c r="AP79" i="13"/>
  <c r="AP78" i="13"/>
  <c r="AP77" i="13"/>
  <c r="AP76" i="13"/>
  <c r="AP70" i="13"/>
  <c r="AP74" i="13" s="1"/>
  <c r="AP65" i="13"/>
  <c r="AP47" i="13"/>
  <c r="AP44" i="13"/>
  <c r="AP43" i="13"/>
  <c r="AP41" i="13"/>
  <c r="AP40" i="13"/>
  <c r="AP39" i="13"/>
  <c r="AP38" i="13"/>
  <c r="AP30" i="13"/>
  <c r="AP42" i="13" s="1"/>
  <c r="AP25" i="13"/>
  <c r="AO82" i="13"/>
  <c r="AO81" i="13"/>
  <c r="AO79" i="13"/>
  <c r="AO78" i="13"/>
  <c r="AO77" i="13"/>
  <c r="AO76" i="13"/>
  <c r="AO70" i="13"/>
  <c r="AO74" i="13" s="1"/>
  <c r="AO65" i="13"/>
  <c r="AO47" i="13"/>
  <c r="AO44" i="13"/>
  <c r="AO43" i="13"/>
  <c r="AO41" i="13"/>
  <c r="AO40" i="13"/>
  <c r="AO39" i="13"/>
  <c r="AO38" i="13"/>
  <c r="AO30" i="13"/>
  <c r="AO42" i="13" s="1"/>
  <c r="AO25" i="13"/>
  <c r="AN82" i="13"/>
  <c r="AN81" i="13"/>
  <c r="AN79" i="13"/>
  <c r="AN78" i="13"/>
  <c r="AN77" i="13"/>
  <c r="AN76" i="13"/>
  <c r="AN70" i="13"/>
  <c r="AN74" i="13" s="1"/>
  <c r="AN65" i="13"/>
  <c r="AN47" i="13"/>
  <c r="AN44" i="13"/>
  <c r="AN43" i="13"/>
  <c r="AN41" i="13"/>
  <c r="AN40" i="13"/>
  <c r="AN39" i="13"/>
  <c r="AN38" i="13"/>
  <c r="AN30" i="13"/>
  <c r="AN42" i="13" s="1"/>
  <c r="AN25" i="13"/>
  <c r="AM82" i="13"/>
  <c r="AM81" i="13"/>
  <c r="AM79" i="13"/>
  <c r="AM78" i="13"/>
  <c r="AM77" i="13"/>
  <c r="AM76" i="13"/>
  <c r="AM70" i="13"/>
  <c r="AM74" i="13" s="1"/>
  <c r="AM65" i="13"/>
  <c r="AM47" i="13"/>
  <c r="AM44" i="13"/>
  <c r="AM43" i="13"/>
  <c r="AM41" i="13"/>
  <c r="AM40" i="13"/>
  <c r="AM39" i="13"/>
  <c r="AM38" i="13"/>
  <c r="AM30" i="13"/>
  <c r="AM42" i="13" s="1"/>
  <c r="AM25" i="13"/>
  <c r="AL82" i="13"/>
  <c r="AL81" i="13"/>
  <c r="AL79" i="13"/>
  <c r="AL78" i="13"/>
  <c r="AL77" i="13"/>
  <c r="AL76" i="13"/>
  <c r="AL70" i="13"/>
  <c r="AL74" i="13" s="1"/>
  <c r="AL65" i="13"/>
  <c r="AL47" i="13"/>
  <c r="AL44" i="13"/>
  <c r="AL43" i="13"/>
  <c r="AL41" i="13"/>
  <c r="AL40" i="13"/>
  <c r="AL39" i="13"/>
  <c r="AL38" i="13"/>
  <c r="AL30" i="13"/>
  <c r="AL42" i="13" s="1"/>
  <c r="AL25" i="13"/>
  <c r="AK82" i="13"/>
  <c r="AK81" i="13"/>
  <c r="AK79" i="13"/>
  <c r="AK78" i="13"/>
  <c r="AK77" i="13"/>
  <c r="AK76" i="13"/>
  <c r="AK70" i="13"/>
  <c r="AK74" i="13" s="1"/>
  <c r="AK65" i="13"/>
  <c r="AK47" i="13"/>
  <c r="AK44" i="13"/>
  <c r="AK43" i="13"/>
  <c r="AK41" i="13"/>
  <c r="AK40" i="13"/>
  <c r="AK39" i="13"/>
  <c r="AK38" i="13"/>
  <c r="AK30" i="13"/>
  <c r="AK42" i="13" s="1"/>
  <c r="AK25" i="13"/>
  <c r="AJ82" i="13"/>
  <c r="AJ81" i="13"/>
  <c r="AJ79" i="13"/>
  <c r="AJ78" i="13"/>
  <c r="AJ77" i="13"/>
  <c r="AJ76" i="13"/>
  <c r="AJ70" i="13"/>
  <c r="AJ74" i="13" s="1"/>
  <c r="AJ65" i="13"/>
  <c r="AJ47" i="13"/>
  <c r="AJ44" i="13"/>
  <c r="AJ43" i="13"/>
  <c r="AJ41" i="13"/>
  <c r="AJ40" i="13"/>
  <c r="AJ39" i="13"/>
  <c r="AJ38" i="13"/>
  <c r="AJ30" i="13"/>
  <c r="AJ42" i="13" s="1"/>
  <c r="AJ25" i="13"/>
  <c r="AI82" i="13"/>
  <c r="AI81" i="13"/>
  <c r="AI79" i="13"/>
  <c r="AI78" i="13"/>
  <c r="AI77" i="13"/>
  <c r="AI76" i="13"/>
  <c r="AI70" i="13"/>
  <c r="AI74" i="13" s="1"/>
  <c r="AI65" i="13"/>
  <c r="AI47" i="13"/>
  <c r="AI44" i="13"/>
  <c r="AI43" i="13"/>
  <c r="AI41" i="13"/>
  <c r="AI40" i="13"/>
  <c r="AI39" i="13"/>
  <c r="AI38" i="13"/>
  <c r="AI30" i="13"/>
  <c r="AI42" i="13" s="1"/>
  <c r="AI25" i="13"/>
  <c r="AH82" i="13"/>
  <c r="AH81" i="13"/>
  <c r="AH79" i="13"/>
  <c r="AH78" i="13"/>
  <c r="AH77" i="13"/>
  <c r="AH76" i="13"/>
  <c r="AH70" i="13"/>
  <c r="AH74" i="13" s="1"/>
  <c r="AH65" i="13"/>
  <c r="AH47" i="13"/>
  <c r="AH44" i="13"/>
  <c r="AH43" i="13"/>
  <c r="AH41" i="13"/>
  <c r="AH40" i="13"/>
  <c r="AH39" i="13"/>
  <c r="AH38" i="13"/>
  <c r="AH30" i="13"/>
  <c r="AH42" i="13" s="1"/>
  <c r="AH25" i="13"/>
  <c r="AG82" i="13"/>
  <c r="AG81" i="13"/>
  <c r="AG79" i="13"/>
  <c r="AG78" i="13"/>
  <c r="AG77" i="13"/>
  <c r="AG76" i="13"/>
  <c r="AG70" i="13"/>
  <c r="AG74" i="13" s="1"/>
  <c r="AG65" i="13"/>
  <c r="AG47" i="13"/>
  <c r="AG44" i="13"/>
  <c r="AG43" i="13"/>
  <c r="AG41" i="13"/>
  <c r="AG40" i="13"/>
  <c r="AG39" i="13"/>
  <c r="AG38" i="13"/>
  <c r="AG30" i="13"/>
  <c r="AG42" i="13" s="1"/>
  <c r="AG25" i="13"/>
  <c r="AF82" i="13"/>
  <c r="AF81" i="13"/>
  <c r="AF79" i="13"/>
  <c r="AF78" i="13"/>
  <c r="AF77" i="13"/>
  <c r="AF76" i="13"/>
  <c r="AF70" i="13"/>
  <c r="AF74" i="13" s="1"/>
  <c r="AF65" i="13"/>
  <c r="AF47" i="13"/>
  <c r="AF44" i="13"/>
  <c r="AF43" i="13"/>
  <c r="AF41" i="13"/>
  <c r="AF40" i="13"/>
  <c r="AF39" i="13"/>
  <c r="AF38" i="13"/>
  <c r="AF30" i="13"/>
  <c r="AF42" i="13" s="1"/>
  <c r="AF25" i="13"/>
  <c r="AE82" i="13"/>
  <c r="AE81" i="13"/>
  <c r="AE79" i="13"/>
  <c r="AE78" i="13"/>
  <c r="AE77" i="13"/>
  <c r="AE76" i="13"/>
  <c r="AE70" i="13"/>
  <c r="AE74" i="13" s="1"/>
  <c r="AE65" i="13"/>
  <c r="AE47" i="13"/>
  <c r="AE44" i="13"/>
  <c r="AE43" i="13"/>
  <c r="AE41" i="13"/>
  <c r="AE40" i="13"/>
  <c r="AE39" i="13"/>
  <c r="AE38" i="13"/>
  <c r="AE30" i="13"/>
  <c r="AE42" i="13" s="1"/>
  <c r="AE25" i="13"/>
  <c r="AD82" i="13"/>
  <c r="AD81" i="13"/>
  <c r="AD79" i="13"/>
  <c r="AD78" i="13"/>
  <c r="AD77" i="13"/>
  <c r="AD76" i="13"/>
  <c r="AD70" i="13"/>
  <c r="AD74" i="13" s="1"/>
  <c r="AD65" i="13"/>
  <c r="AD47" i="13"/>
  <c r="AD44" i="13"/>
  <c r="AD43" i="13"/>
  <c r="AD41" i="13"/>
  <c r="AD40" i="13"/>
  <c r="AD39" i="13"/>
  <c r="AD38" i="13"/>
  <c r="AD30" i="13"/>
  <c r="AD42" i="13" s="1"/>
  <c r="AD25" i="13"/>
  <c r="AC82" i="13"/>
  <c r="AC81" i="13"/>
  <c r="AC79" i="13"/>
  <c r="AC78" i="13"/>
  <c r="AC77" i="13"/>
  <c r="AC76" i="13"/>
  <c r="AC70" i="13"/>
  <c r="AC74" i="13" s="1"/>
  <c r="AC65" i="13"/>
  <c r="AC47" i="13"/>
  <c r="AC44" i="13"/>
  <c r="AC43" i="13"/>
  <c r="AC41" i="13"/>
  <c r="AC40" i="13"/>
  <c r="AC39" i="13"/>
  <c r="AC38" i="13"/>
  <c r="AC30" i="13"/>
  <c r="AC42" i="13" s="1"/>
  <c r="AC25" i="13"/>
  <c r="AB82" i="13"/>
  <c r="AB81" i="13"/>
  <c r="AB79" i="13"/>
  <c r="AB78" i="13"/>
  <c r="AB77" i="13"/>
  <c r="AB76" i="13"/>
  <c r="AB70" i="13"/>
  <c r="AB74" i="13" s="1"/>
  <c r="AB65" i="13"/>
  <c r="AB47" i="13"/>
  <c r="AB44" i="13"/>
  <c r="AB43" i="13"/>
  <c r="AB41" i="13"/>
  <c r="AB40" i="13"/>
  <c r="AB39" i="13"/>
  <c r="AB38" i="13"/>
  <c r="AB30" i="13"/>
  <c r="AB42" i="13" s="1"/>
  <c r="AB25" i="13"/>
  <c r="AA82" i="13"/>
  <c r="AA81" i="13"/>
  <c r="AA79" i="13"/>
  <c r="AA78" i="13"/>
  <c r="AA77" i="13"/>
  <c r="AA76" i="13"/>
  <c r="AA70" i="13"/>
  <c r="AA74" i="13" s="1"/>
  <c r="AA65" i="13"/>
  <c r="AA47" i="13"/>
  <c r="AA44" i="13"/>
  <c r="AA43" i="13"/>
  <c r="AA41" i="13"/>
  <c r="AA40" i="13"/>
  <c r="AA39" i="13"/>
  <c r="AA38" i="13"/>
  <c r="AA30" i="13"/>
  <c r="AA42" i="13" s="1"/>
  <c r="AA25" i="13"/>
  <c r="Z82" i="13"/>
  <c r="Z81" i="13"/>
  <c r="Z79" i="13"/>
  <c r="Z78" i="13"/>
  <c r="Z77" i="13"/>
  <c r="Z76" i="13"/>
  <c r="Z70" i="13"/>
  <c r="Z80" i="13" s="1"/>
  <c r="Z65" i="13"/>
  <c r="Z47" i="13"/>
  <c r="Z44" i="13"/>
  <c r="Z43" i="13"/>
  <c r="Z41" i="13"/>
  <c r="Z40" i="13"/>
  <c r="Z39" i="13"/>
  <c r="Z38" i="13"/>
  <c r="Z30" i="13"/>
  <c r="Z36" i="13" s="1"/>
  <c r="Z25" i="13"/>
  <c r="Y82" i="13"/>
  <c r="Y81" i="13"/>
  <c r="Y79" i="13"/>
  <c r="Y78" i="13"/>
  <c r="Y77" i="13"/>
  <c r="Y76" i="13"/>
  <c r="Y70" i="13"/>
  <c r="Y74" i="13" s="1"/>
  <c r="Y65" i="13"/>
  <c r="Y47" i="13"/>
  <c r="Y44" i="13"/>
  <c r="Y43" i="13"/>
  <c r="Y41" i="13"/>
  <c r="Y40" i="13"/>
  <c r="Y39" i="13"/>
  <c r="Y38" i="13"/>
  <c r="Y30" i="13"/>
  <c r="Y42" i="13" s="1"/>
  <c r="Y25" i="13"/>
  <c r="X82" i="13"/>
  <c r="X81" i="13"/>
  <c r="X79" i="13"/>
  <c r="X78" i="13"/>
  <c r="X77" i="13"/>
  <c r="X76" i="13"/>
  <c r="X70" i="13"/>
  <c r="X74" i="13" s="1"/>
  <c r="X65" i="13"/>
  <c r="X47" i="13"/>
  <c r="X44" i="13"/>
  <c r="X43" i="13"/>
  <c r="X41" i="13"/>
  <c r="X40" i="13"/>
  <c r="X39" i="13"/>
  <c r="X38" i="13"/>
  <c r="X30" i="13"/>
  <c r="X42" i="13" s="1"/>
  <c r="X25" i="13"/>
  <c r="W82" i="13"/>
  <c r="W81" i="13"/>
  <c r="W79" i="13"/>
  <c r="W78" i="13"/>
  <c r="W77" i="13"/>
  <c r="W76" i="13"/>
  <c r="W70" i="13"/>
  <c r="W74" i="13" s="1"/>
  <c r="W65" i="13"/>
  <c r="W47" i="13"/>
  <c r="W44" i="13"/>
  <c r="W43" i="13"/>
  <c r="W41" i="13"/>
  <c r="W40" i="13"/>
  <c r="W39" i="13"/>
  <c r="W38" i="13"/>
  <c r="W30" i="13"/>
  <c r="W42" i="13" s="1"/>
  <c r="W25" i="13"/>
  <c r="V82" i="13"/>
  <c r="V81" i="13"/>
  <c r="V79" i="13"/>
  <c r="V78" i="13"/>
  <c r="V77" i="13"/>
  <c r="V76" i="13"/>
  <c r="V70" i="13"/>
  <c r="V74" i="13" s="1"/>
  <c r="V65" i="13"/>
  <c r="V47" i="13"/>
  <c r="V44" i="13"/>
  <c r="V43" i="13"/>
  <c r="V41" i="13"/>
  <c r="V40" i="13"/>
  <c r="V39" i="13"/>
  <c r="V38" i="13"/>
  <c r="V30" i="13"/>
  <c r="V42" i="13" s="1"/>
  <c r="V25" i="13"/>
  <c r="U82" i="13"/>
  <c r="U81" i="13"/>
  <c r="U79" i="13"/>
  <c r="U78" i="13"/>
  <c r="U77" i="13"/>
  <c r="U76" i="13"/>
  <c r="U70" i="13"/>
  <c r="U74" i="13" s="1"/>
  <c r="U65" i="13"/>
  <c r="U47" i="13"/>
  <c r="U44" i="13"/>
  <c r="U43" i="13"/>
  <c r="U41" i="13"/>
  <c r="U40" i="13"/>
  <c r="U39" i="13"/>
  <c r="U38" i="13"/>
  <c r="U30" i="13"/>
  <c r="U42" i="13" s="1"/>
  <c r="U25" i="13"/>
  <c r="T82" i="13"/>
  <c r="T81" i="13"/>
  <c r="T79" i="13"/>
  <c r="T78" i="13"/>
  <c r="T77" i="13"/>
  <c r="T76" i="13"/>
  <c r="T70" i="13"/>
  <c r="T74" i="13" s="1"/>
  <c r="T65" i="13"/>
  <c r="T47" i="13"/>
  <c r="T44" i="13"/>
  <c r="T43" i="13"/>
  <c r="T41" i="13"/>
  <c r="T40" i="13"/>
  <c r="T39" i="13"/>
  <c r="T38" i="13"/>
  <c r="T30" i="13"/>
  <c r="T42" i="13" s="1"/>
  <c r="T25" i="13"/>
  <c r="S82" i="13"/>
  <c r="S81" i="13"/>
  <c r="S79" i="13"/>
  <c r="S78" i="13"/>
  <c r="S77" i="13"/>
  <c r="S76" i="13"/>
  <c r="S70" i="13"/>
  <c r="S74" i="13" s="1"/>
  <c r="S65" i="13"/>
  <c r="S47" i="13"/>
  <c r="S44" i="13"/>
  <c r="S43" i="13"/>
  <c r="S41" i="13"/>
  <c r="S40" i="13"/>
  <c r="S39" i="13"/>
  <c r="S38" i="13"/>
  <c r="S30" i="13"/>
  <c r="S42" i="13" s="1"/>
  <c r="S25" i="13"/>
  <c r="R82" i="13"/>
  <c r="R81" i="13"/>
  <c r="R79" i="13"/>
  <c r="R78" i="13"/>
  <c r="R77" i="13"/>
  <c r="R76" i="13"/>
  <c r="R70" i="13"/>
  <c r="R74" i="13" s="1"/>
  <c r="R65" i="13"/>
  <c r="R47" i="13"/>
  <c r="R44" i="13"/>
  <c r="R43" i="13"/>
  <c r="R41" i="13"/>
  <c r="R40" i="13"/>
  <c r="R39" i="13"/>
  <c r="R38" i="13"/>
  <c r="R30" i="13"/>
  <c r="R42" i="13" s="1"/>
  <c r="R25" i="13"/>
  <c r="Q82" i="13"/>
  <c r="Q81" i="13"/>
  <c r="Q79" i="13"/>
  <c r="Q78" i="13"/>
  <c r="Q77" i="13"/>
  <c r="Q76" i="13"/>
  <c r="Q70" i="13"/>
  <c r="Q74" i="13" s="1"/>
  <c r="Q65" i="13"/>
  <c r="Q47" i="13"/>
  <c r="Q44" i="13"/>
  <c r="Q43" i="13"/>
  <c r="Q41" i="13"/>
  <c r="Q40" i="13"/>
  <c r="Q39" i="13"/>
  <c r="Q38" i="13"/>
  <c r="Q30" i="13"/>
  <c r="Q42" i="13" s="1"/>
  <c r="Q25" i="13"/>
  <c r="P82" i="13"/>
  <c r="P81" i="13"/>
  <c r="P79" i="13"/>
  <c r="P78" i="13"/>
  <c r="P77" i="13"/>
  <c r="P76" i="13"/>
  <c r="P70" i="13"/>
  <c r="P74" i="13" s="1"/>
  <c r="P65" i="13"/>
  <c r="P47" i="13"/>
  <c r="P44" i="13"/>
  <c r="P43" i="13"/>
  <c r="P41" i="13"/>
  <c r="P40" i="13"/>
  <c r="P39" i="13"/>
  <c r="P38" i="13"/>
  <c r="P30" i="13"/>
  <c r="P42" i="13" s="1"/>
  <c r="P25" i="13"/>
  <c r="O82" i="13"/>
  <c r="O81" i="13"/>
  <c r="O79" i="13"/>
  <c r="O78" i="13"/>
  <c r="O77" i="13"/>
  <c r="O76" i="13"/>
  <c r="O70" i="13"/>
  <c r="O74" i="13" s="1"/>
  <c r="O65" i="13"/>
  <c r="O47" i="13"/>
  <c r="O44" i="13"/>
  <c r="O43" i="13"/>
  <c r="O41" i="13"/>
  <c r="O40" i="13"/>
  <c r="O39" i="13"/>
  <c r="O38" i="13"/>
  <c r="O30" i="13"/>
  <c r="O42" i="13" s="1"/>
  <c r="O25" i="13"/>
  <c r="N82" i="13"/>
  <c r="N81" i="13"/>
  <c r="N79" i="13"/>
  <c r="N78" i="13"/>
  <c r="N77" i="13"/>
  <c r="N76" i="13"/>
  <c r="N70" i="13"/>
  <c r="N74" i="13" s="1"/>
  <c r="N65" i="13"/>
  <c r="N47" i="13"/>
  <c r="N44" i="13"/>
  <c r="N43" i="13"/>
  <c r="N41" i="13"/>
  <c r="N40" i="13"/>
  <c r="N39" i="13"/>
  <c r="N38" i="13"/>
  <c r="N30" i="13"/>
  <c r="N42" i="13" s="1"/>
  <c r="N25" i="13"/>
  <c r="M82" i="13"/>
  <c r="M81" i="13"/>
  <c r="M79" i="13"/>
  <c r="M78" i="13"/>
  <c r="M77" i="13"/>
  <c r="M76" i="13"/>
  <c r="M70" i="13"/>
  <c r="M74" i="13" s="1"/>
  <c r="M65" i="13"/>
  <c r="M47" i="13"/>
  <c r="M44" i="13"/>
  <c r="M43" i="13"/>
  <c r="M41" i="13"/>
  <c r="M40" i="13"/>
  <c r="M39" i="13"/>
  <c r="M38" i="13"/>
  <c r="M30" i="13"/>
  <c r="M42" i="13" s="1"/>
  <c r="M25" i="13"/>
  <c r="L82" i="13"/>
  <c r="L81" i="13"/>
  <c r="L79" i="13"/>
  <c r="L78" i="13"/>
  <c r="L77" i="13"/>
  <c r="L76" i="13"/>
  <c r="L70" i="13"/>
  <c r="L74" i="13" s="1"/>
  <c r="L65" i="13"/>
  <c r="L47" i="13"/>
  <c r="L44" i="13"/>
  <c r="L43" i="13"/>
  <c r="L41" i="13"/>
  <c r="L40" i="13"/>
  <c r="L39" i="13"/>
  <c r="L38" i="13"/>
  <c r="L30" i="13"/>
  <c r="L42" i="13" s="1"/>
  <c r="L25" i="13"/>
  <c r="K82" i="13"/>
  <c r="K81" i="13"/>
  <c r="K79" i="13"/>
  <c r="K78" i="13"/>
  <c r="K77" i="13"/>
  <c r="K76" i="13"/>
  <c r="K70" i="13"/>
  <c r="K74" i="13" s="1"/>
  <c r="K65" i="13"/>
  <c r="K47" i="13"/>
  <c r="K44" i="13"/>
  <c r="K43" i="13"/>
  <c r="K41" i="13"/>
  <c r="K40" i="13"/>
  <c r="K39" i="13"/>
  <c r="K38" i="13"/>
  <c r="K30" i="13"/>
  <c r="K42" i="13" s="1"/>
  <c r="K25" i="13"/>
  <c r="J82" i="13"/>
  <c r="J81" i="13"/>
  <c r="J79" i="13"/>
  <c r="J78" i="13"/>
  <c r="J77" i="13"/>
  <c r="J76" i="13"/>
  <c r="J70" i="13"/>
  <c r="J74" i="13" s="1"/>
  <c r="J65" i="13"/>
  <c r="J47" i="13"/>
  <c r="J44" i="13"/>
  <c r="J43" i="13"/>
  <c r="J41" i="13"/>
  <c r="J40" i="13"/>
  <c r="J39" i="13"/>
  <c r="J38" i="13"/>
  <c r="J30" i="13"/>
  <c r="J42" i="13" s="1"/>
  <c r="J25" i="13"/>
  <c r="I82" i="13"/>
  <c r="I81" i="13"/>
  <c r="I79" i="13"/>
  <c r="I78" i="13"/>
  <c r="I77" i="13"/>
  <c r="I76" i="13"/>
  <c r="I70" i="13"/>
  <c r="I74" i="13" s="1"/>
  <c r="I65" i="13"/>
  <c r="I47" i="13"/>
  <c r="I44" i="13"/>
  <c r="I43" i="13"/>
  <c r="I41" i="13"/>
  <c r="I40" i="13"/>
  <c r="I39" i="13"/>
  <c r="I38" i="13"/>
  <c r="I30" i="13"/>
  <c r="I42" i="13" s="1"/>
  <c r="I25" i="13"/>
  <c r="H82" i="13"/>
  <c r="H81" i="13"/>
  <c r="H79" i="13"/>
  <c r="H78" i="13"/>
  <c r="H77" i="13"/>
  <c r="H76" i="13"/>
  <c r="H70" i="13"/>
  <c r="H74" i="13" s="1"/>
  <c r="H65" i="13"/>
  <c r="H47" i="13"/>
  <c r="H44" i="13"/>
  <c r="H43" i="13"/>
  <c r="H41" i="13"/>
  <c r="H40" i="13"/>
  <c r="H39" i="13"/>
  <c r="H38" i="13"/>
  <c r="H30" i="13"/>
  <c r="H42" i="13" s="1"/>
  <c r="H25" i="13"/>
  <c r="G82" i="13"/>
  <c r="G81" i="13"/>
  <c r="G79" i="13"/>
  <c r="G78" i="13"/>
  <c r="G77" i="13"/>
  <c r="G76" i="13"/>
  <c r="G70" i="13"/>
  <c r="G80" i="13" s="1"/>
  <c r="G65" i="13"/>
  <c r="G47" i="13"/>
  <c r="G44" i="13"/>
  <c r="G43" i="13"/>
  <c r="G41" i="13"/>
  <c r="G40" i="13"/>
  <c r="G39" i="13"/>
  <c r="G38" i="13"/>
  <c r="G30" i="13"/>
  <c r="G36" i="13" s="1"/>
  <c r="G25" i="13"/>
  <c r="F82" i="13"/>
  <c r="F81" i="13"/>
  <c r="F79" i="13"/>
  <c r="F78" i="13"/>
  <c r="F77" i="13"/>
  <c r="F76" i="13"/>
  <c r="F70" i="13"/>
  <c r="F74" i="13" s="1"/>
  <c r="F65" i="13"/>
  <c r="F47" i="13"/>
  <c r="F44" i="13"/>
  <c r="F43" i="13"/>
  <c r="F41" i="13"/>
  <c r="F40" i="13"/>
  <c r="F39" i="13"/>
  <c r="F38" i="13"/>
  <c r="F30" i="13"/>
  <c r="F42" i="13" s="1"/>
  <c r="F25" i="13"/>
  <c r="E82" i="13"/>
  <c r="E81" i="13"/>
  <c r="E79" i="13"/>
  <c r="E78" i="13"/>
  <c r="E77" i="13"/>
  <c r="E76" i="13"/>
  <c r="E70" i="13"/>
  <c r="E74" i="13" s="1"/>
  <c r="E65" i="13"/>
  <c r="E61" i="13"/>
  <c r="E60" i="13"/>
  <c r="E59" i="13"/>
  <c r="E48" i="13"/>
  <c r="G57" i="13" s="1"/>
  <c r="E47" i="13"/>
  <c r="E44" i="13"/>
  <c r="E43" i="13"/>
  <c r="E41" i="13"/>
  <c r="E40" i="13"/>
  <c r="E39" i="13"/>
  <c r="E38" i="13"/>
  <c r="E30" i="13"/>
  <c r="E42" i="13" s="1"/>
  <c r="E25" i="13"/>
  <c r="AQ62" i="13" l="1"/>
  <c r="D39" i="13"/>
  <c r="D41" i="13"/>
  <c r="D38" i="13"/>
  <c r="D40" i="13"/>
  <c r="D36" i="13"/>
  <c r="D42" i="13"/>
  <c r="AN36" i="13"/>
  <c r="AQ36" i="13"/>
  <c r="AQ80" i="13"/>
  <c r="AP36" i="13"/>
  <c r="AO57" i="13"/>
  <c r="AO62" i="13" s="1"/>
  <c r="AP57" i="13"/>
  <c r="AP62" i="13" s="1"/>
  <c r="AP80" i="13"/>
  <c r="AJ36" i="13"/>
  <c r="AO36" i="13"/>
  <c r="AO80" i="13"/>
  <c r="AM57" i="13"/>
  <c r="AN57" i="13"/>
  <c r="AN62" i="13" s="1"/>
  <c r="AM62" i="13"/>
  <c r="AN80" i="13"/>
  <c r="AM36" i="13"/>
  <c r="AM80" i="13"/>
  <c r="AL36" i="13"/>
  <c r="AK57" i="13"/>
  <c r="AK62" i="13" s="1"/>
  <c r="AL57" i="13"/>
  <c r="AL62" i="13" s="1"/>
  <c r="AL80" i="13"/>
  <c r="AF36" i="13"/>
  <c r="AK36" i="13"/>
  <c r="AK80" i="13"/>
  <c r="AI57" i="13"/>
  <c r="AJ57" i="13"/>
  <c r="AJ62" i="13" s="1"/>
  <c r="AI62" i="13"/>
  <c r="AJ80" i="13"/>
  <c r="AI36" i="13"/>
  <c r="AI80" i="13"/>
  <c r="AH36" i="13"/>
  <c r="AG57" i="13"/>
  <c r="AG62" i="13" s="1"/>
  <c r="AH57" i="13"/>
  <c r="AH62" i="13" s="1"/>
  <c r="AH80" i="13"/>
  <c r="AB36" i="13"/>
  <c r="AG36" i="13"/>
  <c r="AG80" i="13"/>
  <c r="AE57" i="13"/>
  <c r="AF57" i="13"/>
  <c r="AF62" i="13" s="1"/>
  <c r="AE62" i="13"/>
  <c r="AF80" i="13"/>
  <c r="AE36" i="13"/>
  <c r="AE80" i="13"/>
  <c r="AD36" i="13"/>
  <c r="AC57" i="13"/>
  <c r="AC62" i="13" s="1"/>
  <c r="AD57" i="13"/>
  <c r="AD62" i="13" s="1"/>
  <c r="AD80" i="13"/>
  <c r="Y36" i="13"/>
  <c r="AC36" i="13"/>
  <c r="AC80" i="13"/>
  <c r="AA57" i="13"/>
  <c r="AB57" i="13"/>
  <c r="AB62" i="13" s="1"/>
  <c r="AA62" i="13"/>
  <c r="AB80" i="13"/>
  <c r="AA36" i="13"/>
  <c r="AA80" i="13"/>
  <c r="Z74" i="13"/>
  <c r="Z42" i="13"/>
  <c r="Z57" i="13"/>
  <c r="Z62" i="13" s="1"/>
  <c r="Y57" i="13"/>
  <c r="Y62" i="13" s="1"/>
  <c r="Y80" i="13"/>
  <c r="X36" i="13"/>
  <c r="X57" i="13"/>
  <c r="X62" i="13" s="1"/>
  <c r="X80" i="13"/>
  <c r="W36" i="13"/>
  <c r="W57" i="13"/>
  <c r="W62" i="13" s="1"/>
  <c r="W80" i="13"/>
  <c r="V36" i="13"/>
  <c r="V57" i="13"/>
  <c r="V62" i="13" s="1"/>
  <c r="V80" i="13"/>
  <c r="U36" i="13"/>
  <c r="U57" i="13"/>
  <c r="U62" i="13" s="1"/>
  <c r="U80" i="13"/>
  <c r="T36" i="13"/>
  <c r="T57" i="13"/>
  <c r="T62" i="13" s="1"/>
  <c r="T80" i="13"/>
  <c r="S36" i="13"/>
  <c r="S57" i="13"/>
  <c r="S62" i="13" s="1"/>
  <c r="S80" i="13"/>
  <c r="R36" i="13"/>
  <c r="R57" i="13"/>
  <c r="R62" i="13" s="1"/>
  <c r="R80" i="13"/>
  <c r="Q36" i="13"/>
  <c r="Q57" i="13"/>
  <c r="Q62" i="13" s="1"/>
  <c r="Q80" i="13"/>
  <c r="P36" i="13"/>
  <c r="P57" i="13"/>
  <c r="P62" i="13" s="1"/>
  <c r="P80" i="13"/>
  <c r="O36" i="13"/>
  <c r="O57" i="13"/>
  <c r="O62" i="13" s="1"/>
  <c r="O80" i="13"/>
  <c r="N36" i="13"/>
  <c r="N57" i="13"/>
  <c r="N62" i="13" s="1"/>
  <c r="N80" i="13"/>
  <c r="M36" i="13"/>
  <c r="M57" i="13"/>
  <c r="M62" i="13" s="1"/>
  <c r="M80" i="13"/>
  <c r="L36" i="13"/>
  <c r="L57" i="13"/>
  <c r="L62" i="13" s="1"/>
  <c r="L80" i="13"/>
  <c r="K36" i="13"/>
  <c r="K57" i="13"/>
  <c r="K62" i="13" s="1"/>
  <c r="K80" i="13"/>
  <c r="J36" i="13"/>
  <c r="I57" i="13"/>
  <c r="I62" i="13" s="1"/>
  <c r="J57" i="13"/>
  <c r="J62" i="13" s="1"/>
  <c r="J80" i="13"/>
  <c r="I36" i="13"/>
  <c r="I80" i="13"/>
  <c r="G62" i="13"/>
  <c r="F36" i="13"/>
  <c r="H36" i="13"/>
  <c r="H57" i="13"/>
  <c r="H62" i="13" s="1"/>
  <c r="H80" i="13"/>
  <c r="E57" i="13"/>
  <c r="E62" i="13" s="1"/>
  <c r="F57" i="13"/>
  <c r="F62" i="13" s="1"/>
  <c r="G42" i="13"/>
  <c r="G74" i="13"/>
  <c r="F80" i="13"/>
  <c r="E36" i="13"/>
  <c r="E80" i="13"/>
  <c r="D79" i="13" l="1"/>
  <c r="D82" i="13"/>
  <c r="D81" i="13"/>
  <c r="D78" i="13"/>
  <c r="D76" i="13"/>
  <c r="D77" i="13"/>
  <c r="D74" i="13" l="1"/>
  <c r="D80"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alcChain>
</file>

<file path=xl/sharedStrings.xml><?xml version="1.0" encoding="utf-8"?>
<sst xmlns="http://schemas.openxmlformats.org/spreadsheetml/2006/main" count="675" uniqueCount="325">
  <si>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</si>
  <si>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</si>
  <si>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</si>
  <si>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</si>
  <si>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</si>
  <si>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</si>
  <si>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</si>
  <si>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</si>
  <si>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</si>
  <si>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</si>
  <si>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</si>
  <si>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</si>
  <si>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</si>
  <si>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</si>
  <si>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</si>
  <si>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</si>
  <si>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</si>
  <si>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</si>
  <si>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</si>
  <si>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</si>
  <si>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</si>
  <si>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</si>
  <si>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</si>
  <si>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</si>
  <si>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</si>
  <si>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</si>
  <si>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</si>
  <si>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</si>
  <si>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</si>
  <si>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</si>
  <si>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</si>
  <si>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</si>
  <si>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</si>
  <si>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</si>
  <si>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</si>
  <si>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</si>
  <si>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</si>
  <si>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</si>
  <si>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</si>
  <si>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</si>
  <si>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</si>
  <si>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</si>
  <si>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</si>
  <si>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</si>
  <si>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</si>
  <si>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</si>
  <si>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</si>
  <si>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</si>
  <si>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</si>
  <si>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</si>
  <si>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</si>
  <si>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</si>
  <si>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</si>
  <si>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</si>
  <si>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</si>
  <si>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</si>
  <si>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</si>
  <si>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</si>
  <si>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</si>
  <si>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</si>
  <si>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</si>
  <si>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</si>
  <si>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</si>
  <si>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</si>
  <si>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</si>
  <si>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</si>
  <si>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</si>
  <si>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</si>
  <si>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</si>
  <si>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</si>
  <si>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</si>
  <si>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</si>
  <si>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</si>
  <si>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</si>
  <si>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</si>
  <si>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</si>
  <si>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</si>
  <si>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</si>
  <si>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</si>
  <si>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</si>
  <si>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</si>
  <si>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</si>
  <si>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</si>
  <si>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</si>
  <si>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</si>
  <si>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</si>
  <si>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</si>
  <si>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</si>
  <si>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</si>
  <si>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</si>
  <si>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</si>
  <si>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</si>
  <si>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</si>
  <si>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</si>
  <si>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</si>
  <si>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</si>
  <si>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</si>
  <si>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</si>
  <si>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</si>
  <si>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</si>
  <si>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</si>
  <si>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</si>
  <si>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</si>
  <si>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</si>
  <si>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</si>
  <si>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</si>
  <si>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</si>
  <si>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</si>
  <si>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</si>
  <si>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</si>
  <si>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</si>
  <si>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</si>
  <si>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</si>
  <si>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</si>
  <si>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</si>
  <si>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</si>
  <si>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</si>
  <si>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</si>
  <si>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</si>
  <si>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</si>
  <si>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</si>
  <si>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</si>
  <si>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</si>
  <si>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</si>
  <si>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</si>
  <si>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</si>
  <si>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</si>
  <si>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</si>
  <si>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</si>
  <si>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</si>
  <si>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</si>
  <si>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</si>
  <si>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</si>
  <si>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</si>
  <si>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</si>
  <si>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</si>
  <si>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</si>
  <si>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</si>
  <si>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</si>
  <si>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</si>
  <si>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</si>
  <si>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</si>
  <si>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</si>
  <si>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</si>
  <si>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</si>
  <si>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</si>
  <si>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</si>
  <si>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</si>
  <si>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</si>
  <si>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</si>
  <si>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</si>
  <si>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</si>
  <si>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</si>
  <si>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</si>
  <si>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</si>
  <si>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</si>
  <si>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</si>
  <si>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</si>
  <si>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</si>
  <si>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</si>
  <si>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</si>
  <si>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</si>
  <si>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</si>
  <si>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</si>
  <si>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</si>
  <si>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</si>
  <si>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</si>
  <si>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</si>
  <si>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</si>
  <si>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</si>
  <si>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</si>
  <si>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</si>
  <si>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</si>
  <si>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</si>
  <si>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</si>
  <si>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</si>
  <si>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</si>
  <si>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</si>
  <si>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</si>
  <si>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</si>
  <si>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</si>
  <si>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</si>
  <si>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</si>
  <si>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</si>
  <si>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</si>
  <si>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</si>
  <si>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</si>
  <si>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</si>
  <si>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</si>
  <si>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</si>
  <si>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</si>
  <si>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</si>
  <si>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</si>
  <si>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</si>
  <si>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</si>
  <si>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</si>
  <si>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</si>
  <si>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</si>
  <si>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</si>
  <si>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</si>
  <si>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</si>
  <si>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</si>
  <si>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</si>
  <si>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</si>
  <si>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</si>
  <si>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</si>
  <si>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</si>
  <si>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</si>
  <si>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</si>
  <si>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</si>
  <si>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</si>
  <si>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</si>
  <si>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</si>
  <si>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</si>
  <si>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</si>
  <si>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</si>
  <si>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</si>
  <si>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</si>
  <si>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</si>
  <si>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</si>
  <si>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</si>
  <si>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</si>
  <si>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</si>
  <si>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</si>
  <si>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</si>
  <si>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</si>
  <si>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</si>
  <si>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</si>
  <si>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</si>
  <si>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Oscar Health Plan of Georgia</t>
  </si>
  <si>
    <t>Individual</t>
  </si>
  <si>
    <t>Oscar HMO</t>
  </si>
  <si>
    <t>58081GA001</t>
  </si>
  <si>
    <t>Bronze Elite + PCP Saver Plus</t>
  </si>
  <si>
    <t>Secure</t>
  </si>
  <si>
    <t>Silver Simple</t>
  </si>
  <si>
    <t>Bronze Classic PCP Saver Plus</t>
  </si>
  <si>
    <t>Bronze Classic 4700</t>
  </si>
  <si>
    <t>Silver Simple PCP Saver</t>
  </si>
  <si>
    <t>Silver Elite Saver Plus</t>
  </si>
  <si>
    <t>Gold Elite Saver Plus</t>
  </si>
  <si>
    <t>Silver Simple Diabetes</t>
  </si>
  <si>
    <t>Bronze Classic Standard</t>
  </si>
  <si>
    <t>Bronze Simple 2</t>
  </si>
  <si>
    <t>Silver Classic Standard</t>
  </si>
  <si>
    <t>Gold Classic Standard</t>
  </si>
  <si>
    <t>Bronze Classic - PCP Saver</t>
  </si>
  <si>
    <t>Bronze Classic</t>
  </si>
  <si>
    <t>Silver Classic</t>
  </si>
  <si>
    <t>Silver Simple - Specialist Saver</t>
  </si>
  <si>
    <t>Silver Classic Off-Ex</t>
  </si>
  <si>
    <t>Bronze Elite - $0 Ded + Specialist Saver</t>
  </si>
  <si>
    <t>Gold Classic</t>
  </si>
  <si>
    <t>Bronze Simple - HSA</t>
  </si>
  <si>
    <t>Silver Classic - $0 Ded</t>
  </si>
  <si>
    <t>Silver Classic- HSA</t>
  </si>
  <si>
    <t>Silver Elite- $2000 Ded</t>
  </si>
  <si>
    <t>Gold Classic- Low Ded</t>
  </si>
  <si>
    <t>Bronze Classic- Specialist Saver</t>
  </si>
  <si>
    <t>Bronze Classic- $3000 Ded</t>
  </si>
  <si>
    <t>Silver Elite- Specialist Saver</t>
  </si>
  <si>
    <t>Silver Classic- Low Ded</t>
  </si>
  <si>
    <t>Silver Elite - $0 PCP</t>
  </si>
  <si>
    <t>Silver Simple - HSA</t>
  </si>
  <si>
    <t>Gold Simple</t>
  </si>
  <si>
    <t>Gold Classic- $0 PCP</t>
  </si>
  <si>
    <t>Gold Elite</t>
  </si>
  <si>
    <t>Gold Classic- HSA</t>
  </si>
  <si>
    <t>Bronze Super Simple</t>
  </si>
  <si>
    <t>Bronze Classic- $5000 Ded</t>
  </si>
  <si>
    <t>Bronze Elite</t>
  </si>
  <si>
    <t>Bronze Elite - $1000 Ded</t>
  </si>
  <si>
    <t>58081GA0010005</t>
  </si>
  <si>
    <t>58081GA0010011</t>
  </si>
  <si>
    <t>58081GA0010015</t>
  </si>
  <si>
    <t>58081GA0010021</t>
  </si>
  <si>
    <t>58081GA0010024</t>
  </si>
  <si>
    <t>58081GA0010025</t>
  </si>
  <si>
    <t>58081GA0010030</t>
  </si>
  <si>
    <t>58081GA0010035</t>
  </si>
  <si>
    <t>58081GA0010045</t>
  </si>
  <si>
    <t>58081GA0010050</t>
  </si>
  <si>
    <t>58081GA0010051</t>
  </si>
  <si>
    <t>58081GA0010052</t>
  </si>
  <si>
    <t>58081GA0010053</t>
  </si>
  <si>
    <t>58081GA0010002</t>
  </si>
  <si>
    <t>58081GA0010003</t>
  </si>
  <si>
    <t>58081GA0010006</t>
  </si>
  <si>
    <t>58081GA0010008</t>
  </si>
  <si>
    <t>58081GA0010010</t>
  </si>
  <si>
    <t>58081GA0010012</t>
  </si>
  <si>
    <t>58081GA0010013</t>
  </si>
  <si>
    <t>58081GA0010014</t>
  </si>
  <si>
    <t>58081GA0010017</t>
  </si>
  <si>
    <t>58081GA0010018</t>
  </si>
  <si>
    <t>58081GA0010019</t>
  </si>
  <si>
    <t>58081GA0010020</t>
  </si>
  <si>
    <t>58081GA0010022</t>
  </si>
  <si>
    <t>58081GA0010023</t>
  </si>
  <si>
    <t>58081GA0010026</t>
  </si>
  <si>
    <t>58081GA0010027</t>
  </si>
  <si>
    <t>58081GA0010028</t>
  </si>
  <si>
    <t>58081GA0010029</t>
  </si>
  <si>
    <t>58081GA0010033</t>
  </si>
  <si>
    <t>58081GA0010034</t>
  </si>
  <si>
    <t>58081GA0010036</t>
  </si>
  <si>
    <t>58081GA0010037</t>
  </si>
  <si>
    <t>58081GA0010038</t>
  </si>
  <si>
    <t>58081GA0010040</t>
  </si>
  <si>
    <t>58081GA0010041</t>
  </si>
  <si>
    <t>58081GA0010042</t>
  </si>
  <si>
    <t>HMO</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</si>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</sst>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5">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xf numFmtId="8" fontId="11" fillId="5" borderId="7" xfId="0" applyNumberFormat="1" applyFont="1" applyFill="1" applyBorder="1" applyProtection="1">
      <protection locked="0"/>
    </xf>
    <xf numFmtId="0" fontId="0" fillId="5" borderId="11" xfId="0" applyFill="1" applyBorder="1" applyAlignment="1" applyProtection="1">
      <alignment horizontal="center"/>
      <protection locked="0"/>
    </xf>
    <xf numFmtId="0" fontId="0" fillId="5" borderId="12" xfId="0" applyFill="1" applyBorder="1" applyAlignment="1" applyProtection="1">
      <alignment horizontal="center"/>
      <protection locked="0"/>
    </xf>
    <xf numFmtId="0" fontId="0" fillId="5" borderId="37" xfId="0" applyFill="1" applyBorder="1" applyAlignment="1" applyProtection="1">
      <alignment horizontal="center"/>
      <protection locked="0"/>
    </xf>
    <xf numFmtId="10" fontId="0" fillId="0" borderId="11" xfId="0" applyNumberFormat="1" applyBorder="1" applyAlignment="1">
      <alignment horizontal="center"/>
    </xf>
    <xf numFmtId="10" fontId="0" fillId="0" borderId="12" xfId="0" applyNumberFormat="1" applyBorder="1" applyAlignment="1">
      <alignment horizontal="center"/>
    </xf>
    <xf numFmtId="10" fontId="0" fillId="0" borderId="37" xfId="0" applyNumberFormat="1" applyBorder="1" applyAlignment="1">
      <alignment horizontal="center"/>
    </xf>
    <xf numFmtId="170" fontId="0" fillId="0" borderId="12" xfId="0" applyNumberFormat="1" applyBorder="1" applyAlignment="1">
      <alignment horizontal="center"/>
    </xf>
    <xf numFmtId="170" fontId="0" fillId="0" borderId="37" xfId="0" applyNumberFormat="1" applyBorder="1" applyAlignment="1">
      <alignment horizontal="center"/>
    </xf>
    <xf numFmtId="170" fontId="0" fillId="0" borderId="11" xfId="0" applyNumberFormat="1" applyBorder="1" applyAlignment="1">
      <alignment horizontal="center"/>
    </xf>
    <xf numFmtId="168" fontId="0" fillId="0" borderId="11" xfId="0" applyNumberFormat="1" applyBorder="1" applyAlignment="1">
      <alignment horizontal="center"/>
    </xf>
    <xf numFmtId="168" fontId="0" fillId="0" borderId="12" xfId="0" applyNumberFormat="1" applyBorder="1" applyAlignment="1">
      <alignment horizontal="center"/>
    </xf>
    <xf numFmtId="168" fontId="0" fillId="0" borderId="37" xfId="0" applyNumberFormat="1" applyBorder="1" applyAlignment="1">
      <alignment horizontal="center"/>
    </xf>
    <xf numFmtId="10" fontId="0" fillId="5" borderId="7" xfId="0" applyNumberFormat="1" applyFill="1" applyBorder="1" applyAlignment="1" applyProtection="1">
      <alignment horizontal="right" wrapText="1"/>
      <protection locked="0"/>
    </xf>
  </cellXfs>
  <cellStyles count="8">
    <cellStyle name="Comma" xfId="1" builtinId="3"/>
    <cellStyle name="Comma 2" xfId="2"/>
    <cellStyle name="Currency" xfId="3" builtinId="4"/>
    <cellStyle name="Currency 2" xfId="4"/>
    <cellStyle name="Normal" xfId="0" builtinId="0"/>
    <cellStyle name="Percent" xfId="5" builtinId="5"/>
    <cellStyle name="Percent 2" xfId="6"/>
    <cellStyle name="Percent 3"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xdr:row>
          <xdr:rowOff>0</xdr:rowOff>
        </xdr:from>
        <xdr:to>
          <xdr:col>5</xdr:col>
          <xdr:colOff>1038225</xdr:colOff>
          <xdr:row>4</xdr:row>
          <xdr:rowOff>38100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3</xdr:row>
          <xdr:rowOff>0</xdr:rowOff>
        </xdr:from>
        <xdr:to>
          <xdr:col>8</xdr:col>
          <xdr:colOff>104775</xdr:colOff>
          <xdr:row>4</xdr:row>
          <xdr:rowOff>38100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3</xdr:row>
          <xdr:rowOff>0</xdr:rowOff>
        </xdr:from>
        <xdr:to>
          <xdr:col>9</xdr:col>
          <xdr:colOff>161925</xdr:colOff>
          <xdr:row>4</xdr:row>
          <xdr:rowOff>38100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xdr:row>
          <xdr:rowOff>0</xdr:rowOff>
        </xdr:from>
        <xdr:to>
          <xdr:col>7</xdr:col>
          <xdr:colOff>47625</xdr:colOff>
          <xdr:row>4</xdr:row>
          <xdr:rowOff>38100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E270"/>
  <sheetViews>
    <sheetView showGridLines="0" tabSelected="1" zoomScaleNormal="100" zoomScaleSheetLayoutView="40" workbookViewId="0">
      <selection activeCell="E10" sqref="E10"/>
    </sheetView>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09" t="s">
        <v>229</v>
      </c>
      <c r="D3" s="210"/>
      <c r="E3" s="210"/>
      <c r="F3" s="210"/>
      <c r="G3" s="210"/>
      <c r="H3" s="211"/>
      <c r="K3" s="98" t="s">
        <v>215</v>
      </c>
    </row>
    <row r="4" spans="1:29" ht="18.75">
      <c r="B4" s="97" t="s">
        <v>6</v>
      </c>
      <c r="C4" s="212">
        <v>58081</v>
      </c>
      <c r="D4" s="206" t="s">
        <v>7</v>
      </c>
      <c r="E4" s="212" t="s">
        <v>37</v>
      </c>
      <c r="F4" s="4"/>
      <c r="G4" s="4"/>
      <c r="H4" s="4"/>
      <c r="K4" s="98" t="s">
        <v>216</v>
      </c>
    </row>
    <row r="5" spans="1:29" ht="15.75">
      <c r="B5" s="96" t="s">
        <v>14</v>
      </c>
      <c r="C5" s="218">
        <f>MAX('Wksh 2 - Plan Product Info'!E19:AQ19)</f>
        <v>45292</v>
      </c>
      <c r="D5" s="206" t="s">
        <v>9</v>
      </c>
      <c r="E5" s="212" t="s">
        <v>230</v>
      </c>
    </row>
    <row r="6" spans="1:29" ht="18.75">
      <c r="B6" s="3"/>
      <c r="C6" s="3"/>
      <c r="D6" s="3"/>
      <c r="E6" s="3"/>
      <c r="F6" s="4"/>
    </row>
    <row r="7" spans="1:29">
      <c r="F7" s="2"/>
    </row>
    <row r="8" spans="1:29">
      <c r="B8" s="234" t="s">
        <v>3</v>
      </c>
      <c r="C8" s="235"/>
      <c r="D8" s="235"/>
      <c r="E8" s="235"/>
      <c r="F8" s="235"/>
      <c r="G8" s="235"/>
      <c r="H8" s="235"/>
      <c r="I8" s="235"/>
      <c r="J8" s="235"/>
      <c r="K8" s="235"/>
      <c r="L8" s="235"/>
      <c r="M8" s="235"/>
      <c r="N8" s="235"/>
      <c r="O8" s="235"/>
      <c r="P8" s="235"/>
      <c r="Q8" s="236"/>
      <c r="R8"/>
      <c r="S8"/>
      <c r="T8"/>
      <c r="U8"/>
      <c r="V8"/>
      <c r="W8"/>
      <c r="X8"/>
      <c r="Y8"/>
    </row>
    <row r="9" spans="1:29">
      <c r="B9" s="237"/>
      <c r="C9" s="238"/>
      <c r="D9" s="238"/>
      <c r="E9" s="238"/>
      <c r="F9" s="238"/>
      <c r="G9" s="238"/>
      <c r="H9" s="238"/>
      <c r="I9" s="238"/>
      <c r="J9" s="238"/>
      <c r="K9" s="238"/>
      <c r="L9" s="238"/>
      <c r="M9" s="238"/>
      <c r="N9" s="238"/>
      <c r="O9" s="238"/>
      <c r="P9" s="238"/>
      <c r="Q9" s="239"/>
      <c r="R9"/>
      <c r="S9"/>
      <c r="T9"/>
      <c r="U9"/>
      <c r="V9"/>
      <c r="W9"/>
      <c r="X9"/>
      <c r="Y9"/>
    </row>
    <row r="10" spans="1:29">
      <c r="B10" s="19"/>
      <c r="F10" s="2"/>
    </row>
    <row r="11" spans="1:29">
      <c r="B11" s="28" t="s">
        <v>85</v>
      </c>
      <c r="E11" s="29"/>
      <c r="F11" s="2"/>
    </row>
    <row r="12" spans="1:29">
      <c r="B12" s="75" t="s">
        <v>21</v>
      </c>
      <c r="D12" s="213">
        <v>44562</v>
      </c>
      <c r="E12" s="31" t="s">
        <v>11</v>
      </c>
      <c r="F12" s="84">
        <f>EDATE(D12,12)-1</f>
        <v>44926</v>
      </c>
      <c r="H12" s="33"/>
      <c r="I12" s="32"/>
    </row>
    <row r="13" spans="1:29">
      <c r="B13" s="30"/>
      <c r="E13" s="69" t="s">
        <v>2</v>
      </c>
      <c r="F13" s="34" t="s">
        <v>23</v>
      </c>
      <c r="G13"/>
      <c r="J13"/>
      <c r="P13"/>
      <c r="Q13"/>
      <c r="U13"/>
      <c r="V13"/>
      <c r="W13"/>
      <c r="X13"/>
      <c r="Y13"/>
      <c r="AC13" s="35"/>
    </row>
    <row r="14" spans="1:29">
      <c r="B14" s="243" t="s">
        <v>86</v>
      </c>
      <c r="C14" s="244"/>
      <c r="D14" s="245"/>
      <c r="E14" s="102">
        <v>277948786.50999999</v>
      </c>
      <c r="F14" s="103">
        <f>E14/E19</f>
        <v>322.96080242660292</v>
      </c>
      <c r="G14" s="36"/>
      <c r="J14"/>
      <c r="P14"/>
      <c r="Q14"/>
      <c r="U14"/>
      <c r="V14"/>
      <c r="W14"/>
      <c r="X14"/>
      <c r="Y14"/>
      <c r="AC14" s="35"/>
    </row>
    <row r="15" spans="1:29">
      <c r="B15" s="246" t="s">
        <v>87</v>
      </c>
      <c r="C15" s="246"/>
      <c r="D15" s="246"/>
      <c r="E15" s="102">
        <v>13604810.640000001</v>
      </c>
      <c r="F15" s="104">
        <f>E15/E19</f>
        <v>15.808022104814281</v>
      </c>
      <c r="G15" s="36"/>
      <c r="J15"/>
      <c r="P15"/>
      <c r="Q15"/>
      <c r="U15"/>
      <c r="V15"/>
      <c r="W15"/>
      <c r="X15"/>
      <c r="Y15"/>
      <c r="AC15" s="35"/>
    </row>
    <row r="16" spans="1:29">
      <c r="B16" s="246" t="s">
        <v>88</v>
      </c>
      <c r="C16" s="246"/>
      <c r="D16" s="246"/>
      <c r="E16" s="102">
        <v>234084377.44</v>
      </c>
      <c r="F16" s="104">
        <f>E16/E19</f>
        <v>271.99283480532216</v>
      </c>
      <c r="G16" s="36"/>
      <c r="J16"/>
      <c r="P16"/>
      <c r="Q16"/>
      <c r="U16"/>
      <c r="V16"/>
      <c r="W16"/>
      <c r="X16"/>
      <c r="Y16"/>
      <c r="AC16" s="35"/>
    </row>
    <row r="17" spans="2:31">
      <c r="B17" s="246" t="s">
        <v>89</v>
      </c>
      <c r="C17" s="246"/>
      <c r="D17" s="246"/>
      <c r="E17" s="105">
        <v>-153264773.34999999</v>
      </c>
      <c r="F17" s="106">
        <f>E17/E19</f>
        <v>-178.08501633111672</v>
      </c>
      <c r="G17" s="37"/>
      <c r="H17" s="38"/>
      <c r="I17" s="32"/>
      <c r="J17"/>
      <c r="O17" s="39"/>
      <c r="P17"/>
      <c r="Q17"/>
      <c r="U17"/>
      <c r="V17"/>
      <c r="W17"/>
      <c r="X17"/>
      <c r="Y17"/>
      <c r="AC17" s="35"/>
    </row>
    <row r="18" spans="2:31">
      <c r="B18" s="246" t="s">
        <v>90</v>
      </c>
      <c r="C18" s="246"/>
      <c r="D18" s="246"/>
      <c r="E18" s="105">
        <v>445324014.48000002</v>
      </c>
      <c r="F18" s="107">
        <f>E18/E19</f>
        <v>517.44137062862308</v>
      </c>
      <c r="G18" s="40"/>
      <c r="H18" s="38"/>
      <c r="I18" s="32"/>
      <c r="J18"/>
      <c r="P18"/>
      <c r="Q18"/>
      <c r="U18"/>
      <c r="V18"/>
      <c r="W18"/>
      <c r="X18"/>
      <c r="Y18"/>
      <c r="AC18" s="35"/>
    </row>
    <row r="19" spans="2:31">
      <c r="B19" s="246" t="s">
        <v>22</v>
      </c>
      <c r="C19" s="246"/>
      <c r="D19" s="246"/>
      <c r="E19" s="214">
        <f>'Wksh 2 - Plan Product Info'!D33</f>
        <v>860627</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5"/>
      <c r="C22" s="226"/>
      <c r="D22" s="240" t="s">
        <v>92</v>
      </c>
      <c r="E22" s="241"/>
      <c r="F22" s="242" t="s">
        <v>93</v>
      </c>
      <c r="G22" s="242"/>
      <c r="H22" s="227"/>
      <c r="I22" s="38"/>
      <c r="J22" s="32"/>
      <c r="K22" s="38"/>
      <c r="L22"/>
      <c r="R22"/>
      <c r="S22"/>
      <c r="W22"/>
      <c r="X22"/>
      <c r="Y22"/>
      <c r="Z22"/>
      <c r="AA22"/>
      <c r="AE22" s="35"/>
    </row>
    <row r="23" spans="2:31" ht="30.75" thickBot="1">
      <c r="B23" s="228" t="s">
        <v>147</v>
      </c>
      <c r="C23" s="229" t="s">
        <v>137</v>
      </c>
      <c r="D23" s="110" t="s">
        <v>94</v>
      </c>
      <c r="E23" s="109" t="s">
        <v>95</v>
      </c>
      <c r="F23" s="117" t="s">
        <v>94</v>
      </c>
      <c r="G23" s="115" t="s">
        <v>95</v>
      </c>
      <c r="H23" s="230" t="s">
        <v>96</v>
      </c>
      <c r="I23" s="38"/>
      <c r="J23" s="32"/>
      <c r="K23" s="38"/>
      <c r="L23"/>
      <c r="R23"/>
      <c r="S23"/>
      <c r="W23"/>
      <c r="X23"/>
      <c r="Y23"/>
      <c r="Z23"/>
      <c r="AA23"/>
      <c r="AE23" s="35"/>
    </row>
    <row r="24" spans="2:31">
      <c r="B24" s="111" t="s">
        <v>78</v>
      </c>
      <c r="C24" s="129">
        <v>73.17</v>
      </c>
      <c r="D24" s="122">
        <v>1.0249999999999999</v>
      </c>
      <c r="E24" s="125">
        <v>1.006</v>
      </c>
      <c r="F24" s="122">
        <v>1.0249999999999999</v>
      </c>
      <c r="G24" s="127">
        <v>1.006</v>
      </c>
      <c r="H24" s="131">
        <f t="shared" ref="H24:H29" si="0">PRODUCT(C24:G24)</f>
        <v>77.799489497324984</v>
      </c>
      <c r="I24" s="38"/>
      <c r="J24" s="32"/>
      <c r="K24" s="38"/>
      <c r="L24"/>
      <c r="R24"/>
      <c r="S24"/>
      <c r="W24"/>
      <c r="X24"/>
      <c r="Y24"/>
      <c r="Z24"/>
      <c r="AA24"/>
      <c r="AE24" s="35"/>
    </row>
    <row r="25" spans="2:31">
      <c r="B25" s="111" t="s">
        <v>19</v>
      </c>
      <c r="C25" s="130">
        <v>98.22</v>
      </c>
      <c r="D25" s="123">
        <v>1.02</v>
      </c>
      <c r="E25" s="124">
        <v>1.0109999999999999</v>
      </c>
      <c r="F25" s="123">
        <v>1.02</v>
      </c>
      <c r="G25" s="126">
        <v>1.0109999999999999</v>
      </c>
      <c r="H25" s="132">
        <f t="shared" si="0"/>
        <v>104.44859069464799</v>
      </c>
      <c r="I25" s="38"/>
      <c r="J25" s="32"/>
      <c r="K25" s="38"/>
      <c r="L25"/>
      <c r="R25"/>
      <c r="S25"/>
      <c r="W25"/>
      <c r="X25"/>
      <c r="Y25"/>
      <c r="Z25"/>
      <c r="AA25"/>
      <c r="AE25" s="35"/>
    </row>
    <row r="26" spans="2:31">
      <c r="B26" s="111" t="s">
        <v>0</v>
      </c>
      <c r="C26" s="130">
        <v>101.45</v>
      </c>
      <c r="D26" s="123">
        <v>1.0289999999999999</v>
      </c>
      <c r="E26" s="124">
        <v>1.0109999999999999</v>
      </c>
      <c r="F26" s="123">
        <v>1.0289999999999999</v>
      </c>
      <c r="G26" s="128">
        <v>1.0109999999999999</v>
      </c>
      <c r="H26" s="132">
        <f t="shared" si="0"/>
        <v>109.79564442765341</v>
      </c>
      <c r="I26" s="38"/>
      <c r="J26" s="32"/>
      <c r="K26" s="38"/>
      <c r="L26"/>
      <c r="R26"/>
      <c r="S26"/>
      <c r="W26"/>
      <c r="X26"/>
      <c r="Y26"/>
      <c r="Z26"/>
      <c r="AA26"/>
      <c r="AE26" s="35"/>
    </row>
    <row r="27" spans="2:31">
      <c r="B27" s="111" t="s">
        <v>18</v>
      </c>
      <c r="C27" s="130">
        <v>7.1</v>
      </c>
      <c r="D27" s="123">
        <v>1.0289999999999999</v>
      </c>
      <c r="E27" s="124">
        <v>1.0109999999999999</v>
      </c>
      <c r="F27" s="123">
        <v>1.0289999999999999</v>
      </c>
      <c r="G27" s="126">
        <v>1.0109999999999999</v>
      </c>
      <c r="H27" s="132">
        <f t="shared" si="0"/>
        <v>7.6840717145030979</v>
      </c>
      <c r="I27" s="38"/>
      <c r="J27" s="32"/>
      <c r="K27" s="38"/>
      <c r="L27"/>
      <c r="R27"/>
      <c r="S27"/>
      <c r="W27"/>
      <c r="X27"/>
      <c r="Y27"/>
      <c r="Z27"/>
      <c r="AA27"/>
      <c r="AE27" s="35"/>
    </row>
    <row r="28" spans="2:31">
      <c r="B28" s="111" t="s">
        <v>1</v>
      </c>
      <c r="C28" s="130">
        <v>0</v>
      </c>
      <c r="D28" s="120">
        <v>1</v>
      </c>
      <c r="E28" s="121">
        <v>1</v>
      </c>
      <c r="F28" s="123">
        <v>1</v>
      </c>
      <c r="G28" s="126">
        <v>1</v>
      </c>
      <c r="H28" s="132">
        <f t="shared" si="0"/>
        <v>0</v>
      </c>
      <c r="I28" s="38"/>
      <c r="J28" s="32"/>
      <c r="K28" s="38"/>
      <c r="L28"/>
      <c r="R28"/>
      <c r="S28"/>
      <c r="W28"/>
      <c r="X28"/>
      <c r="Y28"/>
      <c r="Z28"/>
      <c r="AA28"/>
      <c r="AE28" s="35"/>
    </row>
    <row r="29" spans="2:31" ht="15.75" thickBot="1">
      <c r="B29" s="111" t="s">
        <v>20</v>
      </c>
      <c r="C29" s="114">
        <v>43.02</v>
      </c>
      <c r="D29" s="119">
        <v>1.026</v>
      </c>
      <c r="E29" s="118">
        <v>1.0029999999999999</v>
      </c>
      <c r="F29" s="119">
        <v>1.026</v>
      </c>
      <c r="G29" s="85">
        <v>1.0029999999999999</v>
      </c>
      <c r="H29" s="116">
        <f t="shared" si="0"/>
        <v>45.558245824213685</v>
      </c>
      <c r="I29" s="38"/>
      <c r="J29" s="32"/>
      <c r="K29" s="38"/>
      <c r="L29"/>
      <c r="R29"/>
      <c r="S29"/>
      <c r="W29"/>
      <c r="X29"/>
      <c r="Y29"/>
      <c r="Z29"/>
      <c r="AA29"/>
      <c r="AE29" s="35"/>
    </row>
    <row r="30" spans="2:31" ht="15.75" thickBot="1">
      <c r="B30" s="112" t="s">
        <v>2</v>
      </c>
      <c r="C30" s="113">
        <f>SUM(C24:C29)</f>
        <v>322.95999999999998</v>
      </c>
      <c r="D30" s="231"/>
      <c r="E30" s="232"/>
      <c r="F30" s="232"/>
      <c r="G30" s="232"/>
      <c r="H30" s="143">
        <f>SUM(H24:H29)</f>
        <v>345.28604215834321</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2" t="s">
        <v>98</v>
      </c>
      <c r="C32" s="223"/>
      <c r="D32" s="223"/>
      <c r="E32" s="224"/>
      <c r="F32" s="136">
        <v>0.97099999999999997</v>
      </c>
      <c r="G32" s="40"/>
      <c r="H32" s="38"/>
      <c r="I32" s="38"/>
      <c r="J32" s="32"/>
      <c r="K32" s="38"/>
      <c r="L32"/>
      <c r="R32"/>
      <c r="S32"/>
      <c r="W32"/>
      <c r="X32"/>
      <c r="Y32"/>
      <c r="Z32"/>
      <c r="AA32"/>
      <c r="AE32" s="35"/>
    </row>
    <row r="33" spans="2:31">
      <c r="B33" s="222" t="s">
        <v>99</v>
      </c>
      <c r="C33" s="223"/>
      <c r="D33" s="223"/>
      <c r="E33" s="224"/>
      <c r="F33" s="136">
        <v>1.018</v>
      </c>
      <c r="G33" s="40"/>
      <c r="H33" s="38"/>
      <c r="I33" s="38"/>
      <c r="J33" s="32"/>
      <c r="K33" s="38"/>
      <c r="L33"/>
      <c r="R33"/>
      <c r="S33"/>
      <c r="W33"/>
      <c r="X33"/>
      <c r="Y33"/>
      <c r="Z33"/>
      <c r="AA33"/>
      <c r="AE33" s="35"/>
    </row>
    <row r="34" spans="2:31">
      <c r="B34" s="222" t="s">
        <v>100</v>
      </c>
      <c r="C34" s="223"/>
      <c r="D34" s="223"/>
      <c r="E34" s="224"/>
      <c r="F34" s="136">
        <v>0.999</v>
      </c>
      <c r="G34" s="40"/>
      <c r="H34" s="38"/>
      <c r="I34" s="38"/>
      <c r="J34" s="32"/>
      <c r="K34" s="38"/>
      <c r="L34"/>
      <c r="R34"/>
      <c r="S34"/>
      <c r="W34"/>
      <c r="X34"/>
      <c r="Y34"/>
      <c r="Z34"/>
      <c r="AA34"/>
      <c r="AE34" s="35"/>
    </row>
    <row r="35" spans="2:31">
      <c r="B35" s="222" t="s">
        <v>17</v>
      </c>
      <c r="C35" s="223"/>
      <c r="D35" s="223"/>
      <c r="E35" s="224"/>
      <c r="F35" s="136">
        <v>0.97328234004404901</v>
      </c>
      <c r="G35" s="40"/>
      <c r="H35" s="38"/>
      <c r="I35" s="38"/>
      <c r="J35" s="32"/>
      <c r="K35" s="38"/>
      <c r="L35"/>
      <c r="R35"/>
      <c r="S35"/>
      <c r="W35"/>
      <c r="X35"/>
      <c r="Y35"/>
      <c r="Z35"/>
      <c r="AA35"/>
      <c r="AE35" s="35"/>
    </row>
    <row r="36" spans="2:31">
      <c r="B36" s="222" t="s">
        <v>220</v>
      </c>
      <c r="C36" s="223"/>
      <c r="D36" s="137">
        <f>IF(C5&lt;&gt;"",C5,"")</f>
        <v>45292</v>
      </c>
      <c r="E36" s="138"/>
      <c r="F36" s="135">
        <f>H30*PRODUCT(F32:F35)</f>
        <v>331.85652576257837</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2" t="s">
        <v>97</v>
      </c>
      <c r="C38" s="223"/>
      <c r="D38" s="223"/>
      <c r="E38" s="224"/>
      <c r="F38" s="133">
        <v>0</v>
      </c>
      <c r="G38" s="40"/>
      <c r="H38" s="38"/>
      <c r="I38" s="38"/>
      <c r="J38" s="32"/>
      <c r="K38" s="38"/>
      <c r="L38"/>
      <c r="R38"/>
      <c r="S38"/>
      <c r="W38"/>
      <c r="X38"/>
      <c r="Y38"/>
      <c r="Z38"/>
      <c r="AA38"/>
      <c r="AE38" s="35"/>
    </row>
    <row r="39" spans="2:31">
      <c r="B39" s="222" t="s">
        <v>219</v>
      </c>
      <c r="C39" s="223"/>
      <c r="D39" s="223"/>
      <c r="E39" s="224"/>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4" t="s">
        <v>24</v>
      </c>
      <c r="H41" s="38"/>
      <c r="I41" s="38"/>
      <c r="J41" s="32"/>
      <c r="K41" s="38"/>
      <c r="L41"/>
      <c r="R41"/>
      <c r="S41"/>
      <c r="W41"/>
      <c r="X41"/>
      <c r="Y41"/>
      <c r="Z41"/>
      <c r="AA41"/>
      <c r="AE41" s="35"/>
    </row>
    <row r="42" spans="2:31">
      <c r="B42" s="222" t="s">
        <v>101</v>
      </c>
      <c r="C42" s="223"/>
      <c r="D42" s="137">
        <f>IF(C5&lt;&gt;"",C5,"")</f>
        <v>45292</v>
      </c>
      <c r="E42" s="139"/>
      <c r="F42" s="135">
        <f>ROUND(F39*F36+(1-F39)*F38,2)</f>
        <v>331.86</v>
      </c>
      <c r="G42" s="140">
        <f>F42*F48</f>
        <v>302107423.56</v>
      </c>
      <c r="H42" s="38"/>
      <c r="I42" s="38"/>
      <c r="J42" s="32"/>
      <c r="K42" s="38"/>
      <c r="L42"/>
      <c r="R42"/>
      <c r="S42"/>
      <c r="W42"/>
      <c r="X42"/>
      <c r="Y42"/>
      <c r="Z42"/>
      <c r="AA42"/>
      <c r="AE42" s="35"/>
    </row>
    <row r="43" spans="2:31">
      <c r="B43" s="222" t="s">
        <v>87</v>
      </c>
      <c r="C43" s="223"/>
      <c r="D43" s="223"/>
      <c r="E43" s="224"/>
      <c r="F43" s="133">
        <v>13.1083193610406</v>
      </c>
      <c r="G43" s="140">
        <f>F43*F48</f>
        <v>11933106.097045867</v>
      </c>
      <c r="H43" s="38"/>
      <c r="I43" s="38"/>
      <c r="J43" s="32"/>
      <c r="K43" s="38"/>
      <c r="L43"/>
      <c r="R43"/>
      <c r="S43"/>
      <c r="W43"/>
      <c r="X43"/>
      <c r="Y43"/>
      <c r="Z43"/>
      <c r="AA43"/>
      <c r="AE43" s="35"/>
    </row>
    <row r="44" spans="2:31">
      <c r="B44" s="222" t="s">
        <v>138</v>
      </c>
      <c r="C44" s="223"/>
      <c r="D44" s="223"/>
      <c r="E44" s="224"/>
      <c r="F44" s="133">
        <v>-213.92754992000499</v>
      </c>
      <c r="G44" s="140">
        <f>F44*F48</f>
        <v>-194748089.35947686</v>
      </c>
      <c r="H44" s="38"/>
      <c r="I44" s="38"/>
      <c r="J44" s="32"/>
      <c r="K44" s="38"/>
      <c r="L44"/>
      <c r="R44"/>
      <c r="S44"/>
      <c r="W44"/>
      <c r="X44"/>
      <c r="Y44"/>
      <c r="Z44"/>
      <c r="AA44"/>
      <c r="AE44" s="35"/>
    </row>
    <row r="45" spans="2:31">
      <c r="B45" s="222" t="s">
        <v>102</v>
      </c>
      <c r="C45" s="223"/>
      <c r="D45" s="223"/>
      <c r="E45" s="224"/>
      <c r="F45" s="261">
        <v>2.6858454628306199E-2</v>
      </c>
      <c r="G45" s="141">
        <f>F45*F46*F48</f>
        <v>13383732.843216199</v>
      </c>
      <c r="H45" s="38"/>
      <c r="I45" s="38"/>
      <c r="J45" s="32"/>
      <c r="K45" s="38"/>
      <c r="L45"/>
      <c r="R45"/>
      <c r="S45"/>
      <c r="W45"/>
      <c r="X45"/>
      <c r="Y45"/>
      <c r="Z45"/>
      <c r="AA45"/>
      <c r="AE45" s="35"/>
    </row>
    <row r="46" spans="2:31">
      <c r="B46" s="222" t="s">
        <v>122</v>
      </c>
      <c r="C46" s="223"/>
      <c r="D46" s="223"/>
      <c r="E46" s="224"/>
      <c r="F46" s="135">
        <f>(F42-F43-F44)/(1-F45)</f>
        <v>547.38103936925881</v>
      </c>
      <c r="G46" s="142">
        <f>F46*F48</f>
        <v>498306139.66564727</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2" t="s">
        <v>4</v>
      </c>
      <c r="C48" s="223"/>
      <c r="D48" s="223"/>
      <c r="E48" s="224"/>
      <c r="F48" s="215">
        <f>'Wksh 2 - Plan Product Info'!D73</f>
        <v>910346</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33" t="s">
        <v>148</v>
      </c>
      <c r="C50" s="233"/>
      <c r="D50" s="233"/>
      <c r="E50" s="233"/>
      <c r="F50" s="233"/>
      <c r="G50" s="233"/>
      <c r="H50" s="233"/>
      <c r="I50" s="233"/>
      <c r="J50" s="233"/>
      <c r="K50" s="233"/>
      <c r="L50" s="233"/>
      <c r="M50" s="233"/>
      <c r="N50" s="233"/>
      <c r="O50" s="233"/>
      <c r="P50" s="233"/>
      <c r="Q50" s="233"/>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33"/>
      <c r="B112" s="233"/>
      <c r="C112" s="233"/>
      <c r="D112" s="233"/>
      <c r="E112" s="233"/>
      <c r="F112" s="233"/>
      <c r="G112" s="233"/>
      <c r="H112" s="233"/>
      <c r="I112" s="233"/>
      <c r="J112" s="233"/>
      <c r="K112" s="233"/>
      <c r="L112" s="233"/>
      <c r="M112" s="233"/>
      <c r="N112" s="233"/>
      <c r="O112" s="233"/>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algorithmName="SHA-512" hashValue="H0NGLIJd6SbARnVScrfSoG+o9wBmAUNuOzctX2m7Mxs/kMr4HLrTVYpEcweg3BG6DUmR8VEOqTnEwIu2vRvEPg==" saltValue="kjysYwQtQexduJYyRYUuEg=="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formula1>"Platinum, Gold, Silver, Bronze"</formula1>
    </dataValidation>
    <dataValidation type="list" allowBlank="1" showInputMessage="1" showErrorMessage="1" sqref="F66:Q66">
      <formula1>"Network 1, Network 2, Network 3, Network 4"</formula1>
    </dataValidation>
    <dataValidation type="list" allowBlank="1" showInputMessage="1" showErrorMessage="1" sqref="F67:Q67">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formula1>1</formula1>
      <formula2>100</formula2>
    </dataValidation>
    <dataValidation allowBlank="1" showInputMessage="1" showErrorMessage="1" promptTitle="Required:" prompt="Enter the HIOS ID assigned to the legal entity (5 digit numeric value)." sqref="C4"/>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dataValidation operator="greaterThan" allowBlank="1" showInputMessage="1" showErrorMessage="1" promptTitle="Required:" prompt="Enter reinsurance claims reimbursements for claims incurred during the experience period, up to 16 characters including decimal place." sqref="E15"/>
    <dataValidation operator="greaterThanOrEqual" allowBlank="1" showInputMessage="1" showErrorMessage="1" promptTitle="Required:" prompt="Enter total claims incurred in the experience period, up to 16 characters including decimal place." sqref="E16"/>
    <dataValidation operator="greaterThanOrEqual" allowBlank="1" showInputMessage="1" showErrorMessage="1" promptTitle="Required:" prompt="Enter the Earned Premiums for the experience period, up to 16 characters including decimal place." sqref="E18"/>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dataValidation allowBlank="1" showInputMessage="1" showErrorMessage="1" promptTitle="Required:" prompt="Enter the Experience Period Index Rate PMPM for Prescription Drug as a numeric value, up to 16 characters including decimal place." sqref="C29"/>
    <dataValidation allowBlank="1" showInputMessage="1" showErrorMessage="1" promptTitle="Required:" prompt="Enter the Utilization - Year 2 Trend for Prescription Drug as a numeric value, up to 16 characters including decimal place." sqref="G29"/>
    <dataValidation allowBlank="1" showInputMessage="1" showErrorMessage="1" promptTitle="Required:" prompt="Enter the Cost - Year 1 Trend for Prescription Drug as a numeric value, up to 16 characters including decimal place." sqref="D29"/>
    <dataValidation allowBlank="1" showInputMessage="1" showErrorMessage="1" promptTitle="Required:" prompt="Enter the Cost - Year 2 Trend for Prescription Drug as a numeric value, up to 16 characters including decimal place." sqref="F29"/>
    <dataValidation allowBlank="1" showInputMessage="1" showErrorMessage="1" promptTitle="Required:" prompt="Enter the Utilization - Year 1 Trend for Prescription Drug as a numeric value, up to 16 characters including decimal place." sqref="E29"/>
    <dataValidation allowBlank="1" showInputMessage="1" showErrorMessage="1" promptTitle="Required:" prompt="Enter the Manual EHB Allowed Claims PMPM as a numeric value, up to 16 characters including decimal place." sqref="F38"/>
    <dataValidation allowBlank="1" showInputMessage="1" showErrorMessage="1" promptTitle="Required:" prompt="Enter the Applied Credibility % to the trended EHB Allowed Claims pmpm as a percentage, up to 16 characters including decimal place." sqref="F39"/>
    <dataValidation allowBlank="1" showInputMessage="1" showErrorMessage="1" promptTitle="Required:" prompt="Enter the Morbidity Adjustment of the covered population from the experience period to the projection period as a numeric value, up to 16 characters including decimal place." sqref="F32"/>
    <dataValidation allowBlank="1" showInputMessage="1" showErrorMessage="1" promptTitle="Required:" prompt="Enter Other as a positive numeric value, up to 16 characters including decimal place." sqref="F35"/>
    <dataValidation allowBlank="1" showInputMessage="1" showErrorMessage="1" promptTitle="Required:" prompt="Enter the Demographic Shift of the covered population from the experience period to the projection period as a numeric value, up to 16 characters including decimal place." sqref="F33"/>
    <dataValidation allowBlank="1" showInputMessage="1" showErrorMessage="1" promptTitle="Required:" prompt="Enter the Plan Design Changes as a numeric value, up to 16 characters including decimal place." sqref="F34"/>
    <dataValidation allowBlank="1" showInputMessage="1" showErrorMessage="1" promptTitle="Required:" prompt="Enter the projected reinsurance recoverable for the projection period as a value, up to 16 characters including decimal place." sqref="F43"/>
    <dataValidation allowBlank="1" showInputMessage="1" showErrorMessage="1" promptTitle="Required:" prompt="Enter the projected Risk Adjustment Payment/Charge for the projection period as a positive or negative numeric value, up to 16 characters including decimal place." sqref="F44"/>
    <dataValidation allowBlank="1" showInputMessage="1" showErrorMessage="1" promptTitle="Required:" prompt="Enter the projected Exchange User Fees for the projection period as a percentage up to 16 characters including decimal place." sqref="F45"/>
    <dataValidation allowBlank="1" showInputMessage="1" showErrorMessage="1" promptTitle="Required:" prompt="Enter the Experience Period Index Rate PMPM for Inpatient Hospital as a numeric value, up to 16 characters including decimal place." sqref="C24"/>
    <dataValidation allowBlank="1" showInputMessage="1" showErrorMessage="1" promptTitle="Required:" prompt="Enter the Experience Period Index Rate PMPM for Outpatient Hospital as a numeric value, up to 16 characters including decimal place." sqref="C25"/>
    <dataValidation allowBlank="1" showInputMessage="1" showErrorMessage="1" promptTitle="Required:" prompt="Enter the Experience Period Index Rate PMPM for Professional as a numeric value, up to 16 characters including decimal place." sqref="C26"/>
    <dataValidation allowBlank="1" showInputMessage="1" showErrorMessage="1" promptTitle="Required:" prompt="Enter the Experience Period Index Rate PMPM for Other Medical as a numeric value, up to 16 characters including decimal place." sqref="C27"/>
    <dataValidation allowBlank="1" showInputMessage="1" showErrorMessage="1" promptTitle="Required:" prompt="Enter the Experience Period Index Rate PMPM for Capitation as a numeric value, up to 16 characters including decimal place." sqref="C28"/>
    <dataValidation allowBlank="1" showInputMessage="1" showErrorMessage="1" promptTitle="Required:" prompt="Enter the Cost - Year 1 Trend for Inpatient Hospital as a numeric value, up to 16 characters including decimal place." sqref="D24"/>
    <dataValidation allowBlank="1" showInputMessage="1" showErrorMessage="1" promptTitle="Required:" prompt="Enter the Cost - Year 1 Trend for Outpatient Hospital as a numeric value, up to 16 characters including decimal place." sqref="D25"/>
    <dataValidation allowBlank="1" showInputMessage="1" showErrorMessage="1" promptTitle="Required:" prompt="Enter the Cost - Year 1 Trend for Professional as a numeric value, up to 16 characters including decimal place." sqref="D26"/>
    <dataValidation allowBlank="1" showInputMessage="1" showErrorMessage="1" promptTitle="Required:" prompt="Enter the Cost - Year 1 Trend for Other Medical as a numeric value, up to 16 characters including decimal place." sqref="D27"/>
    <dataValidation allowBlank="1" showInputMessage="1" showErrorMessage="1" promptTitle="Required:" prompt="Enter the Cost - Year 1 Trend for Capitation as a numeric value, up to 16 characters including decimal place." sqref="D28"/>
    <dataValidation allowBlank="1" showInputMessage="1" showErrorMessage="1" promptTitle="Required:" prompt="Enter the Utilization - Year 1 Trend for Inpatient Hospital as a numeric value, up to 16 characters including decimal place." sqref="E24"/>
    <dataValidation allowBlank="1" showInputMessage="1" showErrorMessage="1" promptTitle="Required:" prompt="Enter the Utilization - Year 1 Trend for Outpatient Hospital as a numeric value, up to 16 characters including decimal place." sqref="E25"/>
    <dataValidation allowBlank="1" showInputMessage="1" showErrorMessage="1" promptTitle="Required:" prompt="Enter the Utilization - Year 1 Trend for Professional as a numeric value, up to 16 characters including decimal place." sqref="E26"/>
    <dataValidation allowBlank="1" showInputMessage="1" showErrorMessage="1" promptTitle="Required:" prompt="Enter the Utilization - Year 1 Trend for Other Medical as a numeric value, up to 16 characters including decimal place." sqref="E27"/>
    <dataValidation allowBlank="1" showInputMessage="1" showErrorMessage="1" promptTitle="Required:" prompt="Enter the Utilization - Year 1 Trend for Capitation as a numeric value, up to 16 characters including decimal place." sqref="E28"/>
    <dataValidation allowBlank="1" showInputMessage="1" showErrorMessage="1" promptTitle="Required:" prompt="Enter the Cost - Year 2 Trend for Inpatient Hospital as a numeric value, up to 16 characters including decimal place." sqref="F24"/>
    <dataValidation allowBlank="1" showInputMessage="1" showErrorMessage="1" promptTitle="Required:" prompt="Enter the Cost - Year 2 Trend for Outpatient Hospital as a numeric value, up to 16 characters including decimal place." sqref="F25"/>
    <dataValidation allowBlank="1" showInputMessage="1" showErrorMessage="1" promptTitle="Required:" prompt="Enter the Cost - Year 2 Trend for Professional as a numeric value, up to 16 characters including decimal place." sqref="F26"/>
    <dataValidation allowBlank="1" showInputMessage="1" showErrorMessage="1" promptTitle="Required:" prompt="Enter the Cost - Year 2 Trend for Other Medical as a numeric value, up to 16 characters including decimal place." sqref="F27"/>
    <dataValidation allowBlank="1" showInputMessage="1" showErrorMessage="1" promptTitle="Required:" prompt="Enter the Cost - Year 2 Trend for Capitation as a numeric value, up to 16 characters including decimal place." sqref="F28"/>
    <dataValidation allowBlank="1" showInputMessage="1" showErrorMessage="1" promptTitle="Required:" prompt="Enter the Utilization - Year 2 Trend for Inpatient Hospital as a numeric value, up to 16 characters including decimal place." sqref="G24"/>
    <dataValidation allowBlank="1" showInputMessage="1" showErrorMessage="1" promptTitle="Required:" prompt="Enter the Utilization - Year 2 Trend for Outpatient Hospital as a numeric value, up to 16 characters including decimal place." sqref="G25"/>
    <dataValidation allowBlank="1" showInputMessage="1" showErrorMessage="1" promptTitle="Required:" prompt="Enter the Utilization - Year 2 Trend for Professional as a numeric value, up to 16 characters including decimal place." sqref="G26"/>
    <dataValidation allowBlank="1" showInputMessage="1" showErrorMessage="1" promptTitle="Required:" prompt="Enter the Utilization - Year 2 Trend for Other Medical as a numeric value, up to 16 characters including decimal place." sqref="G27"/>
    <dataValidation allowBlank="1" showInputMessage="1" showErrorMessage="1" promptTitle="Required:" prompt="Enter the Utilization - Year 2 Trend for Capitation as a numeric value, up to 16 characters including decimal place." sqref="G28"/>
  </dataValidations>
  <printOptions headings="1"/>
  <pageMargins left="0.2" right="0.2" top="0.3" bottom="0.3" header="0.05" footer="0.05"/>
  <pageSetup scale="41" fitToHeight="0"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U83"/>
  <sheetViews>
    <sheetView showGridLines="0" topLeftCell="A4" zoomScaleNormal="100" workbookViewId="0">
      <selection activeCell="C18" sqref="C18"/>
    </sheetView>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43" ht="18.600000000000001" customHeight="1">
      <c r="A1" s="100" t="s">
        <v>226</v>
      </c>
      <c r="C1" s="16" t="s">
        <v>221</v>
      </c>
      <c r="D1" s="16"/>
      <c r="E1" s="3"/>
      <c r="F1" s="3"/>
      <c r="G1" s="3"/>
      <c r="H1" s="4"/>
      <c r="I1" s="1"/>
      <c r="J1" s="1"/>
      <c r="K1" s="1"/>
      <c r="L1" s="1"/>
      <c r="M1" s="1"/>
      <c r="N1" s="1"/>
      <c r="O1" s="1"/>
      <c r="P1" s="98" t="s">
        <v>213</v>
      </c>
      <c r="Q1" s="1"/>
      <c r="S1" s="1"/>
      <c r="T1" s="1"/>
      <c r="U1" s="1"/>
    </row>
    <row r="2" spans="1:43" ht="18.75">
      <c r="C2" s="3"/>
      <c r="D2" s="3"/>
      <c r="E2" s="3"/>
      <c r="F2" s="3"/>
      <c r="G2" s="3"/>
      <c r="H2" s="4"/>
      <c r="I2" s="1"/>
      <c r="J2" s="1"/>
      <c r="K2" s="1"/>
      <c r="L2" s="1"/>
      <c r="M2" s="1"/>
      <c r="N2" s="1"/>
      <c r="O2" s="1"/>
      <c r="P2" s="98" t="s">
        <v>214</v>
      </c>
      <c r="Q2" s="1"/>
      <c r="S2" s="1"/>
      <c r="T2" s="1"/>
      <c r="U2" s="1"/>
    </row>
    <row r="3" spans="1:43" ht="18.75">
      <c r="C3" s="96" t="s">
        <v>5</v>
      </c>
      <c r="D3" s="93" t="str">
        <f>IF('Wksh 1 - Market Experience'!C3&lt;&gt;"", 'Wksh 1 - Market Experience'!C3,"")</f>
        <v>Oscar Health Plan of Georgia</v>
      </c>
      <c r="F3" s="6"/>
      <c r="G3" s="6"/>
      <c r="J3" s="1"/>
      <c r="K3" s="1"/>
      <c r="P3" s="99" t="s">
        <v>215</v>
      </c>
    </row>
    <row r="4" spans="1:43" ht="18.75">
      <c r="C4" s="97" t="s">
        <v>6</v>
      </c>
      <c r="D4" s="94">
        <f>IF('Wksh 1 - Market Experience'!C4&lt;&gt;"", 'Wksh 1 - Market Experience'!C4,"")</f>
        <v>58081</v>
      </c>
      <c r="E4" s="96" t="s">
        <v>7</v>
      </c>
      <c r="F4" s="101" t="str">
        <f>IF('Wksh 1 - Market Experience'!E4&lt;&gt;"",'Wksh 1 - Market Experience'!E4,"")</f>
        <v>GA</v>
      </c>
      <c r="G4" s="7"/>
      <c r="J4" s="1"/>
      <c r="K4" s="1"/>
      <c r="P4" s="99" t="s">
        <v>216</v>
      </c>
    </row>
    <row r="5" spans="1:43" ht="15.75">
      <c r="C5" s="96" t="s">
        <v>14</v>
      </c>
      <c r="D5" s="95">
        <f>IF('Wksh 1 - Market Experience'!C5&lt;&gt;"", 'Wksh 1 - Market Experience'!C5,"")</f>
        <v>45292</v>
      </c>
      <c r="E5" s="96" t="s">
        <v>9</v>
      </c>
      <c r="F5" s="101" t="str">
        <f>IF('Wksh 1 - Market Experience'!E5&lt;&gt;"",'Wksh 1 - Market Experience'!E5,"")</f>
        <v>Individual</v>
      </c>
      <c r="G5" s="1"/>
      <c r="H5" s="1"/>
      <c r="I5" s="1"/>
      <c r="J5" s="1"/>
      <c r="K5" s="1"/>
      <c r="L5" s="1"/>
      <c r="P5" s="99" t="s">
        <v>223</v>
      </c>
    </row>
    <row r="6" spans="1:43">
      <c r="C6" s="1"/>
      <c r="D6" s="1"/>
      <c r="E6" s="1"/>
      <c r="F6" s="1"/>
      <c r="G6" s="1"/>
      <c r="H6" s="2"/>
      <c r="I6" s="1"/>
      <c r="J6" s="1"/>
      <c r="K6" s="1"/>
      <c r="L6" s="1"/>
      <c r="M6" s="1"/>
      <c r="N6" s="1"/>
      <c r="O6" s="1"/>
      <c r="P6" s="99" t="s">
        <v>224</v>
      </c>
      <c r="Q6" s="1"/>
      <c r="R6" s="1"/>
      <c r="S6" s="1"/>
      <c r="T6" s="1"/>
      <c r="U6" s="1"/>
    </row>
    <row r="7" spans="1:43">
      <c r="C7" s="247" t="s">
        <v>15</v>
      </c>
      <c r="D7" s="248"/>
      <c r="E7" s="248"/>
      <c r="F7" s="248"/>
      <c r="G7" s="248"/>
      <c r="H7" s="248"/>
      <c r="I7" s="248"/>
      <c r="J7" s="248"/>
      <c r="K7" s="248"/>
      <c r="L7" s="248"/>
      <c r="M7" s="248"/>
      <c r="N7" s="248"/>
      <c r="O7" s="248"/>
      <c r="P7" s="248"/>
      <c r="Q7" s="248"/>
      <c r="R7" s="248"/>
      <c r="S7" s="248"/>
      <c r="T7" s="248"/>
      <c r="U7" s="248"/>
      <c r="V7" s="249"/>
    </row>
    <row r="8" spans="1:43">
      <c r="C8" s="250"/>
      <c r="D8" s="251"/>
      <c r="E8" s="251"/>
      <c r="F8" s="251"/>
      <c r="G8" s="251"/>
      <c r="H8" s="251"/>
      <c r="I8" s="251"/>
      <c r="J8" s="251"/>
      <c r="K8" s="251"/>
      <c r="L8" s="251"/>
      <c r="M8" s="251"/>
      <c r="N8" s="251"/>
      <c r="O8" s="251"/>
      <c r="P8" s="251"/>
      <c r="Q8" s="251"/>
      <c r="R8" s="251"/>
      <c r="S8" s="251"/>
      <c r="T8" s="251"/>
      <c r="U8" s="251"/>
      <c r="V8" s="252"/>
    </row>
    <row r="9" spans="1:43">
      <c r="B9" t="s">
        <v>103</v>
      </c>
      <c r="C9" s="19" t="s">
        <v>77</v>
      </c>
      <c r="D9" s="19"/>
      <c r="E9" s="17"/>
      <c r="F9" s="17"/>
      <c r="G9" s="17"/>
      <c r="H9" s="18"/>
      <c r="I9" s="17"/>
      <c r="J9" s="17"/>
      <c r="K9" s="17"/>
      <c r="L9" s="17"/>
      <c r="M9" s="17"/>
      <c r="N9" s="17"/>
      <c r="O9" s="17"/>
      <c r="P9" s="17"/>
      <c r="Q9" s="17"/>
      <c r="R9" s="17"/>
      <c r="S9" s="17"/>
      <c r="T9" s="17"/>
      <c r="U9" s="17"/>
    </row>
    <row r="10" spans="1:43" ht="15" customHeight="1">
      <c r="B10" s="145" t="s">
        <v>155</v>
      </c>
      <c r="C10" s="167" t="s">
        <v>104</v>
      </c>
      <c r="D10" s="219"/>
      <c r="E10" s="263" t="s">
        <v>231</v>
      </c>
      <c r="F10" s="264"/>
      <c r="G10" s="264"/>
      <c r="H10" s="264"/>
      <c r="I10" s="264"/>
      <c r="J10" s="264"/>
      <c r="K10" s="264"/>
      <c r="L10" s="264"/>
      <c r="M10" s="264"/>
      <c r="N10" s="264"/>
      <c r="O10" s="264"/>
      <c r="P10" s="264"/>
      <c r="Q10" s="264"/>
      <c r="R10" s="264"/>
      <c r="S10" s="264"/>
      <c r="T10" s="264"/>
      <c r="U10" s="264"/>
      <c r="V10" s="264"/>
      <c r="W10" s="264"/>
      <c r="X10" s="264"/>
      <c r="Y10" s="264"/>
      <c r="Z10" s="264"/>
      <c r="AA10" s="264"/>
      <c r="AB10" s="264"/>
      <c r="AC10" s="264"/>
      <c r="AD10" s="264"/>
      <c r="AE10" s="264"/>
      <c r="AF10" s="264"/>
      <c r="AG10" s="264"/>
      <c r="AH10" s="264"/>
      <c r="AI10" s="264"/>
      <c r="AJ10" s="264"/>
      <c r="AK10" s="264"/>
      <c r="AL10" s="264"/>
      <c r="AM10" s="264"/>
      <c r="AN10" s="264"/>
      <c r="AO10" s="264"/>
      <c r="AP10" s="264"/>
      <c r="AQ10" s="262"/>
    </row>
    <row r="11" spans="1:43" ht="15" customHeight="1">
      <c r="B11" s="145" t="s">
        <v>156</v>
      </c>
      <c r="C11" s="167" t="s">
        <v>105</v>
      </c>
      <c r="D11" s="220"/>
      <c r="E11" s="263" t="s">
        <v>232</v>
      </c>
      <c r="F11" s="264"/>
      <c r="G11" s="264"/>
      <c r="H11" s="264"/>
      <c r="I11" s="264"/>
      <c r="J11" s="264"/>
      <c r="K11" s="264"/>
      <c r="L11" s="264"/>
      <c r="M11" s="264"/>
      <c r="N11" s="264"/>
      <c r="O11" s="264"/>
      <c r="P11" s="264"/>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c r="AN11" s="264"/>
      <c r="AO11" s="264"/>
      <c r="AP11" s="264"/>
      <c r="AQ11" s="262"/>
    </row>
    <row r="12" spans="1:43" ht="15" customHeight="1">
      <c r="B12" s="145" t="s">
        <v>157</v>
      </c>
      <c r="C12" s="167" t="s">
        <v>10</v>
      </c>
      <c r="D12" s="220"/>
      <c r="E12" s="274" t="s">
        <v>233</v>
      </c>
      <c r="F12" s="274" t="s">
        <v>234</v>
      </c>
      <c r="G12" s="274" t="s">
        <v>235</v>
      </c>
      <c r="H12" s="274" t="s">
        <v>236</v>
      </c>
      <c r="I12" s="274" t="s">
        <v>237</v>
      </c>
      <c r="J12" s="274" t="s">
        <v>238</v>
      </c>
      <c r="K12" s="274" t="s">
        <v>239</v>
      </c>
      <c r="L12" s="274" t="s">
        <v>240</v>
      </c>
      <c r="M12" s="274" t="s">
        <v>241</v>
      </c>
      <c r="N12" s="274" t="s">
        <v>242</v>
      </c>
      <c r="O12" s="274" t="s">
        <v>243</v>
      </c>
      <c r="P12" s="274" t="s">
        <v>244</v>
      </c>
      <c r="Q12" s="274" t="s">
        <v>245</v>
      </c>
      <c r="R12" s="274" t="s">
        <v>246</v>
      </c>
      <c r="S12" s="274" t="s">
        <v>247</v>
      </c>
      <c r="T12" s="274" t="s">
        <v>248</v>
      </c>
      <c r="U12" s="274" t="s">
        <v>249</v>
      </c>
      <c r="V12" s="274" t="s">
        <v>250</v>
      </c>
      <c r="W12" s="274" t="s">
        <v>251</v>
      </c>
      <c r="X12" s="274" t="s">
        <v>252</v>
      </c>
      <c r="Y12" s="274" t="s">
        <v>253</v>
      </c>
      <c r="Z12" s="274" t="s">
        <v>254</v>
      </c>
      <c r="AA12" s="274" t="s">
        <v>255</v>
      </c>
      <c r="AB12" s="274" t="s">
        <v>256</v>
      </c>
      <c r="AC12" s="274" t="s">
        <v>257</v>
      </c>
      <c r="AD12" s="274" t="s">
        <v>258</v>
      </c>
      <c r="AE12" s="274" t="s">
        <v>259</v>
      </c>
      <c r="AF12" s="274" t="s">
        <v>260</v>
      </c>
      <c r="AG12" s="274" t="s">
        <v>261</v>
      </c>
      <c r="AH12" s="274" t="s">
        <v>262</v>
      </c>
      <c r="AI12" s="274" t="s">
        <v>263</v>
      </c>
      <c r="AJ12" s="274" t="s">
        <v>264</v>
      </c>
      <c r="AK12" s="274" t="s">
        <v>265</v>
      </c>
      <c r="AL12" s="274" t="s">
        <v>266</v>
      </c>
      <c r="AM12" s="274" t="s">
        <v>267</v>
      </c>
      <c r="AN12" s="274" t="s">
        <v>268</v>
      </c>
      <c r="AO12" s="274" t="s">
        <v>269</v>
      </c>
      <c r="AP12" s="274" t="s">
        <v>270</v>
      </c>
      <c r="AQ12" s="274" t="s">
        <v>271</v>
      </c>
    </row>
    <row r="13" spans="1:43" ht="15" customHeight="1">
      <c r="B13" s="145" t="s">
        <v>158</v>
      </c>
      <c r="C13" s="167" t="s">
        <v>106</v>
      </c>
      <c r="D13" s="220"/>
      <c r="E13" s="179" t="s">
        <v>272</v>
      </c>
      <c r="F13" s="179" t="s">
        <v>273</v>
      </c>
      <c r="G13" s="179" t="s">
        <v>274</v>
      </c>
      <c r="H13" s="179" t="s">
        <v>275</v>
      </c>
      <c r="I13" s="179" t="s">
        <v>276</v>
      </c>
      <c r="J13" s="179" t="s">
        <v>277</v>
      </c>
      <c r="K13" s="179" t="s">
        <v>278</v>
      </c>
      <c r="L13" s="179" t="s">
        <v>279</v>
      </c>
      <c r="M13" s="179" t="s">
        <v>280</v>
      </c>
      <c r="N13" s="179" t="s">
        <v>281</v>
      </c>
      <c r="O13" s="179" t="s">
        <v>282</v>
      </c>
      <c r="P13" s="179" t="s">
        <v>283</v>
      </c>
      <c r="Q13" s="179" t="s">
        <v>284</v>
      </c>
      <c r="R13" s="179" t="s">
        <v>285</v>
      </c>
      <c r="S13" s="179" t="s">
        <v>286</v>
      </c>
      <c r="T13" s="179" t="s">
        <v>287</v>
      </c>
      <c r="U13" s="179" t="s">
        <v>288</v>
      </c>
      <c r="V13" s="179" t="s">
        <v>289</v>
      </c>
      <c r="W13" s="179" t="s">
        <v>290</v>
      </c>
      <c r="X13" s="179" t="s">
        <v>291</v>
      </c>
      <c r="Y13" s="179" t="s">
        <v>292</v>
      </c>
      <c r="Z13" s="179" t="s">
        <v>293</v>
      </c>
      <c r="AA13" s="179" t="s">
        <v>294</v>
      </c>
      <c r="AB13" s="179" t="s">
        <v>295</v>
      </c>
      <c r="AC13" s="179" t="s">
        <v>296</v>
      </c>
      <c r="AD13" s="179" t="s">
        <v>297</v>
      </c>
      <c r="AE13" s="179" t="s">
        <v>298</v>
      </c>
      <c r="AF13" s="179" t="s">
        <v>299</v>
      </c>
      <c r="AG13" s="179" t="s">
        <v>300</v>
      </c>
      <c r="AH13" s="179" t="s">
        <v>301</v>
      </c>
      <c r="AI13" s="179" t="s">
        <v>302</v>
      </c>
      <c r="AJ13" s="179" t="s">
        <v>303</v>
      </c>
      <c r="AK13" s="179" t="s">
        <v>304</v>
      </c>
      <c r="AL13" s="179" t="s">
        <v>305</v>
      </c>
      <c r="AM13" s="179" t="s">
        <v>306</v>
      </c>
      <c r="AN13" s="179" t="s">
        <v>307</v>
      </c>
      <c r="AO13" s="179" t="s">
        <v>308</v>
      </c>
      <c r="AP13" s="179" t="s">
        <v>309</v>
      </c>
      <c r="AQ13" s="179" t="s">
        <v>310</v>
      </c>
    </row>
    <row r="14" spans="1:43" ht="15" customHeight="1">
      <c r="B14" s="145" t="s">
        <v>159</v>
      </c>
      <c r="C14" s="167" t="s">
        <v>107</v>
      </c>
      <c r="D14" s="220"/>
      <c r="E14" s="180" t="s">
        <v>142</v>
      </c>
      <c r="F14" s="180" t="s">
        <v>143</v>
      </c>
      <c r="G14" s="180" t="s">
        <v>141</v>
      </c>
      <c r="H14" s="180" t="s">
        <v>142</v>
      </c>
      <c r="I14" s="180" t="s">
        <v>142</v>
      </c>
      <c r="J14" s="180" t="s">
        <v>141</v>
      </c>
      <c r="K14" s="180" t="s">
        <v>141</v>
      </c>
      <c r="L14" s="180" t="s">
        <v>140</v>
      </c>
      <c r="M14" s="180" t="s">
        <v>141</v>
      </c>
      <c r="N14" s="180" t="s">
        <v>142</v>
      </c>
      <c r="O14" s="180" t="s">
        <v>142</v>
      </c>
      <c r="P14" s="180" t="s">
        <v>141</v>
      </c>
      <c r="Q14" s="180" t="s">
        <v>140</v>
      </c>
      <c r="R14" s="180" t="s">
        <v>142</v>
      </c>
      <c r="S14" s="180" t="s">
        <v>142</v>
      </c>
      <c r="T14" s="180" t="s">
        <v>141</v>
      </c>
      <c r="U14" s="180" t="s">
        <v>141</v>
      </c>
      <c r="V14" s="180" t="s">
        <v>141</v>
      </c>
      <c r="W14" s="180" t="s">
        <v>142</v>
      </c>
      <c r="X14" s="180" t="s">
        <v>140</v>
      </c>
      <c r="Y14" s="180" t="s">
        <v>142</v>
      </c>
      <c r="Z14" s="180" t="s">
        <v>141</v>
      </c>
      <c r="AA14" s="180" t="s">
        <v>141</v>
      </c>
      <c r="AB14" s="180" t="s">
        <v>141</v>
      </c>
      <c r="AC14" s="180" t="s">
        <v>140</v>
      </c>
      <c r="AD14" s="180" t="s">
        <v>142</v>
      </c>
      <c r="AE14" s="180" t="s">
        <v>142</v>
      </c>
      <c r="AF14" s="180" t="s">
        <v>141</v>
      </c>
      <c r="AG14" s="180" t="s">
        <v>141</v>
      </c>
      <c r="AH14" s="180" t="s">
        <v>141</v>
      </c>
      <c r="AI14" s="180" t="s">
        <v>141</v>
      </c>
      <c r="AJ14" s="180" t="s">
        <v>140</v>
      </c>
      <c r="AK14" s="180" t="s">
        <v>140</v>
      </c>
      <c r="AL14" s="180" t="s">
        <v>140</v>
      </c>
      <c r="AM14" s="180" t="s">
        <v>140</v>
      </c>
      <c r="AN14" s="180" t="s">
        <v>142</v>
      </c>
      <c r="AO14" s="180" t="s">
        <v>142</v>
      </c>
      <c r="AP14" s="180" t="s">
        <v>142</v>
      </c>
      <c r="AQ14" s="180" t="s">
        <v>142</v>
      </c>
    </row>
    <row r="15" spans="1:43" ht="15" customHeight="1">
      <c r="B15" s="145" t="s">
        <v>160</v>
      </c>
      <c r="C15" s="167" t="s">
        <v>26</v>
      </c>
      <c r="D15" s="220"/>
      <c r="E15" s="181">
        <v>0.64100000000000001</v>
      </c>
      <c r="F15" s="181">
        <v>0.63800000000000001</v>
      </c>
      <c r="G15" s="181">
        <v>0.64700000000000002</v>
      </c>
      <c r="H15" s="181">
        <v>0.70199999999999996</v>
      </c>
      <c r="I15" s="181">
        <v>0.70299999999999996</v>
      </c>
      <c r="J15" s="181">
        <v>0.57999999999999996</v>
      </c>
      <c r="K15" s="181">
        <v>0.64900000000000002</v>
      </c>
      <c r="L15" s="181">
        <v>0.64300000000000002</v>
      </c>
      <c r="M15" s="181">
        <v>0.70099999999999996</v>
      </c>
      <c r="N15" s="181">
        <v>0.70399999999999996</v>
      </c>
      <c r="O15" s="181">
        <v>0.64500000000000002</v>
      </c>
      <c r="P15" s="181">
        <v>0.64400000000000002</v>
      </c>
      <c r="Q15" s="181">
        <v>0.64100000000000001</v>
      </c>
      <c r="R15" s="181">
        <v>0.70199999999999996</v>
      </c>
      <c r="S15" s="181">
        <v>0.70399999999999996</v>
      </c>
      <c r="T15" s="181">
        <v>0.71799999999999997</v>
      </c>
      <c r="U15" s="181">
        <v>0.71499999999999997</v>
      </c>
      <c r="V15" s="181">
        <v>0.79200000000000004</v>
      </c>
      <c r="W15" s="181">
        <v>0.64600000000000002</v>
      </c>
      <c r="X15" s="181">
        <v>0.70399999999999996</v>
      </c>
      <c r="Y15" s="181">
        <v>0.64400000000000002</v>
      </c>
      <c r="Z15" s="181">
        <v>0.60799999999999998</v>
      </c>
      <c r="AA15" s="181">
        <v>0.7</v>
      </c>
      <c r="AB15" s="181">
        <v>0.78</v>
      </c>
      <c r="AC15" s="181">
        <v>0.8</v>
      </c>
      <c r="AD15" s="181">
        <v>0.6</v>
      </c>
      <c r="AE15" s="181">
        <v>0.6</v>
      </c>
      <c r="AF15" s="181">
        <v>0.7</v>
      </c>
      <c r="AG15" s="181">
        <v>0.7</v>
      </c>
      <c r="AH15" s="181">
        <v>0.7</v>
      </c>
      <c r="AI15" s="181">
        <v>0.7</v>
      </c>
      <c r="AJ15" s="181">
        <v>0.8</v>
      </c>
      <c r="AK15" s="181">
        <v>0.8</v>
      </c>
      <c r="AL15" s="181">
        <v>0.8</v>
      </c>
      <c r="AM15" s="181">
        <v>0.8</v>
      </c>
      <c r="AN15" s="181">
        <v>0.6</v>
      </c>
      <c r="AO15" s="181">
        <v>0.6</v>
      </c>
      <c r="AP15" s="181">
        <v>0.6</v>
      </c>
      <c r="AQ15" s="181">
        <v>0.6</v>
      </c>
    </row>
    <row r="16" spans="1:43" ht="15" customHeight="1">
      <c r="B16" s="145" t="s">
        <v>161</v>
      </c>
      <c r="C16" s="167" t="s">
        <v>80</v>
      </c>
      <c r="D16" s="220"/>
      <c r="E16" s="274" t="s">
        <v>82</v>
      </c>
      <c r="F16" s="274" t="s">
        <v>82</v>
      </c>
      <c r="G16" s="274" t="s">
        <v>82</v>
      </c>
      <c r="H16" s="274" t="s">
        <v>82</v>
      </c>
      <c r="I16" s="274" t="s">
        <v>82</v>
      </c>
      <c r="J16" s="274" t="s">
        <v>82</v>
      </c>
      <c r="K16" s="274" t="s">
        <v>82</v>
      </c>
      <c r="L16" s="274" t="s">
        <v>82</v>
      </c>
      <c r="M16" s="274" t="s">
        <v>82</v>
      </c>
      <c r="N16" s="274" t="s">
        <v>82</v>
      </c>
      <c r="O16" s="274" t="s">
        <v>82</v>
      </c>
      <c r="P16" s="274" t="s">
        <v>82</v>
      </c>
      <c r="Q16" s="274" t="s">
        <v>82</v>
      </c>
      <c r="R16" s="274" t="s">
        <v>83</v>
      </c>
      <c r="S16" s="274" t="s">
        <v>83</v>
      </c>
      <c r="T16" s="274" t="s">
        <v>83</v>
      </c>
      <c r="U16" s="274" t="s">
        <v>83</v>
      </c>
      <c r="V16" s="274" t="s">
        <v>83</v>
      </c>
      <c r="W16" s="274" t="s">
        <v>83</v>
      </c>
      <c r="X16" s="274" t="s">
        <v>83</v>
      </c>
      <c r="Y16" s="274" t="s">
        <v>83</v>
      </c>
      <c r="Z16" s="274" t="s">
        <v>83</v>
      </c>
      <c r="AA16" s="274" t="s">
        <v>83</v>
      </c>
      <c r="AB16" s="274" t="s">
        <v>83</v>
      </c>
      <c r="AC16" s="274" t="s">
        <v>83</v>
      </c>
      <c r="AD16" s="274" t="s">
        <v>83</v>
      </c>
      <c r="AE16" s="274" t="s">
        <v>83</v>
      </c>
      <c r="AF16" s="274" t="s">
        <v>83</v>
      </c>
      <c r="AG16" s="274" t="s">
        <v>83</v>
      </c>
      <c r="AH16" s="274" t="s">
        <v>83</v>
      </c>
      <c r="AI16" s="274" t="s">
        <v>83</v>
      </c>
      <c r="AJ16" s="274" t="s">
        <v>83</v>
      </c>
      <c r="AK16" s="274" t="s">
        <v>83</v>
      </c>
      <c r="AL16" s="274" t="s">
        <v>83</v>
      </c>
      <c r="AM16" s="274" t="s">
        <v>83</v>
      </c>
      <c r="AN16" s="274" t="s">
        <v>83</v>
      </c>
      <c r="AO16" s="274" t="s">
        <v>83</v>
      </c>
      <c r="AP16" s="274" t="s">
        <v>83</v>
      </c>
      <c r="AQ16" s="274" t="s">
        <v>83</v>
      </c>
    </row>
    <row r="17" spans="1:43" ht="15" customHeight="1">
      <c r="B17" s="145" t="s">
        <v>154</v>
      </c>
      <c r="C17" s="168" t="s">
        <v>108</v>
      </c>
      <c r="D17" s="220"/>
      <c r="E17" s="274" t="s">
        <v>311</v>
      </c>
      <c r="F17" s="274" t="s">
        <v>311</v>
      </c>
      <c r="G17" s="274" t="s">
        <v>311</v>
      </c>
      <c r="H17" s="274" t="s">
        <v>311</v>
      </c>
      <c r="I17" s="274" t="s">
        <v>311</v>
      </c>
      <c r="J17" s="274" t="s">
        <v>311</v>
      </c>
      <c r="K17" s="274" t="s">
        <v>311</v>
      </c>
      <c r="L17" s="274" t="s">
        <v>311</v>
      </c>
      <c r="M17" s="274" t="s">
        <v>311</v>
      </c>
      <c r="N17" s="274" t="s">
        <v>311</v>
      </c>
      <c r="O17" s="274" t="s">
        <v>311</v>
      </c>
      <c r="P17" s="274" t="s">
        <v>311</v>
      </c>
      <c r="Q17" s="274" t="s">
        <v>311</v>
      </c>
      <c r="R17" s="274" t="s">
        <v>311</v>
      </c>
      <c r="S17" s="274" t="s">
        <v>311</v>
      </c>
      <c r="T17" s="274" t="s">
        <v>311</v>
      </c>
      <c r="U17" s="274" t="s">
        <v>311</v>
      </c>
      <c r="V17" s="274" t="s">
        <v>311</v>
      </c>
      <c r="W17" s="274" t="s">
        <v>311</v>
      </c>
      <c r="X17" s="274" t="s">
        <v>311</v>
      </c>
      <c r="Y17" s="274" t="s">
        <v>311</v>
      </c>
      <c r="Z17" s="274" t="s">
        <v>311</v>
      </c>
      <c r="AA17" s="274" t="s">
        <v>311</v>
      </c>
      <c r="AB17" s="274" t="s">
        <v>311</v>
      </c>
      <c r="AC17" s="274" t="s">
        <v>311</v>
      </c>
      <c r="AD17" s="274" t="s">
        <v>311</v>
      </c>
      <c r="AE17" s="274" t="s">
        <v>311</v>
      </c>
      <c r="AF17" s="274" t="s">
        <v>311</v>
      </c>
      <c r="AG17" s="274" t="s">
        <v>311</v>
      </c>
      <c r="AH17" s="274" t="s">
        <v>311</v>
      </c>
      <c r="AI17" s="274" t="s">
        <v>311</v>
      </c>
      <c r="AJ17" s="274" t="s">
        <v>311</v>
      </c>
      <c r="AK17" s="274" t="s">
        <v>311</v>
      </c>
      <c r="AL17" s="274" t="s">
        <v>311</v>
      </c>
      <c r="AM17" s="274" t="s">
        <v>311</v>
      </c>
      <c r="AN17" s="274" t="s">
        <v>311</v>
      </c>
      <c r="AO17" s="274" t="s">
        <v>311</v>
      </c>
      <c r="AP17" s="274" t="s">
        <v>311</v>
      </c>
      <c r="AQ17" s="274" t="s">
        <v>311</v>
      </c>
    </row>
    <row r="18" spans="1:43" ht="15" customHeight="1">
      <c r="B18" s="145" t="s">
        <v>153</v>
      </c>
      <c r="C18" s="167" t="s">
        <v>16</v>
      </c>
      <c r="D18" s="220"/>
      <c r="E18" s="182" t="s">
        <v>145</v>
      </c>
      <c r="F18" s="182" t="s">
        <v>145</v>
      </c>
      <c r="G18" s="182" t="s">
        <v>145</v>
      </c>
      <c r="H18" s="182" t="s">
        <v>145</v>
      </c>
      <c r="I18" s="182" t="s">
        <v>145</v>
      </c>
      <c r="J18" s="182" t="s">
        <v>145</v>
      </c>
      <c r="K18" s="182" t="s">
        <v>145</v>
      </c>
      <c r="L18" s="182" t="s">
        <v>145</v>
      </c>
      <c r="M18" s="182" t="s">
        <v>145</v>
      </c>
      <c r="N18" s="182" t="s">
        <v>145</v>
      </c>
      <c r="O18" s="182" t="s">
        <v>145</v>
      </c>
      <c r="P18" s="182" t="s">
        <v>145</v>
      </c>
      <c r="Q18" s="182" t="s">
        <v>145</v>
      </c>
      <c r="R18" s="182" t="s">
        <v>146</v>
      </c>
      <c r="S18" s="182" t="s">
        <v>146</v>
      </c>
      <c r="T18" s="182" t="s">
        <v>146</v>
      </c>
      <c r="U18" s="182" t="s">
        <v>146</v>
      </c>
      <c r="V18" s="182" t="s">
        <v>146</v>
      </c>
      <c r="W18" s="182" t="s">
        <v>146</v>
      </c>
      <c r="X18" s="182" t="s">
        <v>146</v>
      </c>
      <c r="Y18" s="182" t="s">
        <v>146</v>
      </c>
      <c r="Z18" s="182" t="s">
        <v>146</v>
      </c>
      <c r="AA18" s="182" t="s">
        <v>146</v>
      </c>
      <c r="AB18" s="182" t="s">
        <v>146</v>
      </c>
      <c r="AC18" s="182" t="s">
        <v>146</v>
      </c>
      <c r="AD18" s="182" t="s">
        <v>146</v>
      </c>
      <c r="AE18" s="182" t="s">
        <v>146</v>
      </c>
      <c r="AF18" s="182" t="s">
        <v>146</v>
      </c>
      <c r="AG18" s="182" t="s">
        <v>146</v>
      </c>
      <c r="AH18" s="182" t="s">
        <v>146</v>
      </c>
      <c r="AI18" s="182" t="s">
        <v>146</v>
      </c>
      <c r="AJ18" s="182" t="s">
        <v>146</v>
      </c>
      <c r="AK18" s="182" t="s">
        <v>146</v>
      </c>
      <c r="AL18" s="182" t="s">
        <v>146</v>
      </c>
      <c r="AM18" s="182" t="s">
        <v>146</v>
      </c>
      <c r="AN18" s="182" t="s">
        <v>146</v>
      </c>
      <c r="AO18" s="182" t="s">
        <v>146</v>
      </c>
      <c r="AP18" s="182" t="s">
        <v>146</v>
      </c>
      <c r="AQ18" s="182" t="s">
        <v>146</v>
      </c>
    </row>
    <row r="19" spans="1:43" ht="15" customHeight="1">
      <c r="B19" s="145" t="s">
        <v>149</v>
      </c>
      <c r="C19" s="167" t="s">
        <v>25</v>
      </c>
      <c r="D19" s="220"/>
      <c r="E19" s="183">
        <v>45292</v>
      </c>
      <c r="F19" s="183">
        <v>45292</v>
      </c>
      <c r="G19" s="183">
        <v>45292</v>
      </c>
      <c r="H19" s="183">
        <v>45292</v>
      </c>
      <c r="I19" s="183">
        <v>45292</v>
      </c>
      <c r="J19" s="183">
        <v>45292</v>
      </c>
      <c r="K19" s="183">
        <v>45292</v>
      </c>
      <c r="L19" s="183">
        <v>45292</v>
      </c>
      <c r="M19" s="183">
        <v>45292</v>
      </c>
      <c r="N19" s="183">
        <v>45292</v>
      </c>
      <c r="O19" s="183">
        <v>45292</v>
      </c>
      <c r="P19" s="183">
        <v>45292</v>
      </c>
      <c r="Q19" s="183">
        <v>45292</v>
      </c>
      <c r="R19" s="183">
        <v>45292</v>
      </c>
      <c r="S19" s="183">
        <v>45292</v>
      </c>
      <c r="T19" s="183">
        <v>45292</v>
      </c>
      <c r="U19" s="183">
        <v>45292</v>
      </c>
      <c r="V19" s="183">
        <v>45292</v>
      </c>
      <c r="W19" s="183">
        <v>45292</v>
      </c>
      <c r="X19" s="183">
        <v>45292</v>
      </c>
      <c r="Y19" s="183">
        <v>45292</v>
      </c>
      <c r="Z19" s="183">
        <v>45292</v>
      </c>
      <c r="AA19" s="183">
        <v>45292</v>
      </c>
      <c r="AB19" s="183">
        <v>45292</v>
      </c>
      <c r="AC19" s="183">
        <v>45292</v>
      </c>
      <c r="AD19" s="183">
        <v>45292</v>
      </c>
      <c r="AE19" s="183">
        <v>45292</v>
      </c>
      <c r="AF19" s="183">
        <v>45292</v>
      </c>
      <c r="AG19" s="183">
        <v>45292</v>
      </c>
      <c r="AH19" s="183">
        <v>45292</v>
      </c>
      <c r="AI19" s="183">
        <v>45292</v>
      </c>
      <c r="AJ19" s="183">
        <v>45292</v>
      </c>
      <c r="AK19" s="183">
        <v>45292</v>
      </c>
      <c r="AL19" s="183">
        <v>45292</v>
      </c>
      <c r="AM19" s="183">
        <v>45292</v>
      </c>
      <c r="AN19" s="183">
        <v>45292</v>
      </c>
      <c r="AO19" s="183">
        <v>45292</v>
      </c>
      <c r="AP19" s="183">
        <v>45292</v>
      </c>
      <c r="AQ19" s="183">
        <v>45292</v>
      </c>
    </row>
    <row r="20" spans="1:43" ht="15" customHeight="1">
      <c r="B20" s="145" t="s">
        <v>150</v>
      </c>
      <c r="C20" s="167" t="s">
        <v>109</v>
      </c>
      <c r="D20" s="220"/>
      <c r="E20" s="184">
        <v>5.3600675926150303E-2</v>
      </c>
      <c r="F20" s="184">
        <v>5.8900724113418103E-2</v>
      </c>
      <c r="G20" s="184">
        <v>7.0488348625533298E-2</v>
      </c>
      <c r="H20" s="184">
        <v>7.8628325795939799E-2</v>
      </c>
      <c r="I20" s="184">
        <v>7.0555290365518095E-2</v>
      </c>
      <c r="J20" s="184">
        <v>7.6590533777255304E-2</v>
      </c>
      <c r="K20" s="184">
        <v>7.2216474847225404E-2</v>
      </c>
      <c r="L20" s="184">
        <v>8.6546912186764205E-2</v>
      </c>
      <c r="M20" s="184">
        <v>7.0087724970989501E-2</v>
      </c>
      <c r="N20" s="184">
        <v>7.2697426991532602E-2</v>
      </c>
      <c r="O20" s="184">
        <v>5.5488841763147702E-2</v>
      </c>
      <c r="P20" s="184">
        <v>6.9542112857305799E-2</v>
      </c>
      <c r="Q20" s="184">
        <v>8.8160847869459796E-2</v>
      </c>
      <c r="R20" s="184">
        <v>0</v>
      </c>
      <c r="S20" s="184">
        <v>0</v>
      </c>
      <c r="T20" s="184">
        <v>0</v>
      </c>
      <c r="U20" s="184">
        <v>0</v>
      </c>
      <c r="V20" s="184">
        <v>0</v>
      </c>
      <c r="W20" s="184">
        <v>0</v>
      </c>
      <c r="X20" s="184">
        <v>0</v>
      </c>
      <c r="Y20" s="184">
        <v>0</v>
      </c>
      <c r="Z20" s="184">
        <v>0</v>
      </c>
      <c r="AA20" s="184">
        <v>0</v>
      </c>
      <c r="AB20" s="184">
        <v>0</v>
      </c>
      <c r="AC20" s="184">
        <v>0</v>
      </c>
      <c r="AD20" s="184">
        <v>0</v>
      </c>
      <c r="AE20" s="184">
        <v>0</v>
      </c>
      <c r="AF20" s="184">
        <v>0</v>
      </c>
      <c r="AG20" s="184">
        <v>0</v>
      </c>
      <c r="AH20" s="184">
        <v>0</v>
      </c>
      <c r="AI20" s="184">
        <v>0</v>
      </c>
      <c r="AJ20" s="184">
        <v>0</v>
      </c>
      <c r="AK20" s="184">
        <v>0</v>
      </c>
      <c r="AL20" s="184">
        <v>0</v>
      </c>
      <c r="AM20" s="184">
        <v>0</v>
      </c>
      <c r="AN20" s="184">
        <v>0</v>
      </c>
      <c r="AO20" s="184">
        <v>0</v>
      </c>
      <c r="AP20" s="184">
        <v>0</v>
      </c>
      <c r="AQ20" s="184">
        <v>0</v>
      </c>
    </row>
    <row r="21" spans="1:43" ht="15" customHeight="1">
      <c r="B21" s="145" t="s">
        <v>151</v>
      </c>
      <c r="C21" s="167" t="s">
        <v>84</v>
      </c>
      <c r="D21" s="220"/>
      <c r="E21" s="266">
        <f t="array" ref="E21">IF(SUMPRODUCT((E16:AQ16="Renewing")*((E14:AQ14="Platinum")+(E14:AQ14="Gold")+(E14:AQ14="Silver")+(E14:AQ14="Bronze")+(E14:AQ14="Catastrophic")))=0, 0, ROUND(ROUND(SUMPRODUCT(1+E20:AQ20,E34:AQ34,E35:AQ35,--(E16:AQ16="Renewing")*((E14:AQ14="Platinum")+(E14:AQ14="Gold")+(E14:AQ14="Silver")+(E14:AQ14="Bronze")+(E14:AQ14="Catastrophic")))/SUMPRODUCT(E34:AQ34,E35:AQ35,--(E16:AQ16="Renewing")*((E14:AQ14="Platinum")+(E14:AQ14="Gold")+(E14:AQ14="Silver")+(E14:AQ14="Bronze")+(E14:AQ14="Catastrophic"))), 4)-1, 4))</f>
        <v>7.0199999999999999E-2</v>
      </c>
      <c r="F21" s="267"/>
      <c r="G21" s="267"/>
      <c r="H21" s="267"/>
      <c r="I21" s="267"/>
      <c r="J21" s="267"/>
      <c r="K21" s="267"/>
      <c r="L21" s="267"/>
      <c r="M21" s="267"/>
      <c r="N21" s="267"/>
      <c r="O21" s="267"/>
      <c r="P21" s="267"/>
      <c r="Q21" s="267"/>
      <c r="R21" s="267"/>
      <c r="S21" s="267"/>
      <c r="T21" s="267"/>
      <c r="U21" s="267"/>
      <c r="V21" s="267"/>
      <c r="W21" s="267"/>
      <c r="X21" s="267"/>
      <c r="Y21" s="267"/>
      <c r="Z21" s="267"/>
      <c r="AA21" s="267"/>
      <c r="AB21" s="267"/>
      <c r="AC21" s="267"/>
      <c r="AD21" s="267"/>
      <c r="AE21" s="267"/>
      <c r="AF21" s="267"/>
      <c r="AG21" s="267"/>
      <c r="AH21" s="267"/>
      <c r="AI21" s="267"/>
      <c r="AJ21" s="267"/>
      <c r="AK21" s="267"/>
      <c r="AL21" s="267"/>
      <c r="AM21" s="267"/>
      <c r="AN21" s="267"/>
      <c r="AO21" s="267"/>
      <c r="AP21" s="267"/>
      <c r="AQ21" s="265"/>
    </row>
    <row r="22" spans="1:43" ht="15" customHeight="1">
      <c r="B22" s="147" t="s">
        <v>152</v>
      </c>
      <c r="C22" s="139" t="s">
        <v>212</v>
      </c>
      <c r="D22" s="221"/>
      <c r="E22" s="266">
        <f t="array" ref="E22">IF(SUMPRODUCT((E16:AQ16="Renewing")*((E14:AQ14="Platinum")+(E14:AQ14="Gold")+(E14:AQ14="Silver")+(E14:AQ14="Bronze")+(E14:AQ14="Catastrophic")))=0, 0, ROUND(ROUND(SUMPRODUCT(1+E20:AQ20,E34:AQ34,E35:AQ35,--(E16:AQ16="Renewing")*((E14:AQ14="Platinum")+(E14:AQ14="Gold")+(E14:AQ14="Silver")+(E14:AQ14="Bronze")+(E14:AQ14="Catastrophic")))/SUMPRODUCT(E34:AQ34,E35:AQ35,--(E16:AQ16="Renewing")*((E14:AQ14="Platinum")+(E14:AQ14="Gold")+(E14:AQ14="Silver")+(E14:AQ14="Bronze")+(E14:AQ14="Catastrophic"))), 4)-1, 4))</f>
        <v>7.0199999999999999E-2</v>
      </c>
      <c r="F22" s="267"/>
      <c r="G22" s="267"/>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267"/>
      <c r="AH22" s="267"/>
      <c r="AI22" s="267"/>
      <c r="AJ22" s="267"/>
      <c r="AK22" s="267"/>
      <c r="AL22" s="267"/>
      <c r="AM22" s="267"/>
      <c r="AN22" s="267"/>
      <c r="AO22" s="267"/>
      <c r="AP22" s="267"/>
      <c r="AQ22" s="265"/>
    </row>
    <row r="23" spans="1:43" ht="15" customHeight="1">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row>
    <row r="24" spans="1:43" ht="15" customHeight="1">
      <c r="A24" s="71" t="s">
        <v>119</v>
      </c>
      <c r="C24" s="19" t="s">
        <v>110</v>
      </c>
      <c r="D24" s="19"/>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row>
    <row r="25" spans="1:43" ht="15" customHeight="1">
      <c r="A25" s="148"/>
      <c r="B25" s="145" t="s">
        <v>162</v>
      </c>
      <c r="C25" s="151" t="s">
        <v>106</v>
      </c>
      <c r="D25" s="149" t="s">
        <v>2</v>
      </c>
      <c r="E25" s="90" t="str">
        <f>IF(E13&lt;&gt;"",E13,"")</f>
        <v>58081GA0010005</v>
      </c>
      <c r="F25" s="90" t="str">
        <f>IF(F13&lt;&gt;"",F13,"")</f>
        <v>58081GA0010011</v>
      </c>
      <c r="G25" s="90" t="str">
        <f>IF(G13&lt;&gt;"",G13,"")</f>
        <v>58081GA0010015</v>
      </c>
      <c r="H25" s="90" t="str">
        <f>IF(H13&lt;&gt;"",H13,"")</f>
        <v>58081GA0010021</v>
      </c>
      <c r="I25" s="90" t="str">
        <f>IF(I13&lt;&gt;"",I13,"")</f>
        <v>58081GA0010024</v>
      </c>
      <c r="J25" s="90" t="str">
        <f>IF(J13&lt;&gt;"",J13,"")</f>
        <v>58081GA0010025</v>
      </c>
      <c r="K25" s="90" t="str">
        <f>IF(K13&lt;&gt;"",K13,"")</f>
        <v>58081GA0010030</v>
      </c>
      <c r="L25" s="90" t="str">
        <f>IF(L13&lt;&gt;"",L13,"")</f>
        <v>58081GA0010035</v>
      </c>
      <c r="M25" s="90" t="str">
        <f>IF(M13&lt;&gt;"",M13,"")</f>
        <v>58081GA0010045</v>
      </c>
      <c r="N25" s="90" t="str">
        <f>IF(N13&lt;&gt;"",N13,"")</f>
        <v>58081GA0010050</v>
      </c>
      <c r="O25" s="90" t="str">
        <f>IF(O13&lt;&gt;"",O13,"")</f>
        <v>58081GA0010051</v>
      </c>
      <c r="P25" s="90" t="str">
        <f>IF(P13&lt;&gt;"",P13,"")</f>
        <v>58081GA0010052</v>
      </c>
      <c r="Q25" s="90" t="str">
        <f>IF(Q13&lt;&gt;"",Q13,"")</f>
        <v>58081GA0010053</v>
      </c>
      <c r="R25" s="90" t="str">
        <f>IF(R13&lt;&gt;"",R13,"")</f>
        <v>58081GA0010002</v>
      </c>
      <c r="S25" s="90" t="str">
        <f>IF(S13&lt;&gt;"",S13,"")</f>
        <v>58081GA0010003</v>
      </c>
      <c r="T25" s="90" t="str">
        <f>IF(T13&lt;&gt;"",T13,"")</f>
        <v>58081GA0010006</v>
      </c>
      <c r="U25" s="90" t="str">
        <f>IF(U13&lt;&gt;"",U13,"")</f>
        <v>58081GA0010008</v>
      </c>
      <c r="V25" s="90" t="str">
        <f>IF(V13&lt;&gt;"",V13,"")</f>
        <v>58081GA0010010</v>
      </c>
      <c r="W25" s="90" t="str">
        <f>IF(W13&lt;&gt;"",W13,"")</f>
        <v>58081GA0010012</v>
      </c>
      <c r="X25" s="90" t="str">
        <f>IF(X13&lt;&gt;"",X13,"")</f>
        <v>58081GA0010013</v>
      </c>
      <c r="Y25" s="90" t="str">
        <f>IF(Y13&lt;&gt;"",Y13,"")</f>
        <v>58081GA0010014</v>
      </c>
      <c r="Z25" s="90" t="str">
        <f>IF(Z13&lt;&gt;"",Z13,"")</f>
        <v>58081GA0010017</v>
      </c>
      <c r="AA25" s="90" t="str">
        <f>IF(AA13&lt;&gt;"",AA13,"")</f>
        <v>58081GA0010018</v>
      </c>
      <c r="AB25" s="90" t="str">
        <f>IF(AB13&lt;&gt;"",AB13,"")</f>
        <v>58081GA0010019</v>
      </c>
      <c r="AC25" s="90" t="str">
        <f>IF(AC13&lt;&gt;"",AC13,"")</f>
        <v>58081GA0010020</v>
      </c>
      <c r="AD25" s="90" t="str">
        <f>IF(AD13&lt;&gt;"",AD13,"")</f>
        <v>58081GA0010022</v>
      </c>
      <c r="AE25" s="90" t="str">
        <f>IF(AE13&lt;&gt;"",AE13,"")</f>
        <v>58081GA0010023</v>
      </c>
      <c r="AF25" s="90" t="str">
        <f>IF(AF13&lt;&gt;"",AF13,"")</f>
        <v>58081GA0010026</v>
      </c>
      <c r="AG25" s="90" t="str">
        <f>IF(AG13&lt;&gt;"",AG13,"")</f>
        <v>58081GA0010027</v>
      </c>
      <c r="AH25" s="90" t="str">
        <f>IF(AH13&lt;&gt;"",AH13,"")</f>
        <v>58081GA0010028</v>
      </c>
      <c r="AI25" s="90" t="str">
        <f>IF(AI13&lt;&gt;"",AI13,"")</f>
        <v>58081GA0010029</v>
      </c>
      <c r="AJ25" s="90" t="str">
        <f>IF(AJ13&lt;&gt;"",AJ13,"")</f>
        <v>58081GA0010033</v>
      </c>
      <c r="AK25" s="90" t="str">
        <f>IF(AK13&lt;&gt;"",AK13,"")</f>
        <v>58081GA0010034</v>
      </c>
      <c r="AL25" s="90" t="str">
        <f>IF(AL13&lt;&gt;"",AL13,"")</f>
        <v>58081GA0010036</v>
      </c>
      <c r="AM25" s="90" t="str">
        <f>IF(AM13&lt;&gt;"",AM13,"")</f>
        <v>58081GA0010037</v>
      </c>
      <c r="AN25" s="90" t="str">
        <f>IF(AN13&lt;&gt;"",AN13,"")</f>
        <v>58081GA0010038</v>
      </c>
      <c r="AO25" s="90" t="str">
        <f>IF(AO13&lt;&gt;"",AO13,"")</f>
        <v>58081GA0010040</v>
      </c>
      <c r="AP25" s="90" t="str">
        <f>IF(AP13&lt;&gt;"",AP13,"")</f>
        <v>58081GA0010041</v>
      </c>
      <c r="AQ25" s="90" t="str">
        <f>IF(AQ13&lt;&gt;"",AQ13,"")</f>
        <v>58081GA0010042</v>
      </c>
    </row>
    <row r="26" spans="1:43" ht="15" customHeight="1">
      <c r="A26" s="150">
        <f>'Wksh 1 - Market Experience'!E14</f>
        <v>277948786.50999999</v>
      </c>
      <c r="B26" s="145" t="s">
        <v>163</v>
      </c>
      <c r="C26" s="199" t="s">
        <v>86</v>
      </c>
      <c r="D26" s="197">
        <f>SUM(E26:AQ26)</f>
        <v>277948786.50589401</v>
      </c>
      <c r="E26" s="186">
        <v>14084446.5752024</v>
      </c>
      <c r="F26" s="186">
        <v>274211.03225143201</v>
      </c>
      <c r="G26" s="186">
        <v>50392745.061393999</v>
      </c>
      <c r="H26" s="186">
        <v>2574135.3986805701</v>
      </c>
      <c r="I26" s="186">
        <v>2110469.1162382499</v>
      </c>
      <c r="J26" s="186">
        <v>82868631.438640401</v>
      </c>
      <c r="K26" s="186">
        <v>9516328.0792166106</v>
      </c>
      <c r="L26" s="186">
        <v>4701161.6082601501</v>
      </c>
      <c r="M26" s="186">
        <v>16275390.511749299</v>
      </c>
      <c r="N26" s="186">
        <v>0</v>
      </c>
      <c r="O26" s="186">
        <v>0</v>
      </c>
      <c r="P26" s="186">
        <v>0</v>
      </c>
      <c r="Q26" s="186">
        <v>0</v>
      </c>
      <c r="R26" s="186">
        <v>1859555.27785384</v>
      </c>
      <c r="S26" s="186">
        <v>984449.70625583502</v>
      </c>
      <c r="T26" s="186">
        <v>18504239.092755601</v>
      </c>
      <c r="U26" s="186">
        <v>26712497.245909002</v>
      </c>
      <c r="V26" s="186">
        <v>29267.357797913399</v>
      </c>
      <c r="W26" s="186">
        <v>7397356.9705881895</v>
      </c>
      <c r="X26" s="186">
        <v>328805.46644631302</v>
      </c>
      <c r="Y26" s="186">
        <v>550629.30481749098</v>
      </c>
      <c r="Z26" s="186">
        <v>8587892.9371801093</v>
      </c>
      <c r="AA26" s="186">
        <v>13814.956954888699</v>
      </c>
      <c r="AB26" s="186">
        <v>30201.004245088599</v>
      </c>
      <c r="AC26" s="186">
        <v>1444789.2295254001</v>
      </c>
      <c r="AD26" s="186">
        <v>416440.45487369201</v>
      </c>
      <c r="AE26" s="186">
        <v>599524.24989144504</v>
      </c>
      <c r="AF26" s="186">
        <v>1494751.3651701901</v>
      </c>
      <c r="AG26" s="186">
        <v>1927530.0302786599</v>
      </c>
      <c r="AH26" s="186">
        <v>12362885.015509499</v>
      </c>
      <c r="AI26" s="186">
        <v>5054105.68642837</v>
      </c>
      <c r="AJ26" s="186">
        <v>761153.01478014595</v>
      </c>
      <c r="AK26" s="186">
        <v>106545.913628125</v>
      </c>
      <c r="AL26" s="186">
        <v>2644796.95237453</v>
      </c>
      <c r="AM26" s="186">
        <v>393198.77784126101</v>
      </c>
      <c r="AN26" s="186">
        <v>972238.628740379</v>
      </c>
      <c r="AO26" s="186">
        <v>149038.18996642201</v>
      </c>
      <c r="AP26" s="186">
        <v>479483.22976412397</v>
      </c>
      <c r="AQ26" s="186">
        <v>1346077.62468445</v>
      </c>
    </row>
    <row r="27" spans="1:43" ht="15" customHeight="1">
      <c r="A27" s="152">
        <f>'Wksh 1 - Market Experience'!E15</f>
        <v>13604810.640000001</v>
      </c>
      <c r="B27" s="145" t="s">
        <v>164</v>
      </c>
      <c r="C27" s="199" t="s">
        <v>87</v>
      </c>
      <c r="D27" s="197">
        <f>SUM(E27:AQ27)</f>
        <v>13604810.639662663</v>
      </c>
      <c r="E27" s="186">
        <v>750737.99589382904</v>
      </c>
      <c r="F27" s="186">
        <v>13688.787238344599</v>
      </c>
      <c r="G27" s="186">
        <v>2104037.6559376898</v>
      </c>
      <c r="H27" s="186">
        <v>95747.345952422693</v>
      </c>
      <c r="I27" s="186">
        <v>112941.840563516</v>
      </c>
      <c r="J27" s="186">
        <v>4480306.4699462503</v>
      </c>
      <c r="K27" s="186">
        <v>318843.11410870199</v>
      </c>
      <c r="L27" s="186">
        <v>190939.844497735</v>
      </c>
      <c r="M27" s="186">
        <v>702304.69692822197</v>
      </c>
      <c r="N27" s="186">
        <v>0</v>
      </c>
      <c r="O27" s="186">
        <v>0</v>
      </c>
      <c r="P27" s="186">
        <v>0</v>
      </c>
      <c r="Q27" s="186">
        <v>0</v>
      </c>
      <c r="R27" s="186">
        <v>115487.172109971</v>
      </c>
      <c r="S27" s="186">
        <v>29466.846104699802</v>
      </c>
      <c r="T27" s="186">
        <v>891101.57627631805</v>
      </c>
      <c r="U27" s="186">
        <v>1309648.04617757</v>
      </c>
      <c r="V27" s="186">
        <v>51.018174000000002</v>
      </c>
      <c r="W27" s="186">
        <v>413120.31775566802</v>
      </c>
      <c r="X27" s="186">
        <v>25869.411673655301</v>
      </c>
      <c r="Y27" s="186">
        <v>23032.388653621099</v>
      </c>
      <c r="Z27" s="186">
        <v>396922.50556772097</v>
      </c>
      <c r="AA27" s="186">
        <v>13.856788</v>
      </c>
      <c r="AB27" s="186">
        <v>75.582480000000004</v>
      </c>
      <c r="AC27" s="186">
        <v>106627.635277628</v>
      </c>
      <c r="AD27" s="186">
        <v>3946.2701009665002</v>
      </c>
      <c r="AE27" s="186">
        <v>14554.9771079395</v>
      </c>
      <c r="AF27" s="186">
        <v>113496.825892398</v>
      </c>
      <c r="AG27" s="186">
        <v>106641.77735917699</v>
      </c>
      <c r="AH27" s="186">
        <v>517745.729383823</v>
      </c>
      <c r="AI27" s="186">
        <v>430311.44111124199</v>
      </c>
      <c r="AJ27" s="186">
        <v>46245.379042854103</v>
      </c>
      <c r="AK27" s="186">
        <v>4311.3956167868</v>
      </c>
      <c r="AL27" s="186">
        <v>132348.06575432501</v>
      </c>
      <c r="AM27" s="186">
        <v>32552.3716618334</v>
      </c>
      <c r="AN27" s="186">
        <v>69359.904444145694</v>
      </c>
      <c r="AO27" s="186">
        <v>3080.5374982402</v>
      </c>
      <c r="AP27" s="186">
        <v>9586.9960867084992</v>
      </c>
      <c r="AQ27" s="186">
        <v>39664.860496661699</v>
      </c>
    </row>
    <row r="28" spans="1:43" ht="15" customHeight="1">
      <c r="A28" s="153"/>
      <c r="B28" s="145" t="s">
        <v>165</v>
      </c>
      <c r="C28" s="146" t="s">
        <v>111</v>
      </c>
      <c r="D28" s="200">
        <f>SUM(E28:AQ28)</f>
        <v>30259598.425027031</v>
      </c>
      <c r="E28" s="186">
        <v>3090660.0978335999</v>
      </c>
      <c r="F28" s="186">
        <v>123014.091118934</v>
      </c>
      <c r="G28" s="186">
        <v>4129220.5625032098</v>
      </c>
      <c r="H28" s="186">
        <v>943994.90968072298</v>
      </c>
      <c r="I28" s="186">
        <v>651049.767244927</v>
      </c>
      <c r="J28" s="186">
        <v>6337960.7143196501</v>
      </c>
      <c r="K28" s="186">
        <v>1298395.3238522401</v>
      </c>
      <c r="L28" s="186">
        <v>548765.15821604605</v>
      </c>
      <c r="M28" s="186">
        <v>1676524.70462019</v>
      </c>
      <c r="N28" s="186">
        <v>0</v>
      </c>
      <c r="O28" s="186">
        <v>0</v>
      </c>
      <c r="P28" s="186">
        <v>0</v>
      </c>
      <c r="Q28" s="186">
        <v>0</v>
      </c>
      <c r="R28" s="186">
        <v>578610.74875925202</v>
      </c>
      <c r="S28" s="186">
        <v>406502.174621896</v>
      </c>
      <c r="T28" s="186">
        <v>1729427.3618243299</v>
      </c>
      <c r="U28" s="186">
        <v>2487451.4576109</v>
      </c>
      <c r="V28" s="186">
        <v>11167.685882083</v>
      </c>
      <c r="W28" s="186">
        <v>1474189.58057713</v>
      </c>
      <c r="X28" s="186">
        <v>55995.200220940103</v>
      </c>
      <c r="Y28" s="186">
        <v>208642.60027080699</v>
      </c>
      <c r="Z28" s="186">
        <v>906531.80112339696</v>
      </c>
      <c r="AA28" s="186">
        <v>3442.5722577306001</v>
      </c>
      <c r="AB28" s="186">
        <v>12865.690242327901</v>
      </c>
      <c r="AC28" s="186">
        <v>105758.804982218</v>
      </c>
      <c r="AD28" s="186">
        <v>180108.45022177501</v>
      </c>
      <c r="AE28" s="186">
        <v>181114.61436771299</v>
      </c>
      <c r="AF28" s="186">
        <v>182859.021958167</v>
      </c>
      <c r="AG28" s="186">
        <v>235559.73693911301</v>
      </c>
      <c r="AH28" s="186">
        <v>693408.25778366101</v>
      </c>
      <c r="AI28" s="186">
        <v>406085.327175215</v>
      </c>
      <c r="AJ28" s="186">
        <v>161576.53979436899</v>
      </c>
      <c r="AK28" s="186">
        <v>15953.4639191634</v>
      </c>
      <c r="AL28" s="186">
        <v>441682.93125356099</v>
      </c>
      <c r="AM28" s="186">
        <v>81042.631009463803</v>
      </c>
      <c r="AN28" s="186">
        <v>318968.89965281601</v>
      </c>
      <c r="AO28" s="186">
        <v>48075.448918651498</v>
      </c>
      <c r="AP28" s="186">
        <v>154653.40861980099</v>
      </c>
      <c r="AQ28" s="186">
        <v>378338.68565102603</v>
      </c>
    </row>
    <row r="29" spans="1:43" ht="15" customHeight="1">
      <c r="A29" s="153"/>
      <c r="B29" s="145" t="s">
        <v>166</v>
      </c>
      <c r="C29" s="155" t="s">
        <v>112</v>
      </c>
      <c r="D29" s="200">
        <f>SUM(E29:AQ29)</f>
        <v>0</v>
      </c>
      <c r="E29" s="186">
        <v>0</v>
      </c>
      <c r="F29" s="186">
        <v>0</v>
      </c>
      <c r="G29" s="186">
        <v>0</v>
      </c>
      <c r="H29" s="186">
        <v>0</v>
      </c>
      <c r="I29" s="186">
        <v>0</v>
      </c>
      <c r="J29" s="186">
        <v>0</v>
      </c>
      <c r="K29" s="186">
        <v>0</v>
      </c>
      <c r="L29" s="186">
        <v>0</v>
      </c>
      <c r="M29" s="186">
        <v>0</v>
      </c>
      <c r="N29" s="186">
        <v>0</v>
      </c>
      <c r="O29" s="186">
        <v>0</v>
      </c>
      <c r="P29" s="186">
        <v>0</v>
      </c>
      <c r="Q29" s="186">
        <v>0</v>
      </c>
      <c r="R29" s="186">
        <v>0</v>
      </c>
      <c r="S29" s="186">
        <v>0</v>
      </c>
      <c r="T29" s="186">
        <v>0</v>
      </c>
      <c r="U29" s="186">
        <v>0</v>
      </c>
      <c r="V29" s="186">
        <v>0</v>
      </c>
      <c r="W29" s="186">
        <v>0</v>
      </c>
      <c r="X29" s="186">
        <v>0</v>
      </c>
      <c r="Y29" s="186">
        <v>0</v>
      </c>
      <c r="Z29" s="186">
        <v>0</v>
      </c>
      <c r="AA29" s="186">
        <v>0</v>
      </c>
      <c r="AB29" s="186">
        <v>0</v>
      </c>
      <c r="AC29" s="186">
        <v>0</v>
      </c>
      <c r="AD29" s="186">
        <v>0</v>
      </c>
      <c r="AE29" s="186">
        <v>0</v>
      </c>
      <c r="AF29" s="186">
        <v>0</v>
      </c>
      <c r="AG29" s="186">
        <v>0</v>
      </c>
      <c r="AH29" s="186">
        <v>0</v>
      </c>
      <c r="AI29" s="186">
        <v>0</v>
      </c>
      <c r="AJ29" s="186">
        <v>0</v>
      </c>
      <c r="AK29" s="186">
        <v>0</v>
      </c>
      <c r="AL29" s="186">
        <v>0</v>
      </c>
      <c r="AM29" s="186">
        <v>0</v>
      </c>
      <c r="AN29" s="186">
        <v>0</v>
      </c>
      <c r="AO29" s="186">
        <v>0</v>
      </c>
      <c r="AP29" s="186">
        <v>0</v>
      </c>
      <c r="AQ29" s="186">
        <v>0</v>
      </c>
    </row>
    <row r="30" spans="1:43" ht="15" customHeight="1">
      <c r="A30" s="152">
        <f>'Wksh 1 - Market Experience'!E16</f>
        <v>234084377.44</v>
      </c>
      <c r="B30" s="145" t="s">
        <v>167</v>
      </c>
      <c r="C30" s="146" t="s">
        <v>113</v>
      </c>
      <c r="D30" s="200">
        <f>D26-D27-D28-D29</f>
        <v>234084377.44120431</v>
      </c>
      <c r="E30" s="216">
        <f>E26-E27-E28-E29</f>
        <v>10243048.481474971</v>
      </c>
      <c r="F30" s="216">
        <f>F26-F27-F28-F29</f>
        <v>137508.15389415342</v>
      </c>
      <c r="G30" s="216">
        <f>G26-G27-G28-G29</f>
        <v>44159486.842953101</v>
      </c>
      <c r="H30" s="216">
        <f>H26-H27-H28-H29</f>
        <v>1534393.1430474243</v>
      </c>
      <c r="I30" s="216">
        <f>I26-I27-I28-I29</f>
        <v>1346477.5084298071</v>
      </c>
      <c r="J30" s="216">
        <f>J26-J27-J28-J29</f>
        <v>72050364.254374504</v>
      </c>
      <c r="K30" s="216">
        <f>K26-K27-K28-K29</f>
        <v>7899089.6412556684</v>
      </c>
      <c r="L30" s="216">
        <f>L26-L27-L28-L29</f>
        <v>3961456.6055463692</v>
      </c>
      <c r="M30" s="216">
        <f>M26-M27-M28-M29</f>
        <v>13896561.110200888</v>
      </c>
      <c r="N30" s="216">
        <f>N26-N27-N28-N29</f>
        <v>0</v>
      </c>
      <c r="O30" s="216">
        <f>O26-O27-O28-O29</f>
        <v>0</v>
      </c>
      <c r="P30" s="216">
        <f>P26-P27-P28-P29</f>
        <v>0</v>
      </c>
      <c r="Q30" s="216">
        <f>Q26-Q27-Q28-Q29</f>
        <v>0</v>
      </c>
      <c r="R30" s="216">
        <f>R26-R27-R28-R29</f>
        <v>1165457.356984617</v>
      </c>
      <c r="S30" s="216">
        <f>S26-S27-S28-S29</f>
        <v>548480.68552923924</v>
      </c>
      <c r="T30" s="216">
        <f>T26-T27-T28-T29</f>
        <v>15883710.154654954</v>
      </c>
      <c r="U30" s="216">
        <f>U26-U27-U28-U29</f>
        <v>22915397.74212053</v>
      </c>
      <c r="V30" s="216">
        <f>V26-V27-V28-V29</f>
        <v>18048.6537418304</v>
      </c>
      <c r="W30" s="216">
        <f>W26-W27-W28-W29</f>
        <v>5510047.0722553916</v>
      </c>
      <c r="X30" s="216">
        <f>X26-X27-X28-X29</f>
        <v>246940.85455171758</v>
      </c>
      <c r="Y30" s="216">
        <f>Y26-Y27-Y28-Y29</f>
        <v>318954.31589306291</v>
      </c>
      <c r="Z30" s="216">
        <f>Z26-Z27-Z28-Z29</f>
        <v>7284438.6304889917</v>
      </c>
      <c r="AA30" s="216">
        <f>AA26-AA27-AA28-AA29</f>
        <v>10358.5279091581</v>
      </c>
      <c r="AB30" s="216">
        <f>AB26-AB27-AB28-AB29</f>
        <v>17259.731522760696</v>
      </c>
      <c r="AC30" s="216">
        <f>AC26-AC27-AC28-AC29</f>
        <v>1232402.7892655542</v>
      </c>
      <c r="AD30" s="216">
        <f>AD26-AD27-AD28-AD29</f>
        <v>232385.7345509505</v>
      </c>
      <c r="AE30" s="216">
        <f>AE26-AE27-AE28-AE29</f>
        <v>403854.65841579251</v>
      </c>
      <c r="AF30" s="216">
        <f>AF26-AF27-AF28-AF29</f>
        <v>1198395.5173196252</v>
      </c>
      <c r="AG30" s="216">
        <f>AG26-AG27-AG28-AG29</f>
        <v>1585328.5159803699</v>
      </c>
      <c r="AH30" s="216">
        <f>AH26-AH27-AH28-AH29</f>
        <v>11151731.028342016</v>
      </c>
      <c r="AI30" s="216">
        <f>AI26-AI27-AI28-AI29</f>
        <v>4217708.9181419127</v>
      </c>
      <c r="AJ30" s="216">
        <f>AJ26-AJ27-AJ28-AJ29</f>
        <v>553331.09594292287</v>
      </c>
      <c r="AK30" s="216">
        <f>AK26-AK27-AK28-AK29</f>
        <v>86281.054092174789</v>
      </c>
      <c r="AL30" s="216">
        <f>AL26-AL27-AL28-AL29</f>
        <v>2070765.9553666438</v>
      </c>
      <c r="AM30" s="216">
        <f>AM26-AM27-AM28-AM29</f>
        <v>279603.77516996383</v>
      </c>
      <c r="AN30" s="216">
        <f>AN26-AN27-AN28-AN29</f>
        <v>583909.82464341726</v>
      </c>
      <c r="AO30" s="216">
        <f>AO26-AO27-AO28-AO29</f>
        <v>97882.203549530299</v>
      </c>
      <c r="AP30" s="216">
        <f>AP26-AP27-AP28-AP29</f>
        <v>315242.82505761448</v>
      </c>
      <c r="AQ30" s="216">
        <f>AQ26-AQ27-AQ28-AQ29</f>
        <v>928074.07853676239</v>
      </c>
    </row>
    <row r="31" spans="1:43" ht="15" customHeight="1">
      <c r="A31" s="152">
        <f>'Wksh 1 - Market Experience'!E17</f>
        <v>-153264773.34999999</v>
      </c>
      <c r="B31" s="145" t="s">
        <v>168</v>
      </c>
      <c r="C31" s="155" t="s">
        <v>114</v>
      </c>
      <c r="D31" s="200">
        <f>SUM(E31:AQ31)</f>
        <v>-153264773.35095415</v>
      </c>
      <c r="E31" s="186">
        <v>-10505132.3180956</v>
      </c>
      <c r="F31" s="186">
        <v>20310.1481529927</v>
      </c>
      <c r="G31" s="186">
        <v>-34477420.871843703</v>
      </c>
      <c r="H31" s="186">
        <v>-2145955.43336466</v>
      </c>
      <c r="I31" s="186">
        <v>-2334302.74745647</v>
      </c>
      <c r="J31" s="186">
        <v>-42984179.504943401</v>
      </c>
      <c r="K31" s="186">
        <v>-5892659.3124895301</v>
      </c>
      <c r="L31" s="186">
        <v>-62273.7393268983</v>
      </c>
      <c r="M31" s="186">
        <v>-7571110.7776870001</v>
      </c>
      <c r="N31" s="186">
        <v>0</v>
      </c>
      <c r="O31" s="186">
        <v>0</v>
      </c>
      <c r="P31" s="186">
        <v>0</v>
      </c>
      <c r="Q31" s="186">
        <v>0</v>
      </c>
      <c r="R31" s="186">
        <v>-1804106.9014772</v>
      </c>
      <c r="S31" s="186">
        <v>-1119606.7745932301</v>
      </c>
      <c r="T31" s="186">
        <v>-12198800.869764401</v>
      </c>
      <c r="U31" s="186">
        <v>-15673748.838783</v>
      </c>
      <c r="V31" s="186">
        <v>-13606.827733616699</v>
      </c>
      <c r="W31" s="186">
        <v>-4470212.7611602098</v>
      </c>
      <c r="X31" s="186">
        <v>62056.915427260297</v>
      </c>
      <c r="Y31" s="186">
        <v>-333093.60423018102</v>
      </c>
      <c r="Z31" s="186">
        <v>-3151351.2639791099</v>
      </c>
      <c r="AA31" s="186">
        <v>-9878.1944589763098</v>
      </c>
      <c r="AB31" s="186">
        <v>-3986.3835129038698</v>
      </c>
      <c r="AC31" s="186">
        <v>281295.73699566902</v>
      </c>
      <c r="AD31" s="186">
        <v>-395811.07238224603</v>
      </c>
      <c r="AE31" s="186">
        <v>-904956.62627183204</v>
      </c>
      <c r="AF31" s="186">
        <v>-607.48964858832005</v>
      </c>
      <c r="AG31" s="186">
        <v>-564302.33605688298</v>
      </c>
      <c r="AH31" s="186">
        <v>-5630654.25593419</v>
      </c>
      <c r="AI31" s="186">
        <v>1486752.10543221</v>
      </c>
      <c r="AJ31" s="186">
        <v>114508.773129409</v>
      </c>
      <c r="AK31" s="186">
        <v>-1141.1683233766501</v>
      </c>
      <c r="AL31" s="186">
        <v>-159818.51647815801</v>
      </c>
      <c r="AM31" s="186">
        <v>54931.927609292303</v>
      </c>
      <c r="AN31" s="186">
        <v>-949594.39625015005</v>
      </c>
      <c r="AO31" s="186">
        <v>-342572.88011630398</v>
      </c>
      <c r="AP31" s="186">
        <v>-195658.43803624701</v>
      </c>
      <c r="AQ31" s="186">
        <v>-1388084.6533029501</v>
      </c>
    </row>
    <row r="32" spans="1:43" ht="15" customHeight="1">
      <c r="A32" s="152">
        <f>'Wksh 1 - Market Experience'!E18</f>
        <v>445324014.48000002</v>
      </c>
      <c r="B32" s="145" t="s">
        <v>169</v>
      </c>
      <c r="C32" s="155" t="s">
        <v>115</v>
      </c>
      <c r="D32" s="200">
        <f>SUM(E32:AQ32)</f>
        <v>445324014.47999853</v>
      </c>
      <c r="E32" s="186">
        <v>28020358.899999902</v>
      </c>
      <c r="F32" s="186">
        <v>129682.08999999901</v>
      </c>
      <c r="G32" s="186">
        <v>89148564.010000005</v>
      </c>
      <c r="H32" s="186">
        <v>4866325.8999999901</v>
      </c>
      <c r="I32" s="186">
        <v>4421088.62</v>
      </c>
      <c r="J32" s="186">
        <v>132144280.269999</v>
      </c>
      <c r="K32" s="186">
        <v>16203292.720000001</v>
      </c>
      <c r="L32" s="186">
        <v>3652516.8</v>
      </c>
      <c r="M32" s="186">
        <v>27092901.399999902</v>
      </c>
      <c r="N32" s="186">
        <v>0</v>
      </c>
      <c r="O32" s="186">
        <v>0</v>
      </c>
      <c r="P32" s="186">
        <v>0</v>
      </c>
      <c r="Q32" s="186">
        <v>0</v>
      </c>
      <c r="R32" s="186">
        <v>3393784.96999999</v>
      </c>
      <c r="S32" s="186">
        <v>1870507.3699999901</v>
      </c>
      <c r="T32" s="186">
        <v>30845115.41</v>
      </c>
      <c r="U32" s="186">
        <v>42846919.509999998</v>
      </c>
      <c r="V32" s="186">
        <v>34337.49</v>
      </c>
      <c r="W32" s="186">
        <v>12136125.4799999</v>
      </c>
      <c r="X32" s="186">
        <v>265860.43</v>
      </c>
      <c r="Y32" s="186">
        <v>1117213.78999999</v>
      </c>
      <c r="Z32" s="186">
        <v>11120549.6</v>
      </c>
      <c r="AA32" s="186">
        <v>10743.2</v>
      </c>
      <c r="AB32" s="186">
        <v>55211.839999999902</v>
      </c>
      <c r="AC32" s="186">
        <v>450663.55</v>
      </c>
      <c r="AD32" s="186">
        <v>1013718.25</v>
      </c>
      <c r="AE32" s="186">
        <v>1705213.14</v>
      </c>
      <c r="AF32" s="186">
        <v>1066079.0999999901</v>
      </c>
      <c r="AG32" s="186">
        <v>2235955.8799999901</v>
      </c>
      <c r="AH32" s="186">
        <v>17405655.3199999</v>
      </c>
      <c r="AI32" s="186">
        <v>2543291.0699999901</v>
      </c>
      <c r="AJ32" s="186">
        <v>776607.98</v>
      </c>
      <c r="AK32" s="186">
        <v>94073.8</v>
      </c>
      <c r="AL32" s="186">
        <v>2276602.73</v>
      </c>
      <c r="AM32" s="186">
        <v>285766.36</v>
      </c>
      <c r="AN32" s="186">
        <v>1833961.27999999</v>
      </c>
      <c r="AO32" s="186">
        <v>486670.24999999901</v>
      </c>
      <c r="AP32" s="186">
        <v>965161.95999999903</v>
      </c>
      <c r="AQ32" s="186">
        <v>2809214.00999999</v>
      </c>
    </row>
    <row r="33" spans="1:47" ht="15" customHeight="1">
      <c r="A33" s="156">
        <f>'Wksh 1 - Market Experience'!E19</f>
        <v>860627</v>
      </c>
      <c r="B33" s="145" t="s">
        <v>170</v>
      </c>
      <c r="C33" s="155" t="s">
        <v>22</v>
      </c>
      <c r="D33" s="201">
        <f>SUM(E33:AQ33)</f>
        <v>860627</v>
      </c>
      <c r="E33" s="217">
        <v>57103</v>
      </c>
      <c r="F33" s="217">
        <v>474</v>
      </c>
      <c r="G33" s="217">
        <v>170902</v>
      </c>
      <c r="H33" s="217">
        <v>10674</v>
      </c>
      <c r="I33" s="217">
        <v>8973</v>
      </c>
      <c r="J33" s="217">
        <v>255400</v>
      </c>
      <c r="K33" s="217">
        <v>31197</v>
      </c>
      <c r="L33" s="217">
        <v>6899</v>
      </c>
      <c r="M33" s="217">
        <v>47343</v>
      </c>
      <c r="N33" s="217">
        <v>0</v>
      </c>
      <c r="O33" s="217">
        <v>0</v>
      </c>
      <c r="P33" s="217">
        <v>0</v>
      </c>
      <c r="Q33" s="217">
        <v>0</v>
      </c>
      <c r="R33" s="217">
        <v>7393</v>
      </c>
      <c r="S33" s="217">
        <v>3854</v>
      </c>
      <c r="T33" s="217">
        <v>59878</v>
      </c>
      <c r="U33" s="217">
        <v>82333</v>
      </c>
      <c r="V33" s="217">
        <v>81</v>
      </c>
      <c r="W33" s="217">
        <v>24297</v>
      </c>
      <c r="X33" s="217">
        <v>502</v>
      </c>
      <c r="Y33" s="217">
        <v>2351</v>
      </c>
      <c r="Z33" s="217">
        <v>21564</v>
      </c>
      <c r="AA33" s="217">
        <v>22</v>
      </c>
      <c r="AB33" s="217">
        <v>120</v>
      </c>
      <c r="AC33" s="217">
        <v>838</v>
      </c>
      <c r="AD33" s="217">
        <v>2082</v>
      </c>
      <c r="AE33" s="217">
        <v>3295</v>
      </c>
      <c r="AF33" s="217">
        <v>2008</v>
      </c>
      <c r="AG33" s="217">
        <v>3817</v>
      </c>
      <c r="AH33" s="217">
        <v>34487</v>
      </c>
      <c r="AI33" s="217">
        <v>4549</v>
      </c>
      <c r="AJ33" s="217">
        <v>1372</v>
      </c>
      <c r="AK33" s="217">
        <v>167</v>
      </c>
      <c r="AL33" s="217">
        <v>4167</v>
      </c>
      <c r="AM33" s="217">
        <v>512</v>
      </c>
      <c r="AN33" s="217">
        <v>3808</v>
      </c>
      <c r="AO33" s="217">
        <v>974</v>
      </c>
      <c r="AP33" s="217">
        <v>1945</v>
      </c>
      <c r="AQ33" s="217">
        <v>5246</v>
      </c>
    </row>
    <row r="34" spans="1:47" ht="15" customHeight="1">
      <c r="A34" s="153"/>
      <c r="B34" s="145" t="s">
        <v>171</v>
      </c>
      <c r="C34" s="155" t="s">
        <v>116</v>
      </c>
      <c r="D34" s="201">
        <f>SUM(E34:AQ34)</f>
        <v>82997</v>
      </c>
      <c r="E34" s="217">
        <v>11283</v>
      </c>
      <c r="F34" s="217">
        <v>94</v>
      </c>
      <c r="G34" s="217">
        <v>3403</v>
      </c>
      <c r="H34" s="217">
        <v>2176</v>
      </c>
      <c r="I34" s="217">
        <v>2208</v>
      </c>
      <c r="J34" s="217">
        <v>24107</v>
      </c>
      <c r="K34" s="217">
        <v>3326</v>
      </c>
      <c r="L34" s="217">
        <v>828</v>
      </c>
      <c r="M34" s="217">
        <v>3123</v>
      </c>
      <c r="N34" s="217">
        <v>1776</v>
      </c>
      <c r="O34" s="217">
        <v>3619</v>
      </c>
      <c r="P34" s="217">
        <v>6189</v>
      </c>
      <c r="Q34" s="217">
        <v>621</v>
      </c>
      <c r="R34" s="217">
        <v>1654</v>
      </c>
      <c r="S34" s="217">
        <v>1097</v>
      </c>
      <c r="T34" s="217">
        <v>5119</v>
      </c>
      <c r="U34" s="217">
        <v>2962</v>
      </c>
      <c r="V34" s="217">
        <v>0</v>
      </c>
      <c r="W34" s="217">
        <v>1619</v>
      </c>
      <c r="X34" s="217">
        <v>111</v>
      </c>
      <c r="Y34" s="217">
        <v>800</v>
      </c>
      <c r="Z34" s="217">
        <v>1145</v>
      </c>
      <c r="AA34" s="217">
        <v>0</v>
      </c>
      <c r="AB34" s="217">
        <v>0</v>
      </c>
      <c r="AC34" s="217">
        <v>0</v>
      </c>
      <c r="AD34" s="217">
        <v>0</v>
      </c>
      <c r="AE34" s="217">
        <v>1289</v>
      </c>
      <c r="AF34" s="217">
        <v>0</v>
      </c>
      <c r="AG34" s="217">
        <v>0</v>
      </c>
      <c r="AH34" s="217">
        <v>2382</v>
      </c>
      <c r="AI34" s="217">
        <v>752</v>
      </c>
      <c r="AJ34" s="217">
        <v>0</v>
      </c>
      <c r="AK34" s="217">
        <v>0</v>
      </c>
      <c r="AL34" s="217">
        <v>698</v>
      </c>
      <c r="AM34" s="217">
        <v>0</v>
      </c>
      <c r="AN34" s="217">
        <v>0</v>
      </c>
      <c r="AO34" s="217">
        <v>0</v>
      </c>
      <c r="AP34" s="217">
        <v>0</v>
      </c>
      <c r="AQ34" s="217">
        <v>616</v>
      </c>
      <c r="AS34" s="5"/>
      <c r="AT34" s="5"/>
    </row>
    <row r="35" spans="1:47" ht="15" customHeight="1">
      <c r="A35" s="148"/>
      <c r="B35" s="147" t="s">
        <v>172</v>
      </c>
      <c r="C35" s="138" t="s">
        <v>117</v>
      </c>
      <c r="D35" s="202">
        <f>SUMPRODUCT(E35:AQ35,E34:AQ34)/D34</f>
        <v>542.3453315180052</v>
      </c>
      <c r="E35" s="187">
        <v>492.60380927057997</v>
      </c>
      <c r="F35" s="187">
        <v>304.62765957446999</v>
      </c>
      <c r="G35" s="187">
        <v>544.52555980017996</v>
      </c>
      <c r="H35" s="187">
        <v>494.50521599264999</v>
      </c>
      <c r="I35" s="187">
        <v>522.37329710145002</v>
      </c>
      <c r="J35" s="187">
        <v>576.18105985812997</v>
      </c>
      <c r="K35" s="187">
        <v>556.71094107035003</v>
      </c>
      <c r="L35" s="187">
        <v>573.78870772947005</v>
      </c>
      <c r="M35" s="187">
        <v>607.32055075248002</v>
      </c>
      <c r="N35" s="187">
        <v>490.89750563063001</v>
      </c>
      <c r="O35" s="187">
        <v>426.95864603481999</v>
      </c>
      <c r="P35" s="187">
        <v>564.49188721925998</v>
      </c>
      <c r="Q35" s="187">
        <v>602.60096618356999</v>
      </c>
      <c r="R35" s="187">
        <v>467.99681983071002</v>
      </c>
      <c r="S35" s="187">
        <v>459.82814949863001</v>
      </c>
      <c r="T35" s="187">
        <v>558.58896073452001</v>
      </c>
      <c r="U35" s="187">
        <v>531.09246117487999</v>
      </c>
      <c r="V35" s="187">
        <v>0</v>
      </c>
      <c r="W35" s="187">
        <v>525.35400247066002</v>
      </c>
      <c r="X35" s="187">
        <v>632.81585585586004</v>
      </c>
      <c r="Y35" s="187">
        <v>509.34095000000002</v>
      </c>
      <c r="Z35" s="187">
        <v>566.46431441048003</v>
      </c>
      <c r="AA35" s="187">
        <v>0</v>
      </c>
      <c r="AB35" s="187">
        <v>0</v>
      </c>
      <c r="AC35" s="187">
        <v>0</v>
      </c>
      <c r="AD35" s="187">
        <v>0</v>
      </c>
      <c r="AE35" s="187">
        <v>550.46351435221004</v>
      </c>
      <c r="AF35" s="187">
        <v>0</v>
      </c>
      <c r="AG35" s="187">
        <v>0</v>
      </c>
      <c r="AH35" s="187">
        <v>546.89673803526</v>
      </c>
      <c r="AI35" s="187">
        <v>625.62938829787004</v>
      </c>
      <c r="AJ35" s="187">
        <v>0</v>
      </c>
      <c r="AK35" s="187">
        <v>0</v>
      </c>
      <c r="AL35" s="187">
        <v>602.05673352435997</v>
      </c>
      <c r="AM35" s="187">
        <v>0</v>
      </c>
      <c r="AN35" s="187">
        <v>0</v>
      </c>
      <c r="AO35" s="187">
        <v>0</v>
      </c>
      <c r="AP35" s="187">
        <v>0</v>
      </c>
      <c r="AQ35" s="187">
        <v>576.00297077922005</v>
      </c>
      <c r="AS35" s="5"/>
      <c r="AT35" s="20"/>
    </row>
    <row r="36" spans="1:47" ht="15" customHeight="1">
      <c r="A36" s="148"/>
      <c r="B36" s="203" t="s">
        <v>173</v>
      </c>
      <c r="C36" s="204" t="s">
        <v>118</v>
      </c>
      <c r="D36" s="157">
        <f>D30/(D31+D32)</f>
        <v>0.8014962188365603</v>
      </c>
      <c r="E36" s="88">
        <f>E30/(E31+E32)</f>
        <v>0.58480822006935873</v>
      </c>
      <c r="F36" s="88">
        <f>F30/(F31+F32)</f>
        <v>0.9167684647381249</v>
      </c>
      <c r="G36" s="88">
        <f>G30/(G31+G32)</f>
        <v>0.80772934876009816</v>
      </c>
      <c r="H36" s="88">
        <f>H30/(H31+H32)</f>
        <v>0.5640383035569515</v>
      </c>
      <c r="I36" s="88">
        <f>I30/(I31+I32)</f>
        <v>0.64523990033947276</v>
      </c>
      <c r="J36" s="88">
        <f>J30/(J31+J32)</f>
        <v>0.80810097382273383</v>
      </c>
      <c r="K36" s="88">
        <f>K30/(K31+K32)</f>
        <v>0.76611099716743047</v>
      </c>
      <c r="L36" s="88">
        <f>L30/(L31+L32)</f>
        <v>1.1033951012786507</v>
      </c>
      <c r="M36" s="88">
        <f>M30/(M31+M32)</f>
        <v>0.71184869149848762</v>
      </c>
      <c r="N36" s="88" t="e">
        <f>N30/(N31+N32)</f>
        <v>#DIV/0!</v>
      </c>
      <c r="O36" s="88" t="e">
        <f>O30/(O31+O32)</f>
        <v>#DIV/0!</v>
      </c>
      <c r="P36" s="88" t="e">
        <f>P30/(P31+P32)</f>
        <v>#DIV/0!</v>
      </c>
      <c r="Q36" s="88" t="e">
        <f>Q30/(Q31+Q32)</f>
        <v>#DIV/0!</v>
      </c>
      <c r="R36" s="88">
        <f>R30/(R31+R32)</f>
        <v>0.73314048929895559</v>
      </c>
      <c r="S36" s="88">
        <f>S30/(S31+S32)</f>
        <v>0.73043048425355073</v>
      </c>
      <c r="T36" s="88">
        <f>T30/(T31+T32)</f>
        <v>0.85184180071512716</v>
      </c>
      <c r="U36" s="88">
        <f>U30/(U31+U32)</f>
        <v>0.84330967553939207</v>
      </c>
      <c r="V36" s="88">
        <f>V30/(V31+V32)</f>
        <v>0.87062600846563287</v>
      </c>
      <c r="W36" s="88">
        <f>W30/(W31+W32)</f>
        <v>0.71877247685248757</v>
      </c>
      <c r="X36" s="88">
        <f>X30/(X31+X32)</f>
        <v>0.7530582263953306</v>
      </c>
      <c r="Y36" s="88">
        <f>Y30/(Y31+Y32)</f>
        <v>0.40676712789880537</v>
      </c>
      <c r="Z36" s="88">
        <f>Z30/(Z31+Z32)</f>
        <v>0.91407420462397404</v>
      </c>
      <c r="AA36" s="88">
        <f>AA30/(AA31+AA32)</f>
        <v>11.975100063404563</v>
      </c>
      <c r="AB36" s="88">
        <f>AB30/(AB31+AB32)</f>
        <v>0.33693660742893555</v>
      </c>
      <c r="AC36" s="88">
        <f>AC30/(AC31+AC32)</f>
        <v>1.6837040135441936</v>
      </c>
      <c r="AD36" s="88">
        <f>AD30/(AD31+AD32)</f>
        <v>0.37608518393794671</v>
      </c>
      <c r="AE36" s="88">
        <f>AE30/(AE31+AE32)</f>
        <v>0.50465650886657376</v>
      </c>
      <c r="AF36" s="88">
        <f>AF30/(AF31+AF32)</f>
        <v>1.1247559350027017</v>
      </c>
      <c r="AG36" s="88">
        <f>AG30/(AG31+AG32)</f>
        <v>0.94835949812955067</v>
      </c>
      <c r="AH36" s="88">
        <f>AH30/(AH31+AH32)</f>
        <v>0.94706836692985497</v>
      </c>
      <c r="AI36" s="88">
        <f>AI30/(AI31+AI32)</f>
        <v>1.0465666829213527</v>
      </c>
      <c r="AJ36" s="88">
        <f>AJ30/(AJ31+AJ32)</f>
        <v>0.62094118868234038</v>
      </c>
      <c r="AK36" s="88">
        <f>AK30/(AK31+AK32)</f>
        <v>0.92842581271566715</v>
      </c>
      <c r="AL36" s="88">
        <f>AL30/(AL31+AL32)</f>
        <v>0.97826029792680935</v>
      </c>
      <c r="AM36" s="88">
        <f>AM30/(AM31+AM32)</f>
        <v>0.82067854561866549</v>
      </c>
      <c r="AN36" s="88">
        <f>AN30/(AN31+AN32)</f>
        <v>0.66025745125999913</v>
      </c>
      <c r="AO36" s="88">
        <f>AO30/(AO31+AO32)</f>
        <v>0.67927821048041148</v>
      </c>
      <c r="AP36" s="88">
        <f>AP30/(AP31+AP32)</f>
        <v>0.40967041223297251</v>
      </c>
      <c r="AQ36" s="88">
        <f>AQ30/(AQ31+AQ32)</f>
        <v>0.65305390685459719</v>
      </c>
    </row>
    <row r="37" spans="1:47" ht="15" customHeight="1">
      <c r="A37" s="72"/>
      <c r="C37" s="76" t="s">
        <v>120</v>
      </c>
      <c r="D37" s="25"/>
      <c r="AS37" s="5"/>
      <c r="AT37" s="5"/>
      <c r="AU37" s="5"/>
    </row>
    <row r="38" spans="1:47" ht="15" customHeight="1">
      <c r="A38" s="148"/>
      <c r="B38" s="145" t="s">
        <v>174</v>
      </c>
      <c r="C38" s="155" t="s">
        <v>86</v>
      </c>
      <c r="D38" s="86">
        <f>D26/D33</f>
        <v>322.960802421832</v>
      </c>
      <c r="E38" s="86">
        <f>E26/E33</f>
        <v>246.64985333874577</v>
      </c>
      <c r="F38" s="86">
        <f>F26/F33</f>
        <v>578.50428745027853</v>
      </c>
      <c r="G38" s="86">
        <f>G26/G33</f>
        <v>294.8634016067337</v>
      </c>
      <c r="H38" s="86">
        <f>H26/H33</f>
        <v>241.15939654118139</v>
      </c>
      <c r="I38" s="86">
        <f>I26/I33</f>
        <v>235.20217499590439</v>
      </c>
      <c r="J38" s="86">
        <f>J26/J33</f>
        <v>324.46605888269539</v>
      </c>
      <c r="K38" s="86">
        <f>K26/K33</f>
        <v>305.03984611394077</v>
      </c>
      <c r="L38" s="86">
        <f>L26/L33</f>
        <v>681.42652678071465</v>
      </c>
      <c r="M38" s="86">
        <f>M26/M33</f>
        <v>343.77607062816679</v>
      </c>
      <c r="N38" s="86" t="e">
        <f>N26/N33</f>
        <v>#DIV/0!</v>
      </c>
      <c r="O38" s="86" t="e">
        <f>O26/O33</f>
        <v>#DIV/0!</v>
      </c>
      <c r="P38" s="86" t="e">
        <f>P26/P33</f>
        <v>#DIV/0!</v>
      </c>
      <c r="Q38" s="86" t="e">
        <f>Q26/Q33</f>
        <v>#DIV/0!</v>
      </c>
      <c r="R38" s="86">
        <f>R26/R33</f>
        <v>251.52918677855268</v>
      </c>
      <c r="S38" s="86">
        <f>S26/S33</f>
        <v>255.43583452408797</v>
      </c>
      <c r="T38" s="86">
        <f>T26/T33</f>
        <v>309.03235065893318</v>
      </c>
      <c r="U38" s="86">
        <f>U26/U33</f>
        <v>324.44459992844912</v>
      </c>
      <c r="V38" s="86">
        <f>V26/V33</f>
        <v>361.32540491251109</v>
      </c>
      <c r="W38" s="86">
        <f>W26/W33</f>
        <v>304.45556943606988</v>
      </c>
      <c r="X38" s="86">
        <f>X26/X33</f>
        <v>654.9909690165598</v>
      </c>
      <c r="Y38" s="86">
        <f>Y26/Y33</f>
        <v>234.21067835707825</v>
      </c>
      <c r="Z38" s="86">
        <f>Z26/Z33</f>
        <v>398.25138829438458</v>
      </c>
      <c r="AA38" s="86">
        <f>AA26/AA33</f>
        <v>627.9525888585772</v>
      </c>
      <c r="AB38" s="86">
        <f>AB26/AB33</f>
        <v>251.67503537573833</v>
      </c>
      <c r="AC38" s="86">
        <f>AC26/AC33</f>
        <v>1724.0921593381863</v>
      </c>
      <c r="AD38" s="86">
        <f>AD26/AD33</f>
        <v>200.0194307750682</v>
      </c>
      <c r="AE38" s="86">
        <f>AE26/AE33</f>
        <v>181.94969647691806</v>
      </c>
      <c r="AF38" s="86">
        <f>AF26/AF33</f>
        <v>744.39809022419831</v>
      </c>
      <c r="AG38" s="86">
        <f>AG26/AG33</f>
        <v>504.98559871067852</v>
      </c>
      <c r="AH38" s="86">
        <f>AH26/AH33</f>
        <v>358.47957246236263</v>
      </c>
      <c r="AI38" s="86">
        <f>AI26/AI33</f>
        <v>1111.0366424331435</v>
      </c>
      <c r="AJ38" s="86">
        <f>AJ26/AJ33</f>
        <v>554.77624983975647</v>
      </c>
      <c r="AK38" s="86">
        <f>AK26/AK33</f>
        <v>637.99948280314368</v>
      </c>
      <c r="AL38" s="86">
        <f>AL26/AL33</f>
        <v>634.70049253048478</v>
      </c>
      <c r="AM38" s="86">
        <f>AM26/AM33</f>
        <v>767.9663629712129</v>
      </c>
      <c r="AN38" s="86">
        <f>AN26/AN33</f>
        <v>255.31476595072979</v>
      </c>
      <c r="AO38" s="86">
        <f>AO26/AO33</f>
        <v>153.01662214211706</v>
      </c>
      <c r="AP38" s="86">
        <f>AP26/AP33</f>
        <v>246.52094075276295</v>
      </c>
      <c r="AQ38" s="86">
        <f>AQ26/AQ33</f>
        <v>256.59123611979601</v>
      </c>
    </row>
    <row r="39" spans="1:47" ht="15" customHeight="1">
      <c r="A39" s="148"/>
      <c r="B39" s="145" t="s">
        <v>175</v>
      </c>
      <c r="C39" s="155" t="s">
        <v>87</v>
      </c>
      <c r="D39" s="86">
        <f>D27/D33</f>
        <v>15.808022104422314</v>
      </c>
      <c r="E39" s="86">
        <f>E27/E33</f>
        <v>13.147085019943418</v>
      </c>
      <c r="F39" s="86">
        <f>F27/F33</f>
        <v>28.879297971191139</v>
      </c>
      <c r="G39" s="86">
        <f>G27/G33</f>
        <v>12.311369416026084</v>
      </c>
      <c r="H39" s="86">
        <f>H27/H33</f>
        <v>8.9701467071784418</v>
      </c>
      <c r="I39" s="86">
        <f>I27/I33</f>
        <v>12.586853957819681</v>
      </c>
      <c r="J39" s="86">
        <f>J27/J33</f>
        <v>17.542311941841231</v>
      </c>
      <c r="K39" s="86">
        <f>K27/K33</f>
        <v>10.220313302840081</v>
      </c>
      <c r="L39" s="86">
        <f>L27/L33</f>
        <v>27.676452311600958</v>
      </c>
      <c r="M39" s="86">
        <f>M27/M33</f>
        <v>14.834393615280442</v>
      </c>
      <c r="N39" s="86" t="e">
        <f>N27/N33</f>
        <v>#DIV/0!</v>
      </c>
      <c r="O39" s="86" t="e">
        <f>O27/O33</f>
        <v>#DIV/0!</v>
      </c>
      <c r="P39" s="86" t="e">
        <f>P27/P33</f>
        <v>#DIV/0!</v>
      </c>
      <c r="Q39" s="86" t="e">
        <f>Q27/Q33</f>
        <v>#DIV/0!</v>
      </c>
      <c r="R39" s="86">
        <f>R27/R33</f>
        <v>15.621151374269038</v>
      </c>
      <c r="S39" s="86">
        <f>S27/S33</f>
        <v>7.6457825907368457</v>
      </c>
      <c r="T39" s="86">
        <f>T27/T33</f>
        <v>14.881952908853302</v>
      </c>
      <c r="U39" s="86">
        <f>U27/U33</f>
        <v>15.906720830985996</v>
      </c>
      <c r="V39" s="86">
        <f>V27/V33</f>
        <v>0.62985400000000002</v>
      </c>
      <c r="W39" s="86">
        <f>W27/W33</f>
        <v>17.002935249441002</v>
      </c>
      <c r="X39" s="86">
        <f>X27/X33</f>
        <v>51.532692577002592</v>
      </c>
      <c r="Y39" s="86">
        <f>Y27/Y33</f>
        <v>9.7968475770400261</v>
      </c>
      <c r="Z39" s="86">
        <f>Z27/Z33</f>
        <v>18.406719790749442</v>
      </c>
      <c r="AA39" s="86">
        <f>AA27/AA33</f>
        <v>0.62985400000000002</v>
      </c>
      <c r="AB39" s="86">
        <f>AB27/AB33</f>
        <v>0.62985400000000002</v>
      </c>
      <c r="AC39" s="86">
        <f>AC27/AC33</f>
        <v>127.24061488977088</v>
      </c>
      <c r="AD39" s="86">
        <f>AD27/AD33</f>
        <v>1.8954227190040827</v>
      </c>
      <c r="AE39" s="86">
        <f>AE27/AE33</f>
        <v>4.4172919902699546</v>
      </c>
      <c r="AF39" s="86">
        <f>AF27/AF33</f>
        <v>56.522323651592629</v>
      </c>
      <c r="AG39" s="86">
        <f>AG27/AG33</f>
        <v>27.938636981707361</v>
      </c>
      <c r="AH39" s="86">
        <f>AH27/AH33</f>
        <v>15.012779580242498</v>
      </c>
      <c r="AI39" s="86">
        <f>AI27/AI33</f>
        <v>94.594733152614197</v>
      </c>
      <c r="AJ39" s="86">
        <f>AJ27/AJ33</f>
        <v>33.706544491876166</v>
      </c>
      <c r="AK39" s="86">
        <f>AK27/AK33</f>
        <v>25.816740220280241</v>
      </c>
      <c r="AL39" s="86">
        <f>AL27/AL33</f>
        <v>31.760994901445887</v>
      </c>
      <c r="AM39" s="86">
        <f>AM27/AM33</f>
        <v>63.57885090201836</v>
      </c>
      <c r="AN39" s="86">
        <f>AN27/AN33</f>
        <v>18.21426062083658</v>
      </c>
      <c r="AO39" s="86">
        <f>AO27/AO33</f>
        <v>3.1627695053800822</v>
      </c>
      <c r="AP39" s="86">
        <f>AP27/AP33</f>
        <v>4.9290468312125961</v>
      </c>
      <c r="AQ39" s="86">
        <f>AQ27/AQ33</f>
        <v>7.5609722639461872</v>
      </c>
    </row>
    <row r="40" spans="1:47" ht="15" customHeight="1">
      <c r="A40" s="148"/>
      <c r="B40" s="145" t="s">
        <v>176</v>
      </c>
      <c r="C40" s="155" t="s">
        <v>111</v>
      </c>
      <c r="D40" s="86">
        <f>D28/D33</f>
        <v>35.159945510688175</v>
      </c>
      <c r="E40" s="86">
        <f>E28/E33</f>
        <v>54.124303413719069</v>
      </c>
      <c r="F40" s="86">
        <f>F28/F33</f>
        <v>259.5233989850928</v>
      </c>
      <c r="G40" s="86">
        <f>G28/G33</f>
        <v>24.161335516864693</v>
      </c>
      <c r="H40" s="86">
        <f>H28/H33</f>
        <v>88.438721161769067</v>
      </c>
      <c r="I40" s="86">
        <f>I28/I33</f>
        <v>72.556532625089375</v>
      </c>
      <c r="J40" s="86">
        <f>J28/J33</f>
        <v>24.815821121063625</v>
      </c>
      <c r="K40" s="86">
        <f>K28/K33</f>
        <v>41.619236588525823</v>
      </c>
      <c r="L40" s="86">
        <f>L28/L33</f>
        <v>79.54271027917757</v>
      </c>
      <c r="M40" s="86">
        <f>M28/M33</f>
        <v>35.412303922864837</v>
      </c>
      <c r="N40" s="86" t="e">
        <f>N28/N33</f>
        <v>#DIV/0!</v>
      </c>
      <c r="O40" s="86" t="e">
        <f>O28/O33</f>
        <v>#DIV/0!</v>
      </c>
      <c r="P40" s="86" t="e">
        <f>P28/P33</f>
        <v>#DIV/0!</v>
      </c>
      <c r="Q40" s="86" t="e">
        <f>Q28/Q33</f>
        <v>#DIV/0!</v>
      </c>
      <c r="R40" s="86">
        <f>R28/R33</f>
        <v>78.264675877079938</v>
      </c>
      <c r="S40" s="86">
        <f>S28/S33</f>
        <v>105.47539559467981</v>
      </c>
      <c r="T40" s="86">
        <f>T28/T33</f>
        <v>28.882517148607668</v>
      </c>
      <c r="U40" s="86">
        <f>U28/U33</f>
        <v>30.212083339741053</v>
      </c>
      <c r="V40" s="86">
        <f>V28/V33</f>
        <v>137.87266521090123</v>
      </c>
      <c r="W40" s="86">
        <f>W28/W33</f>
        <v>60.673728467593939</v>
      </c>
      <c r="X40" s="86">
        <f>X28/X33</f>
        <v>111.54422354768946</v>
      </c>
      <c r="Y40" s="86">
        <f>Y28/Y33</f>
        <v>88.746320829777531</v>
      </c>
      <c r="Z40" s="86">
        <f>Z28/Z33</f>
        <v>42.039130083629985</v>
      </c>
      <c r="AA40" s="86">
        <f>AA28/AA33</f>
        <v>156.48055716957273</v>
      </c>
      <c r="AB40" s="86">
        <f>AB28/AB33</f>
        <v>107.21408535273251</v>
      </c>
      <c r="AC40" s="86">
        <f>AC28/AC33</f>
        <v>126.20382456111933</v>
      </c>
      <c r="AD40" s="86">
        <f>AD28/AD33</f>
        <v>86.507420855799722</v>
      </c>
      <c r="AE40" s="86">
        <f>AE28/AE33</f>
        <v>54.966499049381788</v>
      </c>
      <c r="AF40" s="86">
        <f>AF28/AF33</f>
        <v>91.065249979166836</v>
      </c>
      <c r="AG40" s="86">
        <f>AG28/AG33</f>
        <v>61.71331855884543</v>
      </c>
      <c r="AH40" s="86">
        <f>AH28/AH33</f>
        <v>20.106366392659872</v>
      </c>
      <c r="AI40" s="86">
        <f>AI28/AI33</f>
        <v>89.269142047750051</v>
      </c>
      <c r="AJ40" s="86">
        <f>AJ28/AJ33</f>
        <v>117.7671572845255</v>
      </c>
      <c r="AK40" s="86">
        <f>AK28/AK33</f>
        <v>95.529724066846711</v>
      </c>
      <c r="AL40" s="86">
        <f>AL28/AL33</f>
        <v>105.99542386694529</v>
      </c>
      <c r="AM40" s="86">
        <f>AM28/AM33</f>
        <v>158.28638869035899</v>
      </c>
      <c r="AN40" s="86">
        <f>AN28/AN33</f>
        <v>83.762841295382358</v>
      </c>
      <c r="AO40" s="86">
        <f>AO28/AO33</f>
        <v>49.358777123872173</v>
      </c>
      <c r="AP40" s="86">
        <f>AP28/AP33</f>
        <v>79.513320627147039</v>
      </c>
      <c r="AQ40" s="86">
        <f>AQ28/AQ33</f>
        <v>72.119459712357227</v>
      </c>
    </row>
    <row r="41" spans="1:47" ht="15" customHeight="1">
      <c r="A41" s="148"/>
      <c r="B41" s="145" t="s">
        <v>177</v>
      </c>
      <c r="C41" s="155" t="s">
        <v>112</v>
      </c>
      <c r="D41" s="86">
        <f>D29/D33</f>
        <v>0</v>
      </c>
      <c r="E41" s="86">
        <f>E29/E33</f>
        <v>0</v>
      </c>
      <c r="F41" s="86">
        <f>F29/F33</f>
        <v>0</v>
      </c>
      <c r="G41" s="86">
        <f>G29/G33</f>
        <v>0</v>
      </c>
      <c r="H41" s="86">
        <f>H29/H33</f>
        <v>0</v>
      </c>
      <c r="I41" s="86">
        <f>I29/I33</f>
        <v>0</v>
      </c>
      <c r="J41" s="86">
        <f>J29/J33</f>
        <v>0</v>
      </c>
      <c r="K41" s="86">
        <f>K29/K33</f>
        <v>0</v>
      </c>
      <c r="L41" s="86">
        <f>L29/L33</f>
        <v>0</v>
      </c>
      <c r="M41" s="86">
        <f>M29/M33</f>
        <v>0</v>
      </c>
      <c r="N41" s="86" t="e">
        <f>N29/N33</f>
        <v>#DIV/0!</v>
      </c>
      <c r="O41" s="86" t="e">
        <f>O29/O33</f>
        <v>#DIV/0!</v>
      </c>
      <c r="P41" s="86" t="e">
        <f>P29/P33</f>
        <v>#DIV/0!</v>
      </c>
      <c r="Q41" s="86" t="e">
        <f>Q29/Q33</f>
        <v>#DIV/0!</v>
      </c>
      <c r="R41" s="86">
        <f>R29/R33</f>
        <v>0</v>
      </c>
      <c r="S41" s="86">
        <f>S29/S33</f>
        <v>0</v>
      </c>
      <c r="T41" s="86">
        <f>T29/T33</f>
        <v>0</v>
      </c>
      <c r="U41" s="86">
        <f>U29/U33</f>
        <v>0</v>
      </c>
      <c r="V41" s="86">
        <f>V29/V33</f>
        <v>0</v>
      </c>
      <c r="W41" s="86">
        <f>W29/W33</f>
        <v>0</v>
      </c>
      <c r="X41" s="86">
        <f>X29/X33</f>
        <v>0</v>
      </c>
      <c r="Y41" s="86">
        <f>Y29/Y33</f>
        <v>0</v>
      </c>
      <c r="Z41" s="86">
        <f>Z29/Z33</f>
        <v>0</v>
      </c>
      <c r="AA41" s="86">
        <f>AA29/AA33</f>
        <v>0</v>
      </c>
      <c r="AB41" s="86">
        <f>AB29/AB33</f>
        <v>0</v>
      </c>
      <c r="AC41" s="86">
        <f>AC29/AC33</f>
        <v>0</v>
      </c>
      <c r="AD41" s="86">
        <f>AD29/AD33</f>
        <v>0</v>
      </c>
      <c r="AE41" s="86">
        <f>AE29/AE33</f>
        <v>0</v>
      </c>
      <c r="AF41" s="86">
        <f>AF29/AF33</f>
        <v>0</v>
      </c>
      <c r="AG41" s="86">
        <f>AG29/AG33</f>
        <v>0</v>
      </c>
      <c r="AH41" s="86">
        <f>AH29/AH33</f>
        <v>0</v>
      </c>
      <c r="AI41" s="86">
        <f>AI29/AI33</f>
        <v>0</v>
      </c>
      <c r="AJ41" s="86">
        <f>AJ29/AJ33</f>
        <v>0</v>
      </c>
      <c r="AK41" s="86">
        <f>AK29/AK33</f>
        <v>0</v>
      </c>
      <c r="AL41" s="86">
        <f>AL29/AL33</f>
        <v>0</v>
      </c>
      <c r="AM41" s="86">
        <f>AM29/AM33</f>
        <v>0</v>
      </c>
      <c r="AN41" s="86">
        <f>AN29/AN33</f>
        <v>0</v>
      </c>
      <c r="AO41" s="86">
        <f>AO29/AO33</f>
        <v>0</v>
      </c>
      <c r="AP41" s="86">
        <f>AP29/AP33</f>
        <v>0</v>
      </c>
      <c r="AQ41" s="86">
        <f>AQ29/AQ33</f>
        <v>0</v>
      </c>
    </row>
    <row r="42" spans="1:47" ht="15" customHeight="1">
      <c r="A42" s="148"/>
      <c r="B42" s="145" t="s">
        <v>178</v>
      </c>
      <c r="C42" s="155" t="s">
        <v>113</v>
      </c>
      <c r="D42" s="86">
        <f>D30/D33</f>
        <v>271.99283480672153</v>
      </c>
      <c r="E42" s="86">
        <f>E30/E33</f>
        <v>179.37846490508329</v>
      </c>
      <c r="F42" s="86">
        <f>F30/F33</f>
        <v>290.10159049399459</v>
      </c>
      <c r="G42" s="86">
        <f>G30/G33</f>
        <v>258.39069667384291</v>
      </c>
      <c r="H42" s="86">
        <f>H30/H33</f>
        <v>143.75052867223386</v>
      </c>
      <c r="I42" s="86">
        <f>I30/I33</f>
        <v>150.05878841299534</v>
      </c>
      <c r="J42" s="86">
        <f>J30/J33</f>
        <v>282.10792581979052</v>
      </c>
      <c r="K42" s="86">
        <f>K30/K33</f>
        <v>253.20029622257488</v>
      </c>
      <c r="L42" s="86">
        <f>L30/L33</f>
        <v>574.20736418993613</v>
      </c>
      <c r="M42" s="86">
        <f>M30/M33</f>
        <v>293.52937309002147</v>
      </c>
      <c r="N42" s="86" t="e">
        <f>N30/N33</f>
        <v>#DIV/0!</v>
      </c>
      <c r="O42" s="86" t="e">
        <f>O30/O33</f>
        <v>#DIV/0!</v>
      </c>
      <c r="P42" s="86" t="e">
        <f>P30/P33</f>
        <v>#DIV/0!</v>
      </c>
      <c r="Q42" s="86" t="e">
        <f>Q30/Q33</f>
        <v>#DIV/0!</v>
      </c>
      <c r="R42" s="86">
        <f>R30/R33</f>
        <v>157.6433595272037</v>
      </c>
      <c r="S42" s="86">
        <f>S30/S33</f>
        <v>142.31465633867131</v>
      </c>
      <c r="T42" s="86">
        <f>T30/T33</f>
        <v>265.2678806014722</v>
      </c>
      <c r="U42" s="86">
        <f>U30/U33</f>
        <v>278.32579575772206</v>
      </c>
      <c r="V42" s="86">
        <f>V30/V33</f>
        <v>222.82288570160986</v>
      </c>
      <c r="W42" s="86">
        <f>W30/W33</f>
        <v>226.77890571903492</v>
      </c>
      <c r="X42" s="86">
        <f>X30/X33</f>
        <v>491.9140528918677</v>
      </c>
      <c r="Y42" s="86">
        <f>Y30/Y33</f>
        <v>135.66750995026069</v>
      </c>
      <c r="Z42" s="86">
        <f>Z30/Z33</f>
        <v>337.80553842000518</v>
      </c>
      <c r="AA42" s="86">
        <f>AA30/AA33</f>
        <v>470.84217768900453</v>
      </c>
      <c r="AB42" s="86">
        <f>AB30/AB33</f>
        <v>143.83109602300581</v>
      </c>
      <c r="AC42" s="86">
        <f>AC30/AC33</f>
        <v>1470.647719887296</v>
      </c>
      <c r="AD42" s="86">
        <f>AD30/AD33</f>
        <v>111.61658720026441</v>
      </c>
      <c r="AE42" s="86">
        <f>AE30/AE33</f>
        <v>122.56590543726631</v>
      </c>
      <c r="AF42" s="86">
        <f>AF30/AF33</f>
        <v>596.81051659343882</v>
      </c>
      <c r="AG42" s="86">
        <f>AG30/AG33</f>
        <v>415.3336431701257</v>
      </c>
      <c r="AH42" s="86">
        <f>AH30/AH33</f>
        <v>323.36042648946028</v>
      </c>
      <c r="AI42" s="86">
        <f>AI30/AI33</f>
        <v>927.17276723277917</v>
      </c>
      <c r="AJ42" s="86">
        <f>AJ30/AJ33</f>
        <v>403.30254806335483</v>
      </c>
      <c r="AK42" s="86">
        <f>AK30/AK33</f>
        <v>516.65301851601669</v>
      </c>
      <c r="AL42" s="86">
        <f>AL30/AL33</f>
        <v>496.94407376209358</v>
      </c>
      <c r="AM42" s="86">
        <f>AM30/AM33</f>
        <v>546.10112337883561</v>
      </c>
      <c r="AN42" s="86">
        <f>AN30/AN33</f>
        <v>153.33766403451082</v>
      </c>
      <c r="AO42" s="86">
        <f>AO30/AO33</f>
        <v>100.49507551286479</v>
      </c>
      <c r="AP42" s="86">
        <f>AP30/AP33</f>
        <v>162.07857329440333</v>
      </c>
      <c r="AQ42" s="86">
        <f>AQ30/AQ33</f>
        <v>176.91080414349264</v>
      </c>
    </row>
    <row r="43" spans="1:47" ht="15" customHeight="1">
      <c r="A43" s="148"/>
      <c r="B43" s="145" t="s">
        <v>179</v>
      </c>
      <c r="C43" s="155" t="s">
        <v>114</v>
      </c>
      <c r="D43" s="86">
        <f>D31/D33</f>
        <v>-178.08501633222539</v>
      </c>
      <c r="E43" s="86">
        <f>E31/E33</f>
        <v>-183.96813333967742</v>
      </c>
      <c r="F43" s="86">
        <f>F31/F33</f>
        <v>42.848413824879117</v>
      </c>
      <c r="G43" s="86">
        <f>G31/G33</f>
        <v>-201.73796018679536</v>
      </c>
      <c r="H43" s="86">
        <f>H31/H33</f>
        <v>-201.04510336937042</v>
      </c>
      <c r="I43" s="86">
        <f>I31/I33</f>
        <v>-260.14741418215425</v>
      </c>
      <c r="J43" s="86">
        <f>J31/J33</f>
        <v>-168.30140761528347</v>
      </c>
      <c r="K43" s="86">
        <f>K31/K33</f>
        <v>-188.88544771899637</v>
      </c>
      <c r="L43" s="86">
        <f>L31/L33</f>
        <v>-9.0264877992315267</v>
      </c>
      <c r="M43" s="86">
        <f>M31/M33</f>
        <v>-159.92038480212491</v>
      </c>
      <c r="N43" s="86" t="e">
        <f>N31/N33</f>
        <v>#DIV/0!</v>
      </c>
      <c r="O43" s="86" t="e">
        <f>O31/O33</f>
        <v>#DIV/0!</v>
      </c>
      <c r="P43" s="86" t="e">
        <f>P31/P33</f>
        <v>#DIV/0!</v>
      </c>
      <c r="Q43" s="86" t="e">
        <f>Q31/Q33</f>
        <v>#DIV/0!</v>
      </c>
      <c r="R43" s="86">
        <f>R31/R33</f>
        <v>-244.02906823714324</v>
      </c>
      <c r="S43" s="86">
        <f>S31/S33</f>
        <v>-290.50513092714846</v>
      </c>
      <c r="T43" s="86">
        <f>T31/T33</f>
        <v>-203.72759393707875</v>
      </c>
      <c r="U43" s="86">
        <f>U31/U33</f>
        <v>-190.37018982404382</v>
      </c>
      <c r="V43" s="86">
        <f>V31/V33</f>
        <v>-167.98552757551479</v>
      </c>
      <c r="W43" s="86">
        <f>W31/W33</f>
        <v>-183.98208672511873</v>
      </c>
      <c r="X43" s="86">
        <f>X31/X33</f>
        <v>123.61935344075756</v>
      </c>
      <c r="Y43" s="86">
        <f>Y31/Y33</f>
        <v>-141.68166917489623</v>
      </c>
      <c r="Z43" s="86">
        <f>Z31/Z33</f>
        <v>-146.139457613574</v>
      </c>
      <c r="AA43" s="86">
        <f>AA31/AA33</f>
        <v>-449.00883904437774</v>
      </c>
      <c r="AB43" s="86">
        <f>AB31/AB33</f>
        <v>-33.219862607532249</v>
      </c>
      <c r="AC43" s="86">
        <f>AC31/AC33</f>
        <v>335.67510381344755</v>
      </c>
      <c r="AD43" s="86">
        <f>AD31/AD33</f>
        <v>-190.11098577437369</v>
      </c>
      <c r="AE43" s="86">
        <f>AE31/AE33</f>
        <v>-274.64541009767282</v>
      </c>
      <c r="AF43" s="86">
        <f>AF31/AF33</f>
        <v>-0.30253468555195223</v>
      </c>
      <c r="AG43" s="86">
        <f>AG31/AG33</f>
        <v>-147.839228728552</v>
      </c>
      <c r="AH43" s="86">
        <f>AH31/AH33</f>
        <v>-163.26889134845564</v>
      </c>
      <c r="AI43" s="86">
        <f>AI31/AI33</f>
        <v>326.83053537749174</v>
      </c>
      <c r="AJ43" s="86">
        <f>AJ31/AJ33</f>
        <v>83.461204904817052</v>
      </c>
      <c r="AK43" s="86">
        <f>AK31/AK33</f>
        <v>-6.8333432537523953</v>
      </c>
      <c r="AL43" s="86">
        <f>AL31/AL33</f>
        <v>-38.353375684703146</v>
      </c>
      <c r="AM43" s="86">
        <f>AM31/AM33</f>
        <v>107.28892111189903</v>
      </c>
      <c r="AN43" s="86">
        <f>AN31/AN33</f>
        <v>-249.36827632619486</v>
      </c>
      <c r="AO43" s="86">
        <f>AO31/AO33</f>
        <v>-351.7175360537002</v>
      </c>
      <c r="AP43" s="86">
        <f>AP31/AP33</f>
        <v>-100.59559796208073</v>
      </c>
      <c r="AQ43" s="86">
        <f>AQ31/AQ33</f>
        <v>-264.59867581070341</v>
      </c>
    </row>
    <row r="44" spans="1:47" ht="15" customHeight="1">
      <c r="A44" s="148"/>
      <c r="B44" s="147" t="s">
        <v>180</v>
      </c>
      <c r="C44" s="154" t="s">
        <v>115</v>
      </c>
      <c r="D44" s="86">
        <f>D32/D33</f>
        <v>517.44137062862137</v>
      </c>
      <c r="E44" s="86">
        <f>E32/E33</f>
        <v>490.69854298372945</v>
      </c>
      <c r="F44" s="86">
        <f>F32/F33</f>
        <v>273.5909071729937</v>
      </c>
      <c r="G44" s="86">
        <f>G32/G33</f>
        <v>521.63558068366672</v>
      </c>
      <c r="H44" s="86">
        <f>H32/H33</f>
        <v>455.90461869964309</v>
      </c>
      <c r="I44" s="86">
        <f>I32/I33</f>
        <v>492.71019948735096</v>
      </c>
      <c r="J44" s="86">
        <f>J32/J33</f>
        <v>517.40125399373142</v>
      </c>
      <c r="K44" s="86">
        <f>K32/K33</f>
        <v>519.38624611340833</v>
      </c>
      <c r="L44" s="86">
        <f>L32/L33</f>
        <v>529.42698941875631</v>
      </c>
      <c r="M44" s="86">
        <f>M32/M33</f>
        <v>572.26836913587863</v>
      </c>
      <c r="N44" s="86" t="e">
        <f>N32/N33</f>
        <v>#DIV/0!</v>
      </c>
      <c r="O44" s="86" t="e">
        <f>O32/O33</f>
        <v>#DIV/0!</v>
      </c>
      <c r="P44" s="86" t="e">
        <f>P32/P33</f>
        <v>#DIV/0!</v>
      </c>
      <c r="Q44" s="86" t="e">
        <f>Q32/Q33</f>
        <v>#DIV/0!</v>
      </c>
      <c r="R44" s="86">
        <f>R32/R33</f>
        <v>459.05383065061409</v>
      </c>
      <c r="S44" s="86">
        <f>S32/S33</f>
        <v>485.3418188894629</v>
      </c>
      <c r="T44" s="86">
        <f>T32/T33</f>
        <v>515.1326933097298</v>
      </c>
      <c r="U44" s="86">
        <f>U32/U33</f>
        <v>520.41003619447849</v>
      </c>
      <c r="V44" s="86">
        <f>V32/V33</f>
        <v>423.91962962962958</v>
      </c>
      <c r="W44" s="86">
        <f>W32/W33</f>
        <v>499.49069761698564</v>
      </c>
      <c r="X44" s="86">
        <f>X32/X33</f>
        <v>529.60245019920319</v>
      </c>
      <c r="Y44" s="86">
        <f>Y32/Y33</f>
        <v>475.2079072734964</v>
      </c>
      <c r="Z44" s="86">
        <f>Z32/Z33</f>
        <v>515.69975885735482</v>
      </c>
      <c r="AA44" s="86">
        <f>AA32/AA33</f>
        <v>488.32727272727277</v>
      </c>
      <c r="AB44" s="86">
        <f>AB32/AB33</f>
        <v>460.09866666666585</v>
      </c>
      <c r="AC44" s="86">
        <f>AC32/AC33</f>
        <v>537.78466587112166</v>
      </c>
      <c r="AD44" s="86">
        <f>AD32/AD33</f>
        <v>486.89637367915464</v>
      </c>
      <c r="AE44" s="86">
        <f>AE32/AE33</f>
        <v>517.5153687405159</v>
      </c>
      <c r="AF44" s="86">
        <f>AF32/AF33</f>
        <v>530.91588645417835</v>
      </c>
      <c r="AG44" s="86">
        <f>AG32/AG33</f>
        <v>585.78880796436738</v>
      </c>
      <c r="AH44" s="86">
        <f>AH32/AH33</f>
        <v>504.70192594310606</v>
      </c>
      <c r="AI44" s="86">
        <f>AI32/AI33</f>
        <v>559.08794680149265</v>
      </c>
      <c r="AJ44" s="86">
        <f>AJ32/AJ33</f>
        <v>566.04080174927117</v>
      </c>
      <c r="AK44" s="86">
        <f>AK32/AK33</f>
        <v>563.31616766467073</v>
      </c>
      <c r="AL44" s="86">
        <f>AL32/AL33</f>
        <v>546.34094792416602</v>
      </c>
      <c r="AM44" s="86">
        <f>AM32/AM33</f>
        <v>558.13742187499997</v>
      </c>
      <c r="AN44" s="86">
        <f>AN32/AN33</f>
        <v>481.60747899159401</v>
      </c>
      <c r="AO44" s="86">
        <f>AO32/AO33</f>
        <v>499.66144763860268</v>
      </c>
      <c r="AP44" s="86">
        <f>AP32/AP33</f>
        <v>496.22722879177326</v>
      </c>
      <c r="AQ44" s="86">
        <f>AQ32/AQ33</f>
        <v>535.49638009912121</v>
      </c>
    </row>
    <row r="45" spans="1:47" ht="15" customHeight="1"/>
    <row r="46" spans="1:47" ht="15" customHeight="1">
      <c r="C46" s="76" t="s">
        <v>121</v>
      </c>
    </row>
    <row r="47" spans="1:47" ht="15" customHeight="1">
      <c r="B47" s="145" t="s">
        <v>181</v>
      </c>
      <c r="C47" s="162" t="s">
        <v>106</v>
      </c>
      <c r="D47" s="164"/>
      <c r="E47" s="190" t="str">
        <f>IF(E13&lt;&gt;"",E13,"")</f>
        <v>58081GA0010005</v>
      </c>
      <c r="F47" s="190" t="str">
        <f>IF(F13&lt;&gt;"",F13,"")</f>
        <v>58081GA0010011</v>
      </c>
      <c r="G47" s="190" t="str">
        <f>IF(G13&lt;&gt;"",G13,"")</f>
        <v>58081GA0010015</v>
      </c>
      <c r="H47" s="190" t="str">
        <f>IF(H13&lt;&gt;"",H13,"")</f>
        <v>58081GA0010021</v>
      </c>
      <c r="I47" s="190" t="str">
        <f>IF(I13&lt;&gt;"",I13,"")</f>
        <v>58081GA0010024</v>
      </c>
      <c r="J47" s="190" t="str">
        <f>IF(J13&lt;&gt;"",J13,"")</f>
        <v>58081GA0010025</v>
      </c>
      <c r="K47" s="190" t="str">
        <f>IF(K13&lt;&gt;"",K13,"")</f>
        <v>58081GA0010030</v>
      </c>
      <c r="L47" s="190" t="str">
        <f>IF(L13&lt;&gt;"",L13,"")</f>
        <v>58081GA0010035</v>
      </c>
      <c r="M47" s="190" t="str">
        <f>IF(M13&lt;&gt;"",M13,"")</f>
        <v>58081GA0010045</v>
      </c>
      <c r="N47" s="190" t="str">
        <f>IF(N13&lt;&gt;"",N13,"")</f>
        <v>58081GA0010050</v>
      </c>
      <c r="O47" s="190" t="str">
        <f>IF(O13&lt;&gt;"",O13,"")</f>
        <v>58081GA0010051</v>
      </c>
      <c r="P47" s="190" t="str">
        <f>IF(P13&lt;&gt;"",P13,"")</f>
        <v>58081GA0010052</v>
      </c>
      <c r="Q47" s="190" t="str">
        <f>IF(Q13&lt;&gt;"",Q13,"")</f>
        <v>58081GA0010053</v>
      </c>
      <c r="R47" s="190" t="str">
        <f>IF(R13&lt;&gt;"",R13,"")</f>
        <v>58081GA0010002</v>
      </c>
      <c r="S47" s="190" t="str">
        <f>IF(S13&lt;&gt;"",S13,"")</f>
        <v>58081GA0010003</v>
      </c>
      <c r="T47" s="190" t="str">
        <f>IF(T13&lt;&gt;"",T13,"")</f>
        <v>58081GA0010006</v>
      </c>
      <c r="U47" s="190" t="str">
        <f>IF(U13&lt;&gt;"",U13,"")</f>
        <v>58081GA0010008</v>
      </c>
      <c r="V47" s="190" t="str">
        <f>IF(V13&lt;&gt;"",V13,"")</f>
        <v>58081GA0010010</v>
      </c>
      <c r="W47" s="190" t="str">
        <f>IF(W13&lt;&gt;"",W13,"")</f>
        <v>58081GA0010012</v>
      </c>
      <c r="X47" s="190" t="str">
        <f>IF(X13&lt;&gt;"",X13,"")</f>
        <v>58081GA0010013</v>
      </c>
      <c r="Y47" s="190" t="str">
        <f>IF(Y13&lt;&gt;"",Y13,"")</f>
        <v>58081GA0010014</v>
      </c>
      <c r="Z47" s="190" t="str">
        <f>IF(Z13&lt;&gt;"",Z13,"")</f>
        <v>58081GA0010017</v>
      </c>
      <c r="AA47" s="190" t="str">
        <f>IF(AA13&lt;&gt;"",AA13,"")</f>
        <v>58081GA0010018</v>
      </c>
      <c r="AB47" s="190" t="str">
        <f>IF(AB13&lt;&gt;"",AB13,"")</f>
        <v>58081GA0010019</v>
      </c>
      <c r="AC47" s="190" t="str">
        <f>IF(AC13&lt;&gt;"",AC13,"")</f>
        <v>58081GA0010020</v>
      </c>
      <c r="AD47" s="190" t="str">
        <f>IF(AD13&lt;&gt;"",AD13,"")</f>
        <v>58081GA0010022</v>
      </c>
      <c r="AE47" s="190" t="str">
        <f>IF(AE13&lt;&gt;"",AE13,"")</f>
        <v>58081GA0010023</v>
      </c>
      <c r="AF47" s="190" t="str">
        <f>IF(AF13&lt;&gt;"",AF13,"")</f>
        <v>58081GA0010026</v>
      </c>
      <c r="AG47" s="190" t="str">
        <f>IF(AG13&lt;&gt;"",AG13,"")</f>
        <v>58081GA0010027</v>
      </c>
      <c r="AH47" s="190" t="str">
        <f>IF(AH13&lt;&gt;"",AH13,"")</f>
        <v>58081GA0010028</v>
      </c>
      <c r="AI47" s="190" t="str">
        <f>IF(AI13&lt;&gt;"",AI13,"")</f>
        <v>58081GA0010029</v>
      </c>
      <c r="AJ47" s="190" t="str">
        <f>IF(AJ13&lt;&gt;"",AJ13,"")</f>
        <v>58081GA0010033</v>
      </c>
      <c r="AK47" s="190" t="str">
        <f>IF(AK13&lt;&gt;"",AK13,"")</f>
        <v>58081GA0010034</v>
      </c>
      <c r="AL47" s="190" t="str">
        <f>IF(AL13&lt;&gt;"",AL13,"")</f>
        <v>58081GA0010036</v>
      </c>
      <c r="AM47" s="190" t="str">
        <f>IF(AM13&lt;&gt;"",AM13,"")</f>
        <v>58081GA0010037</v>
      </c>
      <c r="AN47" s="190" t="str">
        <f>IF(AN13&lt;&gt;"",AN13,"")</f>
        <v>58081GA0010038</v>
      </c>
      <c r="AO47" s="190" t="str">
        <f>IF(AO13&lt;&gt;"",AO13,"")</f>
        <v>58081GA0010040</v>
      </c>
      <c r="AP47" s="190" t="str">
        <f>IF(AP13&lt;&gt;"",AP13,"")</f>
        <v>58081GA0010041</v>
      </c>
      <c r="AQ47" s="190" t="str">
        <f>IF(AQ13&lt;&gt;"",AQ13,"")</f>
        <v>58081GA0010042</v>
      </c>
    </row>
    <row r="48" spans="1:47" ht="15" customHeight="1">
      <c r="B48" s="145" t="s">
        <v>182</v>
      </c>
      <c r="C48" s="162" t="s">
        <v>122</v>
      </c>
      <c r="D48" s="165"/>
      <c r="E48" s="272">
        <f>'Wksh 1 - Market Experience'!F46</f>
        <v>547.38103936925881</v>
      </c>
      <c r="F48" s="273"/>
      <c r="G48" s="273"/>
      <c r="H48" s="273"/>
      <c r="I48" s="273"/>
      <c r="J48" s="273"/>
      <c r="K48" s="273"/>
      <c r="L48" s="273"/>
      <c r="M48" s="273"/>
      <c r="N48" s="273"/>
      <c r="O48" s="273"/>
      <c r="P48" s="273"/>
      <c r="Q48" s="273"/>
      <c r="R48" s="273"/>
      <c r="S48" s="273"/>
      <c r="T48" s="273"/>
      <c r="U48" s="273"/>
      <c r="V48" s="273"/>
      <c r="W48" s="273"/>
      <c r="X48" s="273"/>
      <c r="Y48" s="273"/>
      <c r="Z48" s="273"/>
      <c r="AA48" s="273"/>
      <c r="AB48" s="273"/>
      <c r="AC48" s="273"/>
      <c r="AD48" s="273"/>
      <c r="AE48" s="273"/>
      <c r="AF48" s="273"/>
      <c r="AG48" s="273"/>
      <c r="AH48" s="273"/>
      <c r="AI48" s="273"/>
      <c r="AJ48" s="273"/>
      <c r="AK48" s="273"/>
      <c r="AL48" s="273"/>
      <c r="AM48" s="273"/>
      <c r="AN48" s="273"/>
      <c r="AO48" s="273"/>
      <c r="AP48" s="273"/>
      <c r="AQ48" s="271"/>
    </row>
    <row r="49" spans="2:43" ht="15" customHeight="1">
      <c r="B49" s="145" t="s">
        <v>183</v>
      </c>
      <c r="C49" s="162" t="s">
        <v>123</v>
      </c>
      <c r="D49" s="165"/>
      <c r="E49" s="192">
        <v>0.78972315343066901</v>
      </c>
      <c r="F49" s="192">
        <v>0.61673887416960604</v>
      </c>
      <c r="G49" s="192">
        <v>0.91748702666554705</v>
      </c>
      <c r="H49" s="192">
        <v>0.70644203842856301</v>
      </c>
      <c r="I49" s="192">
        <v>0.71406116042333301</v>
      </c>
      <c r="J49" s="192">
        <v>0.903047651993092</v>
      </c>
      <c r="K49" s="192">
        <v>0.93892553919984001</v>
      </c>
      <c r="L49" s="192">
        <v>1.09588595704654</v>
      </c>
      <c r="M49" s="192">
        <v>0.919833926683156</v>
      </c>
      <c r="N49" s="192">
        <v>0.69929804597749801</v>
      </c>
      <c r="O49" s="192">
        <v>0.61932922865080697</v>
      </c>
      <c r="P49" s="192">
        <v>0.90415771294255498</v>
      </c>
      <c r="Q49" s="192">
        <v>0.94869210025931205</v>
      </c>
      <c r="R49" s="192">
        <v>0.69743574311251499</v>
      </c>
      <c r="S49" s="192">
        <v>0.68367013245387898</v>
      </c>
      <c r="T49" s="192">
        <v>0.92702150725843402</v>
      </c>
      <c r="U49" s="192">
        <v>0.91538029982760105</v>
      </c>
      <c r="V49" s="192">
        <v>0.79935575279062798</v>
      </c>
      <c r="W49" s="192">
        <v>0.82195553061733095</v>
      </c>
      <c r="X49" s="192">
        <v>1.0228977599297899</v>
      </c>
      <c r="Y49" s="192">
        <v>0.72563580611869105</v>
      </c>
      <c r="Z49" s="192">
        <v>0.96135523393899103</v>
      </c>
      <c r="AA49" s="192">
        <v>0.79807193097486395</v>
      </c>
      <c r="AB49" s="192">
        <v>0.86481601761327398</v>
      </c>
      <c r="AC49" s="192">
        <v>1.0483511316927501</v>
      </c>
      <c r="AD49" s="192">
        <v>0.80052701679788796</v>
      </c>
      <c r="AE49" s="192">
        <v>0.80063271432632599</v>
      </c>
      <c r="AF49" s="192">
        <v>0.94897586245518994</v>
      </c>
      <c r="AG49" s="192">
        <v>0.92661090511174105</v>
      </c>
      <c r="AH49" s="192">
        <v>0.94928278150505896</v>
      </c>
      <c r="AI49" s="192">
        <v>0.93120865955103604</v>
      </c>
      <c r="AJ49" s="192">
        <v>1.01154499782691</v>
      </c>
      <c r="AK49" s="192">
        <v>1.0242234540906801</v>
      </c>
      <c r="AL49" s="192">
        <v>1.0543535077018</v>
      </c>
      <c r="AM49" s="192">
        <v>0.88259425674231495</v>
      </c>
      <c r="AN49" s="192">
        <v>0.82761642357757603</v>
      </c>
      <c r="AO49" s="192">
        <v>0.80678384709728101</v>
      </c>
      <c r="AP49" s="192">
        <v>0.82493848360154798</v>
      </c>
      <c r="AQ49" s="192">
        <v>0.81497706645525503</v>
      </c>
    </row>
    <row r="50" spans="2:43" ht="15" customHeight="1">
      <c r="B50" s="145" t="s">
        <v>184</v>
      </c>
      <c r="C50" s="162" t="s">
        <v>124</v>
      </c>
      <c r="D50" s="165"/>
      <c r="E50" s="192">
        <v>1</v>
      </c>
      <c r="F50" s="192">
        <v>1</v>
      </c>
      <c r="G50" s="192">
        <v>1</v>
      </c>
      <c r="H50" s="192">
        <v>1</v>
      </c>
      <c r="I50" s="192">
        <v>1</v>
      </c>
      <c r="J50" s="192">
        <v>1</v>
      </c>
      <c r="K50" s="192">
        <v>1</v>
      </c>
      <c r="L50" s="192">
        <v>1</v>
      </c>
      <c r="M50" s="192">
        <v>1</v>
      </c>
      <c r="N50" s="192">
        <v>1</v>
      </c>
      <c r="O50" s="192">
        <v>1</v>
      </c>
      <c r="P50" s="192">
        <v>1</v>
      </c>
      <c r="Q50" s="192">
        <v>1</v>
      </c>
      <c r="R50" s="192">
        <v>1</v>
      </c>
      <c r="S50" s="192">
        <v>1</v>
      </c>
      <c r="T50" s="192">
        <v>1</v>
      </c>
      <c r="U50" s="192">
        <v>1</v>
      </c>
      <c r="V50" s="192">
        <v>1</v>
      </c>
      <c r="W50" s="192">
        <v>1</v>
      </c>
      <c r="X50" s="192">
        <v>1</v>
      </c>
      <c r="Y50" s="192">
        <v>1</v>
      </c>
      <c r="Z50" s="192">
        <v>1</v>
      </c>
      <c r="AA50" s="192">
        <v>1</v>
      </c>
      <c r="AB50" s="192">
        <v>1</v>
      </c>
      <c r="AC50" s="192">
        <v>1</v>
      </c>
      <c r="AD50" s="192">
        <v>1</v>
      </c>
      <c r="AE50" s="192">
        <v>1</v>
      </c>
      <c r="AF50" s="192">
        <v>1</v>
      </c>
      <c r="AG50" s="192">
        <v>1</v>
      </c>
      <c r="AH50" s="192">
        <v>1</v>
      </c>
      <c r="AI50" s="192">
        <v>1</v>
      </c>
      <c r="AJ50" s="192">
        <v>1</v>
      </c>
      <c r="AK50" s="192">
        <v>1</v>
      </c>
      <c r="AL50" s="192">
        <v>1</v>
      </c>
      <c r="AM50" s="192">
        <v>1</v>
      </c>
      <c r="AN50" s="192">
        <v>1</v>
      </c>
      <c r="AO50" s="192">
        <v>1</v>
      </c>
      <c r="AP50" s="192">
        <v>1</v>
      </c>
      <c r="AQ50" s="192">
        <v>1</v>
      </c>
    </row>
    <row r="51" spans="2:43" ht="15" customHeight="1">
      <c r="B51" s="147" t="s">
        <v>185</v>
      </c>
      <c r="C51" s="163" t="s">
        <v>125</v>
      </c>
      <c r="D51" s="166"/>
      <c r="E51" s="192">
        <v>1</v>
      </c>
      <c r="F51" s="192">
        <v>1</v>
      </c>
      <c r="G51" s="192">
        <v>1</v>
      </c>
      <c r="H51" s="192">
        <v>1</v>
      </c>
      <c r="I51" s="192">
        <v>1</v>
      </c>
      <c r="J51" s="192">
        <v>1</v>
      </c>
      <c r="K51" s="192">
        <v>1</v>
      </c>
      <c r="L51" s="192">
        <v>1</v>
      </c>
      <c r="M51" s="192">
        <v>1</v>
      </c>
      <c r="N51" s="192">
        <v>1</v>
      </c>
      <c r="O51" s="192">
        <v>1</v>
      </c>
      <c r="P51" s="192">
        <v>1</v>
      </c>
      <c r="Q51" s="192">
        <v>1</v>
      </c>
      <c r="R51" s="192">
        <v>1</v>
      </c>
      <c r="S51" s="192">
        <v>1</v>
      </c>
      <c r="T51" s="192">
        <v>1</v>
      </c>
      <c r="U51" s="192">
        <v>1</v>
      </c>
      <c r="V51" s="192">
        <v>1</v>
      </c>
      <c r="W51" s="192">
        <v>1</v>
      </c>
      <c r="X51" s="192">
        <v>1</v>
      </c>
      <c r="Y51" s="192">
        <v>1</v>
      </c>
      <c r="Z51" s="192">
        <v>1</v>
      </c>
      <c r="AA51" s="192">
        <v>1</v>
      </c>
      <c r="AB51" s="192">
        <v>1</v>
      </c>
      <c r="AC51" s="192">
        <v>1</v>
      </c>
      <c r="AD51" s="192">
        <v>1</v>
      </c>
      <c r="AE51" s="192">
        <v>1</v>
      </c>
      <c r="AF51" s="192">
        <v>1</v>
      </c>
      <c r="AG51" s="192">
        <v>1</v>
      </c>
      <c r="AH51" s="192">
        <v>1</v>
      </c>
      <c r="AI51" s="192">
        <v>1</v>
      </c>
      <c r="AJ51" s="192">
        <v>1</v>
      </c>
      <c r="AK51" s="192">
        <v>1</v>
      </c>
      <c r="AL51" s="192">
        <v>1</v>
      </c>
      <c r="AM51" s="192">
        <v>1</v>
      </c>
      <c r="AN51" s="192">
        <v>1</v>
      </c>
      <c r="AO51" s="192">
        <v>1</v>
      </c>
      <c r="AP51" s="192">
        <v>1</v>
      </c>
      <c r="AQ51" s="192">
        <v>1</v>
      </c>
    </row>
    <row r="52" spans="2:43" ht="15" customHeight="1">
      <c r="C52" s="77" t="s">
        <v>133</v>
      </c>
    </row>
    <row r="53" spans="2:43" ht="15" customHeight="1">
      <c r="B53" s="145" t="s">
        <v>186</v>
      </c>
      <c r="C53" s="171" t="s">
        <v>134</v>
      </c>
      <c r="D53" s="164"/>
      <c r="E53" s="195">
        <v>0.100918507227459</v>
      </c>
      <c r="F53" s="195">
        <v>0.12705382054185199</v>
      </c>
      <c r="G53" s="195">
        <v>0.106406863882035</v>
      </c>
      <c r="H53" s="195">
        <v>0.10849988032329</v>
      </c>
      <c r="I53" s="195">
        <v>0.107739541041939</v>
      </c>
      <c r="J53" s="195">
        <v>0.107375702075625</v>
      </c>
      <c r="K53" s="195">
        <v>0.10501944522053699</v>
      </c>
      <c r="L53" s="195">
        <v>9.6412939137326195E-2</v>
      </c>
      <c r="M53" s="195">
        <v>0.106252058544829</v>
      </c>
      <c r="N53" s="195">
        <v>0.109226446802733</v>
      </c>
      <c r="O53" s="195">
        <v>0.11838404396885201</v>
      </c>
      <c r="P53" s="195">
        <v>0.107300203538434</v>
      </c>
      <c r="Q53" s="195">
        <v>0.10440671014563201</v>
      </c>
      <c r="R53" s="195">
        <v>0.109418065209476</v>
      </c>
      <c r="S53" s="195">
        <v>0.11086373766329199</v>
      </c>
      <c r="T53" s="195">
        <v>0.105782477864726</v>
      </c>
      <c r="U53" s="195">
        <v>0.106546453671835</v>
      </c>
      <c r="V53" s="195">
        <v>0.115276113503205</v>
      </c>
      <c r="W53" s="195">
        <v>9.8363340221518603E-2</v>
      </c>
      <c r="X53" s="195">
        <v>0.100108173105284</v>
      </c>
      <c r="Y53" s="195">
        <v>0.106612253554947</v>
      </c>
      <c r="Z53" s="195">
        <v>0.10362949051556899</v>
      </c>
      <c r="AA53" s="195">
        <v>0.115385728239897</v>
      </c>
      <c r="AB53" s="195">
        <v>0.11008512191363801</v>
      </c>
      <c r="AC53" s="195">
        <v>9.8764859024021906E-2</v>
      </c>
      <c r="AD53" s="195">
        <v>0.100041020520909</v>
      </c>
      <c r="AE53" s="195">
        <v>0.10003254309701699</v>
      </c>
      <c r="AF53" s="195">
        <v>0.104389082667024</v>
      </c>
      <c r="AG53" s="195">
        <v>0.105809121408822</v>
      </c>
      <c r="AH53" s="195">
        <v>0.10437002769564301</v>
      </c>
      <c r="AI53" s="195">
        <v>0.10551202288082701</v>
      </c>
      <c r="AJ53" s="195">
        <v>0.100727668673502</v>
      </c>
      <c r="AK53" s="195">
        <v>0.100036669349756</v>
      </c>
      <c r="AL53" s="195">
        <v>9.8456925736201698E-2</v>
      </c>
      <c r="AM53" s="195">
        <v>0.10879821483325899</v>
      </c>
      <c r="AN53" s="195">
        <v>9.7933480478378798E-2</v>
      </c>
      <c r="AO53" s="195">
        <v>9.9542705928544001E-2</v>
      </c>
      <c r="AP53" s="195">
        <v>9.8136153652667701E-2</v>
      </c>
      <c r="AQ53" s="195">
        <v>9.8900799065318401E-2</v>
      </c>
    </row>
    <row r="54" spans="2:43" ht="15" customHeight="1">
      <c r="B54" s="145" t="s">
        <v>187</v>
      </c>
      <c r="C54" s="171" t="s">
        <v>135</v>
      </c>
      <c r="D54" s="165"/>
      <c r="E54" s="195">
        <v>3.4881811643115102E-2</v>
      </c>
      <c r="F54" s="195">
        <v>3.4881811643115102E-2</v>
      </c>
      <c r="G54" s="195">
        <v>3.4881811643115102E-2</v>
      </c>
      <c r="H54" s="195">
        <v>3.4881811643115102E-2</v>
      </c>
      <c r="I54" s="195">
        <v>3.4881811643115102E-2</v>
      </c>
      <c r="J54" s="195">
        <v>3.4881811643115102E-2</v>
      </c>
      <c r="K54" s="195">
        <v>3.4881811643115102E-2</v>
      </c>
      <c r="L54" s="195">
        <v>3.4881811643115102E-2</v>
      </c>
      <c r="M54" s="195">
        <v>3.4881811643115102E-2</v>
      </c>
      <c r="N54" s="195">
        <v>3.4881811643115102E-2</v>
      </c>
      <c r="O54" s="195">
        <v>3.4881811643115102E-2</v>
      </c>
      <c r="P54" s="195">
        <v>3.4881811643115102E-2</v>
      </c>
      <c r="Q54" s="195">
        <v>3.4881811643115102E-2</v>
      </c>
      <c r="R54" s="195">
        <v>3.4881811643115102E-2</v>
      </c>
      <c r="S54" s="195">
        <v>3.4881811643115102E-2</v>
      </c>
      <c r="T54" s="195">
        <v>3.4881811643115102E-2</v>
      </c>
      <c r="U54" s="195">
        <v>3.4881811643115102E-2</v>
      </c>
      <c r="V54" s="195">
        <v>3.4881811643115102E-2</v>
      </c>
      <c r="W54" s="195">
        <v>3.4881811643115102E-2</v>
      </c>
      <c r="X54" s="195">
        <v>3.4881811643115102E-2</v>
      </c>
      <c r="Y54" s="195">
        <v>3.4881811643115102E-2</v>
      </c>
      <c r="Z54" s="195">
        <v>3.4881811643115102E-2</v>
      </c>
      <c r="AA54" s="195">
        <v>3.4881811643115102E-2</v>
      </c>
      <c r="AB54" s="195">
        <v>3.4881811643115102E-2</v>
      </c>
      <c r="AC54" s="195">
        <v>3.4881811643115102E-2</v>
      </c>
      <c r="AD54" s="195">
        <v>3.4881811643115102E-2</v>
      </c>
      <c r="AE54" s="195">
        <v>3.4881811643115102E-2</v>
      </c>
      <c r="AF54" s="195">
        <v>3.4881811643115102E-2</v>
      </c>
      <c r="AG54" s="195">
        <v>3.4881811643115102E-2</v>
      </c>
      <c r="AH54" s="195">
        <v>3.4881811643115102E-2</v>
      </c>
      <c r="AI54" s="195">
        <v>3.4881811643115102E-2</v>
      </c>
      <c r="AJ54" s="195">
        <v>3.4881811643115102E-2</v>
      </c>
      <c r="AK54" s="195">
        <v>3.4881811643115102E-2</v>
      </c>
      <c r="AL54" s="195">
        <v>3.4881811643115102E-2</v>
      </c>
      <c r="AM54" s="195">
        <v>3.4881811643115102E-2</v>
      </c>
      <c r="AN54" s="195">
        <v>3.4881811643115102E-2</v>
      </c>
      <c r="AO54" s="195">
        <v>3.4881811643115102E-2</v>
      </c>
      <c r="AP54" s="195">
        <v>3.4881811643115102E-2</v>
      </c>
      <c r="AQ54" s="195">
        <v>3.4881811643115102E-2</v>
      </c>
    </row>
    <row r="55" spans="2:43" ht="15" customHeight="1">
      <c r="B55" s="145" t="s">
        <v>188</v>
      </c>
      <c r="C55" s="171" t="s">
        <v>12</v>
      </c>
      <c r="D55" s="165"/>
      <c r="E55" s="195">
        <v>8.9000000000000107E-2</v>
      </c>
      <c r="F55" s="195">
        <v>8.9000000000000107E-2</v>
      </c>
      <c r="G55" s="195">
        <v>2.7300000000000098E-2</v>
      </c>
      <c r="H55" s="195">
        <v>8.9000000000000107E-2</v>
      </c>
      <c r="I55" s="195">
        <v>8.9000000000000107E-2</v>
      </c>
      <c r="J55" s="195">
        <v>2.7300000000000098E-2</v>
      </c>
      <c r="K55" s="195">
        <v>2.7300000000000098E-2</v>
      </c>
      <c r="L55" s="195">
        <v>2.7300000000000098E-2</v>
      </c>
      <c r="M55" s="195">
        <v>2.7300000000000098E-2</v>
      </c>
      <c r="N55" s="195">
        <v>8.9000000000000107E-2</v>
      </c>
      <c r="O55" s="195">
        <v>8.9000000000000107E-2</v>
      </c>
      <c r="P55" s="195">
        <v>2.7300000000000098E-2</v>
      </c>
      <c r="Q55" s="195">
        <v>2.7300000000000098E-2</v>
      </c>
      <c r="R55" s="195">
        <v>8.9000000000000107E-2</v>
      </c>
      <c r="S55" s="195">
        <v>8.9000000000000107E-2</v>
      </c>
      <c r="T55" s="195">
        <v>2.7300000000000098E-2</v>
      </c>
      <c r="U55" s="195">
        <v>2.7300000000000098E-2</v>
      </c>
      <c r="V55" s="195">
        <v>2.7300000000000098E-2</v>
      </c>
      <c r="W55" s="195">
        <v>8.9000000000000107E-2</v>
      </c>
      <c r="X55" s="195">
        <v>2.7300000000000098E-2</v>
      </c>
      <c r="Y55" s="195">
        <v>8.9000000000000107E-2</v>
      </c>
      <c r="Z55" s="195">
        <v>2.7300000000000098E-2</v>
      </c>
      <c r="AA55" s="195">
        <v>2.7300000000000098E-2</v>
      </c>
      <c r="AB55" s="195">
        <v>2.7300000000000098E-2</v>
      </c>
      <c r="AC55" s="195">
        <v>2.7300000000000098E-2</v>
      </c>
      <c r="AD55" s="195">
        <v>8.9000000000000107E-2</v>
      </c>
      <c r="AE55" s="195">
        <v>8.9000000000000107E-2</v>
      </c>
      <c r="AF55" s="195">
        <v>2.7300000000000098E-2</v>
      </c>
      <c r="AG55" s="195">
        <v>2.7300000000000098E-2</v>
      </c>
      <c r="AH55" s="195">
        <v>2.7300000000000098E-2</v>
      </c>
      <c r="AI55" s="195">
        <v>2.7300000000000098E-2</v>
      </c>
      <c r="AJ55" s="195">
        <v>2.7300000000000098E-2</v>
      </c>
      <c r="AK55" s="195">
        <v>2.7300000000000098E-2</v>
      </c>
      <c r="AL55" s="195">
        <v>2.7300000000000098E-2</v>
      </c>
      <c r="AM55" s="195">
        <v>2.7300000000000098E-2</v>
      </c>
      <c r="AN55" s="195">
        <v>8.9000000000000107E-2</v>
      </c>
      <c r="AO55" s="195">
        <v>8.9000000000000107E-2</v>
      </c>
      <c r="AP55" s="195">
        <v>8.9000000000000107E-2</v>
      </c>
      <c r="AQ55" s="195">
        <v>8.9000000000000107E-2</v>
      </c>
    </row>
    <row r="56" spans="2:43" ht="15" customHeight="1">
      <c r="B56" s="145" t="s">
        <v>189</v>
      </c>
      <c r="C56" s="162" t="s">
        <v>126</v>
      </c>
      <c r="D56" s="165"/>
      <c r="E56" s="192">
        <v>1</v>
      </c>
      <c r="F56" s="192">
        <v>0.90400000000000003</v>
      </c>
      <c r="G56" s="192">
        <v>1</v>
      </c>
      <c r="H56" s="192">
        <v>1</v>
      </c>
      <c r="I56" s="192">
        <v>1</v>
      </c>
      <c r="J56" s="192">
        <v>1</v>
      </c>
      <c r="K56" s="192">
        <v>1</v>
      </c>
      <c r="L56" s="192">
        <v>1</v>
      </c>
      <c r="M56" s="192">
        <v>1</v>
      </c>
      <c r="N56" s="192">
        <v>1</v>
      </c>
      <c r="O56" s="192">
        <v>1</v>
      </c>
      <c r="P56" s="192">
        <v>1</v>
      </c>
      <c r="Q56" s="192">
        <v>1</v>
      </c>
      <c r="R56" s="192">
        <v>1</v>
      </c>
      <c r="S56" s="192">
        <v>1</v>
      </c>
      <c r="T56" s="192">
        <v>1</v>
      </c>
      <c r="U56" s="192">
        <v>1</v>
      </c>
      <c r="V56" s="192">
        <v>1</v>
      </c>
      <c r="W56" s="192">
        <v>1</v>
      </c>
      <c r="X56" s="192">
        <v>1</v>
      </c>
      <c r="Y56" s="192">
        <v>1</v>
      </c>
      <c r="Z56" s="192">
        <v>1</v>
      </c>
      <c r="AA56" s="192">
        <v>1</v>
      </c>
      <c r="AB56" s="192">
        <v>1</v>
      </c>
      <c r="AC56" s="192">
        <v>1</v>
      </c>
      <c r="AD56" s="192">
        <v>1</v>
      </c>
      <c r="AE56" s="192">
        <v>1</v>
      </c>
      <c r="AF56" s="192">
        <v>1</v>
      </c>
      <c r="AG56" s="192">
        <v>1</v>
      </c>
      <c r="AH56" s="192">
        <v>1</v>
      </c>
      <c r="AI56" s="192">
        <v>1</v>
      </c>
      <c r="AJ56" s="192">
        <v>1</v>
      </c>
      <c r="AK56" s="192">
        <v>1</v>
      </c>
      <c r="AL56" s="192">
        <v>1</v>
      </c>
      <c r="AM56" s="192">
        <v>1</v>
      </c>
      <c r="AN56" s="192">
        <v>1</v>
      </c>
      <c r="AO56" s="192">
        <v>1</v>
      </c>
      <c r="AP56" s="192">
        <v>1</v>
      </c>
      <c r="AQ56" s="192">
        <v>1</v>
      </c>
    </row>
    <row r="57" spans="2:43" ht="15" customHeight="1">
      <c r="B57" s="147" t="s">
        <v>190</v>
      </c>
      <c r="C57" s="172" t="s">
        <v>79</v>
      </c>
      <c r="D57" s="166"/>
      <c r="E57" s="194">
        <f>($E$48*PRODUCT(E49:E51)*E56)/(1-SUM(E53:E55))</f>
        <v>557.63629818453921</v>
      </c>
      <c r="F57" s="194">
        <f>($E$48*PRODUCT(F49:F51)*F56)/(1-SUM(F53:F55))</f>
        <v>407.41814341028095</v>
      </c>
      <c r="G57" s="194">
        <f>($E$48*PRODUCT(G49:G51)*G56)/(1-SUM(G53:G55))</f>
        <v>604.05119280906558</v>
      </c>
      <c r="H57" s="194">
        <f>($E$48*PRODUCT(H49:H51)*H56)/(1-SUM(H53:H55))</f>
        <v>503.75684529952758</v>
      </c>
      <c r="I57" s="194">
        <f>($E$48*PRODUCT(I49:I51)*I56)/(1-SUM(I53:I55))</f>
        <v>508.68610356572617</v>
      </c>
      <c r="J57" s="194">
        <f>($E$48*PRODUCT(J49:J51)*J56)/(1-SUM(J53:J55))</f>
        <v>595.23828623157749</v>
      </c>
      <c r="K57" s="194">
        <f>($E$48*PRODUCT(K49:K51)*K56)/(1-SUM(K53:K55))</f>
        <v>617.1359428353569</v>
      </c>
      <c r="L57" s="194">
        <f>($E$48*PRODUCT(L49:L51)*L56)/(1-SUM(L53:L55))</f>
        <v>712.9349320731169</v>
      </c>
      <c r="M57" s="194">
        <f>($E$48*PRODUCT(M49:M51)*M56)/(1-SUM(M53:M55))</f>
        <v>605.48359629405502</v>
      </c>
      <c r="N57" s="194">
        <f>($E$48*PRODUCT(N49:N51)*N56)/(1-SUM(N53:N55))</f>
        <v>499.13497628794784</v>
      </c>
      <c r="O57" s="194">
        <f>($E$48*PRODUCT(O49:O51)*O56)/(1-SUM(O53:O55))</f>
        <v>447.39844363808265</v>
      </c>
      <c r="P57" s="194">
        <f>($E$48*PRODUCT(P49:P51)*P56)/(1-SUM(P53:P55))</f>
        <v>595.91579918936463</v>
      </c>
      <c r="Q57" s="194">
        <f>($E$48*PRODUCT(Q49:Q51)*Q56)/(1-SUM(Q53:Q55))</f>
        <v>623.09685126476791</v>
      </c>
      <c r="R57" s="194">
        <f>($E$48*PRODUCT(R49:R51)*R56)/(1-SUM(R53:R55))</f>
        <v>497.93014300168647</v>
      </c>
      <c r="S57" s="194">
        <f>($E$48*PRODUCT(S49:S51)*S56)/(1-SUM(S53:S55))</f>
        <v>489.02435960893706</v>
      </c>
      <c r="T57" s="194">
        <f>($E$48*PRODUCT(T49:T51)*T56)/(1-SUM(T53:T55))</f>
        <v>609.87045358981698</v>
      </c>
      <c r="U57" s="194">
        <f>($E$48*PRODUCT(U49:U51)*U56)/(1-SUM(U53:U55))</f>
        <v>602.76537626726486</v>
      </c>
      <c r="V57" s="194">
        <f>($E$48*PRODUCT(V49:V51)*V56)/(1-SUM(V53:V55))</f>
        <v>531.95112586327627</v>
      </c>
      <c r="W57" s="194">
        <f>($E$48*PRODUCT(W49:W51)*W56)/(1-SUM(W53:W55))</f>
        <v>578.48931928009961</v>
      </c>
      <c r="X57" s="194">
        <f>($E$48*PRODUCT(X49:X51)*X56)/(1-SUM(X53:X55))</f>
        <v>668.38742381597069</v>
      </c>
      <c r="Y57" s="194">
        <f>($E$48*PRODUCT(Y49:Y51)*Y56)/(1-SUM(Y53:Y55))</f>
        <v>516.17442282499587</v>
      </c>
      <c r="Z57" s="194">
        <f>($E$48*PRODUCT(Z49:Z51)*Z56)/(1-SUM(Z53:Z55))</f>
        <v>630.82564954231009</v>
      </c>
      <c r="AA57" s="194">
        <f>($E$48*PRODUCT(AA49:AA51)*AA56)/(1-SUM(AA53:AA55))</f>
        <v>531.16755995539415</v>
      </c>
      <c r="AB57" s="194">
        <f>($E$48*PRODUCT(AB49:AB51)*AB56)/(1-SUM(AB53:AB55))</f>
        <v>571.90404706007303</v>
      </c>
      <c r="AC57" s="194">
        <f>($E$48*PRODUCT(AC49:AC51)*AC56)/(1-SUM(AC53:AC55))</f>
        <v>683.92259708472454</v>
      </c>
      <c r="AD57" s="194">
        <f>($E$48*PRODUCT(AD49:AD51)*AD56)/(1-SUM(AD53:AD55))</f>
        <v>564.62595300911153</v>
      </c>
      <c r="AE57" s="194">
        <f>($E$48*PRODUCT(AE49:AE51)*AE56)/(1-SUM(AE53:AE55))</f>
        <v>564.69433495864916</v>
      </c>
      <c r="AF57" s="194">
        <f>($E$48*PRODUCT(AF49:AF51)*AF56)/(1-SUM(AF53:AF55))</f>
        <v>623.27004226363204</v>
      </c>
      <c r="AG57" s="194">
        <f>($E$48*PRODUCT(AG49:AG51)*AG56)/(1-SUM(AG53:AG55))</f>
        <v>609.61984728300604</v>
      </c>
      <c r="AH57" s="194">
        <f>($E$48*PRODUCT(AH49:AH51)*AH56)/(1-SUM(AH53:AH55))</f>
        <v>623.45736678250523</v>
      </c>
      <c r="AI57" s="194">
        <f>($E$48*PRODUCT(AI49:AI51)*AI56)/(1-SUM(AI53:AI55))</f>
        <v>612.42603392604963</v>
      </c>
      <c r="AJ57" s="194">
        <f>($E$48*PRODUCT(AJ49:AJ51)*AJ56)/(1-SUM(AJ53:AJ55))</f>
        <v>661.45839578818527</v>
      </c>
      <c r="AK57" s="194">
        <f>($E$48*PRODUCT(AK49:AK51)*AK56)/(1-SUM(AK53:AK55))</f>
        <v>669.19654602903483</v>
      </c>
      <c r="AL57" s="194">
        <f>($E$48*PRODUCT(AL49:AL51)*AL56)/(1-SUM(AL53:AL55))</f>
        <v>687.58607837880186</v>
      </c>
      <c r="AM57" s="194">
        <f>($E$48*PRODUCT(AM49:AM51)*AM56)/(1-SUM(AM53:AM55))</f>
        <v>582.75479123082766</v>
      </c>
      <c r="AN57" s="194">
        <f>($E$48*PRODUCT(AN49:AN51)*AN56)/(1-SUM(AN53:AN55))</f>
        <v>582.15168397743719</v>
      </c>
      <c r="AO57" s="194">
        <f>($E$48*PRODUCT(AO49:AO51)*AO56)/(1-SUM(AO53:AO55))</f>
        <v>568.67386463129753</v>
      </c>
      <c r="AP57" s="194">
        <f>($E$48*PRODUCT(AP49:AP51)*AP56)/(1-SUM(AP53:AP55))</f>
        <v>580.41916705852168</v>
      </c>
      <c r="AQ57" s="194">
        <f>($E$48*PRODUCT(AQ49:AQ51)*AQ56)/(1-SUM(AQ53:AQ55))</f>
        <v>573.97454025701859</v>
      </c>
    </row>
    <row r="58" spans="2:43" ht="15" customHeight="1"/>
    <row r="59" spans="2:43" ht="15" customHeight="1">
      <c r="B59" s="145" t="s">
        <v>191</v>
      </c>
      <c r="C59" s="155" t="s">
        <v>127</v>
      </c>
      <c r="D59" s="207">
        <v>0.61708280975523999</v>
      </c>
      <c r="E59" s="268">
        <f>IF(D59&lt;&gt;"", D59, "")</f>
        <v>0.61708280975523999</v>
      </c>
      <c r="F59" s="269"/>
      <c r="G59" s="269"/>
      <c r="H59" s="269"/>
      <c r="I59" s="269"/>
      <c r="J59" s="269"/>
      <c r="K59" s="269"/>
      <c r="L59" s="269"/>
      <c r="M59" s="269"/>
      <c r="N59" s="269"/>
      <c r="O59" s="269"/>
      <c r="P59" s="269"/>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70"/>
    </row>
    <row r="60" spans="2:43" ht="15" customHeight="1">
      <c r="B60" s="145" t="s">
        <v>192</v>
      </c>
      <c r="C60" s="155" t="s">
        <v>128</v>
      </c>
      <c r="D60" s="207">
        <v>1.0007348224432899</v>
      </c>
      <c r="E60" s="268">
        <f>IF(D60&lt;&gt;"", D60, "")</f>
        <v>1.0007348224432899</v>
      </c>
      <c r="F60" s="269"/>
      <c r="G60" s="269"/>
      <c r="H60" s="269"/>
      <c r="I60" s="269"/>
      <c r="J60" s="269"/>
      <c r="K60" s="269"/>
      <c r="L60" s="269"/>
      <c r="M60" s="269"/>
      <c r="N60" s="269"/>
      <c r="O60" s="269"/>
      <c r="P60" s="269"/>
      <c r="Q60" s="269"/>
      <c r="R60" s="269"/>
      <c r="S60" s="269"/>
      <c r="T60" s="269"/>
      <c r="U60" s="269"/>
      <c r="V60" s="269"/>
      <c r="W60" s="269"/>
      <c r="X60" s="269"/>
      <c r="Y60" s="269"/>
      <c r="Z60" s="269"/>
      <c r="AA60" s="269"/>
      <c r="AB60" s="269"/>
      <c r="AC60" s="269"/>
      <c r="AD60" s="269"/>
      <c r="AE60" s="269"/>
      <c r="AF60" s="269"/>
      <c r="AG60" s="269"/>
      <c r="AH60" s="269"/>
      <c r="AI60" s="269"/>
      <c r="AJ60" s="269"/>
      <c r="AK60" s="269"/>
      <c r="AL60" s="269"/>
      <c r="AM60" s="269"/>
      <c r="AN60" s="269"/>
      <c r="AO60" s="269"/>
      <c r="AP60" s="269"/>
      <c r="AQ60" s="270"/>
    </row>
    <row r="61" spans="2:43" ht="15" customHeight="1">
      <c r="B61" s="145" t="s">
        <v>193</v>
      </c>
      <c r="C61" s="155" t="s">
        <v>129</v>
      </c>
      <c r="D61" s="207">
        <v>0.99884296354520696</v>
      </c>
      <c r="E61" s="268">
        <f>IF(D61&lt;&gt;"", D61, "")</f>
        <v>0.99884296354520696</v>
      </c>
      <c r="F61" s="269"/>
      <c r="G61" s="269"/>
      <c r="H61" s="269"/>
      <c r="I61" s="269"/>
      <c r="J61" s="269"/>
      <c r="K61" s="269"/>
      <c r="L61" s="269"/>
      <c r="M61" s="269"/>
      <c r="N61" s="269"/>
      <c r="O61" s="269"/>
      <c r="P61" s="269"/>
      <c r="Q61" s="269"/>
      <c r="R61" s="269"/>
      <c r="S61" s="269"/>
      <c r="T61" s="269"/>
      <c r="U61" s="269"/>
      <c r="V61" s="269"/>
      <c r="W61" s="269"/>
      <c r="X61" s="269"/>
      <c r="Y61" s="269"/>
      <c r="Z61" s="269"/>
      <c r="AA61" s="269"/>
      <c r="AB61" s="269"/>
      <c r="AC61" s="269"/>
      <c r="AD61" s="269"/>
      <c r="AE61" s="269"/>
      <c r="AF61" s="269"/>
      <c r="AG61" s="269"/>
      <c r="AH61" s="269"/>
      <c r="AI61" s="269"/>
      <c r="AJ61" s="269"/>
      <c r="AK61" s="269"/>
      <c r="AL61" s="269"/>
      <c r="AM61" s="269"/>
      <c r="AN61" s="269"/>
      <c r="AO61" s="269"/>
      <c r="AP61" s="269"/>
      <c r="AQ61" s="270"/>
    </row>
    <row r="62" spans="2:43" ht="15" customHeight="1">
      <c r="B62" s="147" t="s">
        <v>194</v>
      </c>
      <c r="C62" s="170" t="s">
        <v>136</v>
      </c>
      <c r="D62" s="169"/>
      <c r="E62" s="194">
        <f>E57*(PRODUCT($E$59:$E$61))</f>
        <v>343.96219401564389</v>
      </c>
      <c r="F62" s="194">
        <f>F57*(PRODUCT($E$59:$E$61))</f>
        <v>251.3043697933827</v>
      </c>
      <c r="G62" s="194">
        <f>G57*(PRODUCT($E$59:$E$61))</f>
        <v>372.59191026982808</v>
      </c>
      <c r="H62" s="194">
        <f>H57*(PRODUCT($E$59:$E$61))</f>
        <v>310.72817591634481</v>
      </c>
      <c r="I62" s="194">
        <f>I57*(PRODUCT($E$59:$E$61))</f>
        <v>313.76864959718529</v>
      </c>
      <c r="J62" s="194">
        <f>J57*(PRODUCT($E$59:$E$61))</f>
        <v>367.15591786417491</v>
      </c>
      <c r="K62" s="194">
        <f>K57*(PRODUCT($E$59:$E$61))</f>
        <v>380.6628686020635</v>
      </c>
      <c r="L62" s="194">
        <f>L57*(PRODUCT($E$59:$E$61))</f>
        <v>439.75376822602658</v>
      </c>
      <c r="M62" s="194">
        <f>M57*(PRODUCT($E$59:$E$61))</f>
        <v>373.47544788568388</v>
      </c>
      <c r="N62" s="194">
        <f>N57*(PRODUCT($E$59:$E$61))</f>
        <v>307.87730661165369</v>
      </c>
      <c r="O62" s="194">
        <f>O57*(PRODUCT($E$59:$E$61))</f>
        <v>275.96508830924938</v>
      </c>
      <c r="P62" s="194">
        <f>P57*(PRODUCT($E$59:$E$61))</f>
        <v>367.57382258844262</v>
      </c>
      <c r="Q62" s="194">
        <f>Q57*(PRODUCT($E$59:$E$61))</f>
        <v>384.33968653587027</v>
      </c>
      <c r="R62" s="194">
        <f>R57*(PRODUCT($E$59:$E$61))</f>
        <v>307.13413924268087</v>
      </c>
      <c r="S62" s="194">
        <f>S57*(PRODUCT($E$59:$E$61))</f>
        <v>301.64085839785241</v>
      </c>
      <c r="T62" s="194">
        <f>T57*(PRODUCT($E$59:$E$61))</f>
        <v>376.18135685394202</v>
      </c>
      <c r="U62" s="194">
        <f>U57*(PRODUCT($E$59:$E$61))</f>
        <v>371.79879066793114</v>
      </c>
      <c r="V62" s="194">
        <f>V57*(PRODUCT($E$59:$E$61))</f>
        <v>328.1190212271182</v>
      </c>
      <c r="W62" s="194">
        <f>W57*(PRODUCT($E$59:$E$61))</f>
        <v>356.82479085741153</v>
      </c>
      <c r="X62" s="194">
        <f>X57*(PRODUCT($E$59:$E$61))</f>
        <v>412.275896487865</v>
      </c>
      <c r="Y62" s="194">
        <f>Y57*(PRODUCT($E$59:$E$61))</f>
        <v>318.38760774301176</v>
      </c>
      <c r="Z62" s="194">
        <f>Z57*(PRODUCT($E$59:$E$61))</f>
        <v>389.10697736916535</v>
      </c>
      <c r="AA62" s="194">
        <f>AA57*(PRODUCT($E$59:$E$61))</f>
        <v>327.63570073720666</v>
      </c>
      <c r="AB62" s="194">
        <f>AB57*(PRODUCT($E$59:$E$61))</f>
        <v>352.76285176132882</v>
      </c>
      <c r="AC62" s="194">
        <f>AC57*(PRODUCT($E$59:$E$61))</f>
        <v>421.85832915828166</v>
      </c>
      <c r="AD62" s="194">
        <f>AD57*(PRODUCT($E$59:$E$61))</f>
        <v>348.27356509514328</v>
      </c>
      <c r="AE62" s="194">
        <f>AE57*(PRODUCT($E$59:$E$61))</f>
        <v>348.31574456852155</v>
      </c>
      <c r="AF62" s="194">
        <f>AF57*(PRODUCT($E$59:$E$61))</f>
        <v>384.44651450985083</v>
      </c>
      <c r="AG62" s="194">
        <f>AG57*(PRODUCT($E$59:$E$61))</f>
        <v>376.02677743469422</v>
      </c>
      <c r="AH62" s="194">
        <f>AH57*(PRODUCT($E$59:$E$61))</f>
        <v>384.56206034629355</v>
      </c>
      <c r="AI62" s="194">
        <f>AI57*(PRODUCT($E$59:$E$61))</f>
        <v>377.75769437410634</v>
      </c>
      <c r="AJ62" s="194">
        <f>AJ57*(PRODUCT($E$59:$E$61))</f>
        <v>408.00192133489844</v>
      </c>
      <c r="AK62" s="194">
        <f>AK57*(PRODUCT($E$59:$E$61))</f>
        <v>412.77498066251144</v>
      </c>
      <c r="AL62" s="194">
        <f>AL57*(PRODUCT($E$59:$E$61))</f>
        <v>424.11804407954583</v>
      </c>
      <c r="AM62" s="194">
        <f>AM57*(PRODUCT($E$59:$E$61))</f>
        <v>359.45582670543854</v>
      </c>
      <c r="AN62" s="194">
        <f>AN57*(PRODUCT($E$59:$E$61))</f>
        <v>359.08381703752724</v>
      </c>
      <c r="AO62" s="194">
        <f>AO57*(PRODUCT($E$59:$E$61))</f>
        <v>350.7704050018736</v>
      </c>
      <c r="AP62" s="194">
        <f>AP57*(PRODUCT($E$59:$E$61))</f>
        <v>358.01516292993148</v>
      </c>
      <c r="AQ62" s="194">
        <f>AQ57*(PRODUCT($E$59:$E$61))</f>
        <v>354.03997698620105</v>
      </c>
    </row>
    <row r="63" spans="2:43" ht="15" customHeight="1"/>
    <row r="64" spans="2:43" ht="15" customHeight="1">
      <c r="C64" s="76" t="s">
        <v>130</v>
      </c>
    </row>
    <row r="65" spans="2:43" ht="15" customHeight="1">
      <c r="B65" s="145" t="s">
        <v>195</v>
      </c>
      <c r="C65" s="151" t="s">
        <v>106</v>
      </c>
      <c r="D65" s="173" t="s">
        <v>2</v>
      </c>
      <c r="E65" s="90" t="str">
        <f>IF(E13&lt;&gt;"",E13,"")</f>
        <v>58081GA0010005</v>
      </c>
      <c r="F65" s="90" t="str">
        <f>IF(F13&lt;&gt;"",F13,"")</f>
        <v>58081GA0010011</v>
      </c>
      <c r="G65" s="90" t="str">
        <f>IF(G13&lt;&gt;"",G13,"")</f>
        <v>58081GA0010015</v>
      </c>
      <c r="H65" s="90" t="str">
        <f>IF(H13&lt;&gt;"",H13,"")</f>
        <v>58081GA0010021</v>
      </c>
      <c r="I65" s="90" t="str">
        <f>IF(I13&lt;&gt;"",I13,"")</f>
        <v>58081GA0010024</v>
      </c>
      <c r="J65" s="90" t="str">
        <f>IF(J13&lt;&gt;"",J13,"")</f>
        <v>58081GA0010025</v>
      </c>
      <c r="K65" s="90" t="str">
        <f>IF(K13&lt;&gt;"",K13,"")</f>
        <v>58081GA0010030</v>
      </c>
      <c r="L65" s="90" t="str">
        <f>IF(L13&lt;&gt;"",L13,"")</f>
        <v>58081GA0010035</v>
      </c>
      <c r="M65" s="90" t="str">
        <f>IF(M13&lt;&gt;"",M13,"")</f>
        <v>58081GA0010045</v>
      </c>
      <c r="N65" s="90" t="str">
        <f>IF(N13&lt;&gt;"",N13,"")</f>
        <v>58081GA0010050</v>
      </c>
      <c r="O65" s="90" t="str">
        <f>IF(O13&lt;&gt;"",O13,"")</f>
        <v>58081GA0010051</v>
      </c>
      <c r="P65" s="90" t="str">
        <f>IF(P13&lt;&gt;"",P13,"")</f>
        <v>58081GA0010052</v>
      </c>
      <c r="Q65" s="90" t="str">
        <f>IF(Q13&lt;&gt;"",Q13,"")</f>
        <v>58081GA0010053</v>
      </c>
      <c r="R65" s="90" t="str">
        <f>IF(R13&lt;&gt;"",R13,"")</f>
        <v>58081GA0010002</v>
      </c>
      <c r="S65" s="90" t="str">
        <f>IF(S13&lt;&gt;"",S13,"")</f>
        <v>58081GA0010003</v>
      </c>
      <c r="T65" s="90" t="str">
        <f>IF(T13&lt;&gt;"",T13,"")</f>
        <v>58081GA0010006</v>
      </c>
      <c r="U65" s="90" t="str">
        <f>IF(U13&lt;&gt;"",U13,"")</f>
        <v>58081GA0010008</v>
      </c>
      <c r="V65" s="90" t="str">
        <f>IF(V13&lt;&gt;"",V13,"")</f>
        <v>58081GA0010010</v>
      </c>
      <c r="W65" s="90" t="str">
        <f>IF(W13&lt;&gt;"",W13,"")</f>
        <v>58081GA0010012</v>
      </c>
      <c r="X65" s="90" t="str">
        <f>IF(X13&lt;&gt;"",X13,"")</f>
        <v>58081GA0010013</v>
      </c>
      <c r="Y65" s="90" t="str">
        <f>IF(Y13&lt;&gt;"",Y13,"")</f>
        <v>58081GA0010014</v>
      </c>
      <c r="Z65" s="90" t="str">
        <f>IF(Z13&lt;&gt;"",Z13,"")</f>
        <v>58081GA0010017</v>
      </c>
      <c r="AA65" s="90" t="str">
        <f>IF(AA13&lt;&gt;"",AA13,"")</f>
        <v>58081GA0010018</v>
      </c>
      <c r="AB65" s="90" t="str">
        <f>IF(AB13&lt;&gt;"",AB13,"")</f>
        <v>58081GA0010019</v>
      </c>
      <c r="AC65" s="90" t="str">
        <f>IF(AC13&lt;&gt;"",AC13,"")</f>
        <v>58081GA0010020</v>
      </c>
      <c r="AD65" s="90" t="str">
        <f>IF(AD13&lt;&gt;"",AD13,"")</f>
        <v>58081GA0010022</v>
      </c>
      <c r="AE65" s="90" t="str">
        <f>IF(AE13&lt;&gt;"",AE13,"")</f>
        <v>58081GA0010023</v>
      </c>
      <c r="AF65" s="90" t="str">
        <f>IF(AF13&lt;&gt;"",AF13,"")</f>
        <v>58081GA0010026</v>
      </c>
      <c r="AG65" s="90" t="str">
        <f>IF(AG13&lt;&gt;"",AG13,"")</f>
        <v>58081GA0010027</v>
      </c>
      <c r="AH65" s="90" t="str">
        <f>IF(AH13&lt;&gt;"",AH13,"")</f>
        <v>58081GA0010028</v>
      </c>
      <c r="AI65" s="90" t="str">
        <f>IF(AI13&lt;&gt;"",AI13,"")</f>
        <v>58081GA0010029</v>
      </c>
      <c r="AJ65" s="90" t="str">
        <f>IF(AJ13&lt;&gt;"",AJ13,"")</f>
        <v>58081GA0010033</v>
      </c>
      <c r="AK65" s="90" t="str">
        <f>IF(AK13&lt;&gt;"",AK13,"")</f>
        <v>58081GA0010034</v>
      </c>
      <c r="AL65" s="90" t="str">
        <f>IF(AL13&lt;&gt;"",AL13,"")</f>
        <v>58081GA0010036</v>
      </c>
      <c r="AM65" s="90" t="str">
        <f>IF(AM13&lt;&gt;"",AM13,"")</f>
        <v>58081GA0010037</v>
      </c>
      <c r="AN65" s="90" t="str">
        <f>IF(AN13&lt;&gt;"",AN13,"")</f>
        <v>58081GA0010038</v>
      </c>
      <c r="AO65" s="90" t="str">
        <f>IF(AO13&lt;&gt;"",AO13,"")</f>
        <v>58081GA0010040</v>
      </c>
      <c r="AP65" s="90" t="str">
        <f>IF(AP13&lt;&gt;"",AP13,"")</f>
        <v>58081GA0010041</v>
      </c>
      <c r="AQ65" s="90" t="str">
        <f>IF(AQ13&lt;&gt;"",AQ13,"")</f>
        <v>58081GA0010042</v>
      </c>
    </row>
    <row r="66" spans="2:43" ht="15" customHeight="1">
      <c r="B66" s="145" t="s">
        <v>196</v>
      </c>
      <c r="C66" s="151" t="s">
        <v>86</v>
      </c>
      <c r="D66" s="158">
        <f>SUM(E66:AQ66)</f>
        <v>302103894</v>
      </c>
      <c r="E66" s="186">
        <v>48673098</v>
      </c>
      <c r="F66" s="186">
        <v>282454</v>
      </c>
      <c r="G66" s="186">
        <v>21452028</v>
      </c>
      <c r="H66" s="186">
        <v>6251770</v>
      </c>
      <c r="I66" s="186">
        <v>6298010</v>
      </c>
      <c r="J66" s="186">
        <v>133212316</v>
      </c>
      <c r="K66" s="186">
        <v>25857387</v>
      </c>
      <c r="L66" s="186">
        <v>5656251</v>
      </c>
      <c r="M66" s="186">
        <v>8177213</v>
      </c>
      <c r="N66" s="186">
        <v>7124905</v>
      </c>
      <c r="O66" s="186">
        <v>5011839</v>
      </c>
      <c r="P66" s="186">
        <v>30120506</v>
      </c>
      <c r="Q66" s="186">
        <v>3986117</v>
      </c>
      <c r="R66" s="186">
        <v>0</v>
      </c>
      <c r="S66" s="186">
        <v>0</v>
      </c>
      <c r="T66" s="186">
        <v>0</v>
      </c>
      <c r="U66" s="186">
        <v>0</v>
      </c>
      <c r="V66" s="186">
        <v>0</v>
      </c>
      <c r="W66" s="186">
        <v>0</v>
      </c>
      <c r="X66" s="186">
        <v>0</v>
      </c>
      <c r="Y66" s="186">
        <v>0</v>
      </c>
      <c r="Z66" s="186">
        <v>0</v>
      </c>
      <c r="AA66" s="186">
        <v>0</v>
      </c>
      <c r="AB66" s="186">
        <v>0</v>
      </c>
      <c r="AC66" s="186">
        <v>0</v>
      </c>
      <c r="AD66" s="186">
        <v>0</v>
      </c>
      <c r="AE66" s="186">
        <v>0</v>
      </c>
      <c r="AF66" s="186">
        <v>0</v>
      </c>
      <c r="AG66" s="186">
        <v>0</v>
      </c>
      <c r="AH66" s="186">
        <v>0</v>
      </c>
      <c r="AI66" s="186">
        <v>0</v>
      </c>
      <c r="AJ66" s="186">
        <v>0</v>
      </c>
      <c r="AK66" s="186">
        <v>0</v>
      </c>
      <c r="AL66" s="186">
        <v>0</v>
      </c>
      <c r="AM66" s="186">
        <v>0</v>
      </c>
      <c r="AN66" s="186">
        <v>0</v>
      </c>
      <c r="AO66" s="186">
        <v>0</v>
      </c>
      <c r="AP66" s="186">
        <v>0</v>
      </c>
      <c r="AQ66" s="186">
        <v>0</v>
      </c>
    </row>
    <row r="67" spans="2:43" ht="15" customHeight="1">
      <c r="B67" s="145" t="s">
        <v>197</v>
      </c>
      <c r="C67" s="151" t="s">
        <v>87</v>
      </c>
      <c r="D67" s="158">
        <f>SUM(E67:AQ67)</f>
        <v>10439566</v>
      </c>
      <c r="E67" s="186">
        <v>1683996</v>
      </c>
      <c r="F67" s="186">
        <v>10986</v>
      </c>
      <c r="G67" s="186">
        <v>745205</v>
      </c>
      <c r="H67" s="186">
        <v>217966</v>
      </c>
      <c r="I67" s="186">
        <v>219423</v>
      </c>
      <c r="J67" s="186">
        <v>4634678</v>
      </c>
      <c r="K67" s="186">
        <v>894216</v>
      </c>
      <c r="L67" s="186">
        <v>161282</v>
      </c>
      <c r="M67" s="186">
        <v>283722</v>
      </c>
      <c r="N67" s="186">
        <v>248574</v>
      </c>
      <c r="O67" s="186">
        <v>176178</v>
      </c>
      <c r="P67" s="186">
        <v>1048422</v>
      </c>
      <c r="Q67" s="186">
        <v>114918</v>
      </c>
      <c r="R67" s="186">
        <v>0</v>
      </c>
      <c r="S67" s="186">
        <v>0</v>
      </c>
      <c r="T67" s="186">
        <v>0</v>
      </c>
      <c r="U67" s="186">
        <v>0</v>
      </c>
      <c r="V67" s="186">
        <v>0</v>
      </c>
      <c r="W67" s="186">
        <v>0</v>
      </c>
      <c r="X67" s="186">
        <v>0</v>
      </c>
      <c r="Y67" s="186">
        <v>0</v>
      </c>
      <c r="Z67" s="186">
        <v>0</v>
      </c>
      <c r="AA67" s="186">
        <v>0</v>
      </c>
      <c r="AB67" s="186">
        <v>0</v>
      </c>
      <c r="AC67" s="186">
        <v>0</v>
      </c>
      <c r="AD67" s="186">
        <v>0</v>
      </c>
      <c r="AE67" s="186">
        <v>0</v>
      </c>
      <c r="AF67" s="186">
        <v>0</v>
      </c>
      <c r="AG67" s="186">
        <v>0</v>
      </c>
      <c r="AH67" s="186">
        <v>0</v>
      </c>
      <c r="AI67" s="186">
        <v>0</v>
      </c>
      <c r="AJ67" s="186">
        <v>0</v>
      </c>
      <c r="AK67" s="186">
        <v>0</v>
      </c>
      <c r="AL67" s="186">
        <v>0</v>
      </c>
      <c r="AM67" s="186">
        <v>0</v>
      </c>
      <c r="AN67" s="186">
        <v>0</v>
      </c>
      <c r="AO67" s="186">
        <v>0</v>
      </c>
      <c r="AP67" s="186">
        <v>0</v>
      </c>
      <c r="AQ67" s="186">
        <v>0</v>
      </c>
    </row>
    <row r="68" spans="2:43" ht="15" customHeight="1">
      <c r="B68" s="145" t="s">
        <v>198</v>
      </c>
      <c r="C68" s="151" t="s">
        <v>111</v>
      </c>
      <c r="D68" s="158">
        <f>SUM(E68:AQ68)</f>
        <v>37811140</v>
      </c>
      <c r="E68" s="186">
        <v>10188242</v>
      </c>
      <c r="F68" s="186">
        <v>105204</v>
      </c>
      <c r="G68" s="186">
        <v>1666411</v>
      </c>
      <c r="H68" s="186">
        <v>1795823</v>
      </c>
      <c r="I68" s="186">
        <v>1763910</v>
      </c>
      <c r="J68" s="186">
        <v>12095557</v>
      </c>
      <c r="K68" s="186">
        <v>1560670</v>
      </c>
      <c r="L68" s="186">
        <v>541504</v>
      </c>
      <c r="M68" s="186">
        <v>624959</v>
      </c>
      <c r="N68" s="186">
        <v>2094634</v>
      </c>
      <c r="O68" s="186">
        <v>1854309</v>
      </c>
      <c r="P68" s="186">
        <v>2688705</v>
      </c>
      <c r="Q68" s="186">
        <v>831212</v>
      </c>
      <c r="R68" s="186">
        <v>0</v>
      </c>
      <c r="S68" s="186">
        <v>0</v>
      </c>
      <c r="T68" s="186">
        <v>0</v>
      </c>
      <c r="U68" s="186">
        <v>0</v>
      </c>
      <c r="V68" s="186">
        <v>0</v>
      </c>
      <c r="W68" s="186">
        <v>0</v>
      </c>
      <c r="X68" s="186">
        <v>0</v>
      </c>
      <c r="Y68" s="186">
        <v>0</v>
      </c>
      <c r="Z68" s="186">
        <v>0</v>
      </c>
      <c r="AA68" s="186">
        <v>0</v>
      </c>
      <c r="AB68" s="186">
        <v>0</v>
      </c>
      <c r="AC68" s="186">
        <v>0</v>
      </c>
      <c r="AD68" s="186">
        <v>0</v>
      </c>
      <c r="AE68" s="186">
        <v>0</v>
      </c>
      <c r="AF68" s="186">
        <v>0</v>
      </c>
      <c r="AG68" s="186">
        <v>0</v>
      </c>
      <c r="AH68" s="186">
        <v>0</v>
      </c>
      <c r="AI68" s="186">
        <v>0</v>
      </c>
      <c r="AJ68" s="186">
        <v>0</v>
      </c>
      <c r="AK68" s="186">
        <v>0</v>
      </c>
      <c r="AL68" s="186">
        <v>0</v>
      </c>
      <c r="AM68" s="186">
        <v>0</v>
      </c>
      <c r="AN68" s="186">
        <v>0</v>
      </c>
      <c r="AO68" s="186">
        <v>0</v>
      </c>
      <c r="AP68" s="186">
        <v>0</v>
      </c>
      <c r="AQ68" s="186">
        <v>0</v>
      </c>
    </row>
    <row r="69" spans="2:43" ht="15" customHeight="1">
      <c r="B69" s="145" t="s">
        <v>199</v>
      </c>
      <c r="C69" s="151" t="s">
        <v>112</v>
      </c>
      <c r="D69" s="158">
        <f>SUM(E69:AQ69)</f>
        <v>0</v>
      </c>
      <c r="E69" s="186">
        <v>0</v>
      </c>
      <c r="F69" s="186">
        <v>0</v>
      </c>
      <c r="G69" s="186">
        <v>0</v>
      </c>
      <c r="H69" s="186">
        <v>0</v>
      </c>
      <c r="I69" s="186">
        <v>0</v>
      </c>
      <c r="J69" s="186">
        <v>0</v>
      </c>
      <c r="K69" s="186">
        <v>0</v>
      </c>
      <c r="L69" s="186">
        <v>0</v>
      </c>
      <c r="M69" s="186">
        <v>0</v>
      </c>
      <c r="N69" s="186">
        <v>0</v>
      </c>
      <c r="O69" s="186">
        <v>0</v>
      </c>
      <c r="P69" s="186">
        <v>0</v>
      </c>
      <c r="Q69" s="186">
        <v>0</v>
      </c>
      <c r="R69" s="186">
        <v>0</v>
      </c>
      <c r="S69" s="186">
        <v>0</v>
      </c>
      <c r="T69" s="186">
        <v>0</v>
      </c>
      <c r="U69" s="186">
        <v>0</v>
      </c>
      <c r="V69" s="186">
        <v>0</v>
      </c>
      <c r="W69" s="186">
        <v>0</v>
      </c>
      <c r="X69" s="186">
        <v>0</v>
      </c>
      <c r="Y69" s="186">
        <v>0</v>
      </c>
      <c r="Z69" s="186">
        <v>0</v>
      </c>
      <c r="AA69" s="186">
        <v>0</v>
      </c>
      <c r="AB69" s="186">
        <v>0</v>
      </c>
      <c r="AC69" s="186">
        <v>0</v>
      </c>
      <c r="AD69" s="186">
        <v>0</v>
      </c>
      <c r="AE69" s="186">
        <v>0</v>
      </c>
      <c r="AF69" s="186">
        <v>0</v>
      </c>
      <c r="AG69" s="186">
        <v>0</v>
      </c>
      <c r="AH69" s="186">
        <v>0</v>
      </c>
      <c r="AI69" s="186">
        <v>0</v>
      </c>
      <c r="AJ69" s="186">
        <v>0</v>
      </c>
      <c r="AK69" s="186">
        <v>0</v>
      </c>
      <c r="AL69" s="186">
        <v>0</v>
      </c>
      <c r="AM69" s="186">
        <v>0</v>
      </c>
      <c r="AN69" s="186">
        <v>0</v>
      </c>
      <c r="AO69" s="186">
        <v>0</v>
      </c>
      <c r="AP69" s="186">
        <v>0</v>
      </c>
      <c r="AQ69" s="186">
        <v>0</v>
      </c>
    </row>
    <row r="70" spans="2:43" ht="15" customHeight="1">
      <c r="B70" s="145" t="s">
        <v>200</v>
      </c>
      <c r="C70" s="151" t="s">
        <v>113</v>
      </c>
      <c r="D70" s="158">
        <f>D66-D67-D68-D69</f>
        <v>253853188</v>
      </c>
      <c r="E70" s="158">
        <f>E66-E67-E68-E69</f>
        <v>36800860</v>
      </c>
      <c r="F70" s="158">
        <f>F66-F67-F68-F69</f>
        <v>166264</v>
      </c>
      <c r="G70" s="158">
        <f>G66-G67-G68-G69</f>
        <v>19040412</v>
      </c>
      <c r="H70" s="158">
        <f>H66-H67-H68-H69</f>
        <v>4237981</v>
      </c>
      <c r="I70" s="158">
        <f>I66-I67-I68-I69</f>
        <v>4314677</v>
      </c>
      <c r="J70" s="158">
        <f>J66-J67-J68-J69</f>
        <v>116482081</v>
      </c>
      <c r="K70" s="158">
        <f>K66-K67-K68-K69</f>
        <v>23402501</v>
      </c>
      <c r="L70" s="158">
        <f>L66-L67-L68-L69</f>
        <v>4953465</v>
      </c>
      <c r="M70" s="158">
        <f>M66-M67-M68-M69</f>
        <v>7268532</v>
      </c>
      <c r="N70" s="158">
        <f>N66-N67-N68-N69</f>
        <v>4781697</v>
      </c>
      <c r="O70" s="158">
        <f>O66-O67-O68-O69</f>
        <v>2981352</v>
      </c>
      <c r="P70" s="158">
        <f>P66-P67-P68-P69</f>
        <v>26383379</v>
      </c>
      <c r="Q70" s="158">
        <f>Q66-Q67-Q68-Q69</f>
        <v>3039987</v>
      </c>
      <c r="R70" s="158">
        <f>R66-R67-R68-R69</f>
        <v>0</v>
      </c>
      <c r="S70" s="158">
        <f>S66-S67-S68-S69</f>
        <v>0</v>
      </c>
      <c r="T70" s="158">
        <f>T66-T67-T68-T69</f>
        <v>0</v>
      </c>
      <c r="U70" s="158">
        <f>U66-U67-U68-U69</f>
        <v>0</v>
      </c>
      <c r="V70" s="158">
        <f>V66-V67-V68-V69</f>
        <v>0</v>
      </c>
      <c r="W70" s="158">
        <f>W66-W67-W68-W69</f>
        <v>0</v>
      </c>
      <c r="X70" s="158">
        <f>X66-X67-X68-X69</f>
        <v>0</v>
      </c>
      <c r="Y70" s="158">
        <f>Y66-Y67-Y68-Y69</f>
        <v>0</v>
      </c>
      <c r="Z70" s="158">
        <f>Z66-Z67-Z68-Z69</f>
        <v>0</v>
      </c>
      <c r="AA70" s="158">
        <f>AA66-AA67-AA68-AA69</f>
        <v>0</v>
      </c>
      <c r="AB70" s="158">
        <f>AB66-AB67-AB68-AB69</f>
        <v>0</v>
      </c>
      <c r="AC70" s="158">
        <f>AC66-AC67-AC68-AC69</f>
        <v>0</v>
      </c>
      <c r="AD70" s="158">
        <f>AD66-AD67-AD68-AD69</f>
        <v>0</v>
      </c>
      <c r="AE70" s="158">
        <f>AE66-AE67-AE68-AE69</f>
        <v>0</v>
      </c>
      <c r="AF70" s="158">
        <f>AF66-AF67-AF68-AF69</f>
        <v>0</v>
      </c>
      <c r="AG70" s="158">
        <f>AG66-AG67-AG68-AG69</f>
        <v>0</v>
      </c>
      <c r="AH70" s="158">
        <f>AH66-AH67-AH68-AH69</f>
        <v>0</v>
      </c>
      <c r="AI70" s="158">
        <f>AI66-AI67-AI68-AI69</f>
        <v>0</v>
      </c>
      <c r="AJ70" s="158">
        <f>AJ66-AJ67-AJ68-AJ69</f>
        <v>0</v>
      </c>
      <c r="AK70" s="158">
        <f>AK66-AK67-AK68-AK69</f>
        <v>0</v>
      </c>
      <c r="AL70" s="158">
        <f>AL66-AL67-AL68-AL69</f>
        <v>0</v>
      </c>
      <c r="AM70" s="158">
        <f>AM66-AM67-AM68-AM69</f>
        <v>0</v>
      </c>
      <c r="AN70" s="158">
        <f>AN66-AN67-AN68-AN69</f>
        <v>0</v>
      </c>
      <c r="AO70" s="158">
        <f>AO66-AO67-AO68-AO69</f>
        <v>0</v>
      </c>
      <c r="AP70" s="158">
        <f>AP66-AP67-AP68-AP69</f>
        <v>0</v>
      </c>
      <c r="AQ70" s="158">
        <f>AQ66-AQ67-AQ68-AQ69</f>
        <v>0</v>
      </c>
    </row>
    <row r="71" spans="2:43" ht="15" customHeight="1">
      <c r="B71" s="145" t="s">
        <v>201</v>
      </c>
      <c r="C71" s="151" t="s">
        <v>114</v>
      </c>
      <c r="D71" s="158">
        <f>SUM(E71:AQ71)</f>
        <v>-170373525</v>
      </c>
      <c r="E71" s="186">
        <v>-27482782</v>
      </c>
      <c r="F71" s="186">
        <v>-179292</v>
      </c>
      <c r="G71" s="186">
        <v>-12161731</v>
      </c>
      <c r="H71" s="186">
        <v>-3557207</v>
      </c>
      <c r="I71" s="186">
        <v>-3580976</v>
      </c>
      <c r="J71" s="186">
        <v>-75637868</v>
      </c>
      <c r="K71" s="186">
        <v>-14593590</v>
      </c>
      <c r="L71" s="186">
        <v>-2632113</v>
      </c>
      <c r="M71" s="186">
        <v>-4630340</v>
      </c>
      <c r="N71" s="186">
        <v>-4056717</v>
      </c>
      <c r="O71" s="186">
        <v>-2875224</v>
      </c>
      <c r="P71" s="186">
        <v>-17110230</v>
      </c>
      <c r="Q71" s="186">
        <v>-1875455</v>
      </c>
      <c r="R71" s="186">
        <v>0</v>
      </c>
      <c r="S71" s="186">
        <v>0</v>
      </c>
      <c r="T71" s="186">
        <v>0</v>
      </c>
      <c r="U71" s="186">
        <v>0</v>
      </c>
      <c r="V71" s="186">
        <v>0</v>
      </c>
      <c r="W71" s="186">
        <v>0</v>
      </c>
      <c r="X71" s="186">
        <v>0</v>
      </c>
      <c r="Y71" s="186">
        <v>0</v>
      </c>
      <c r="Z71" s="186">
        <v>0</v>
      </c>
      <c r="AA71" s="186">
        <v>0</v>
      </c>
      <c r="AB71" s="186">
        <v>0</v>
      </c>
      <c r="AC71" s="186">
        <v>0</v>
      </c>
      <c r="AD71" s="186">
        <v>0</v>
      </c>
      <c r="AE71" s="186">
        <v>0</v>
      </c>
      <c r="AF71" s="186">
        <v>0</v>
      </c>
      <c r="AG71" s="186">
        <v>0</v>
      </c>
      <c r="AH71" s="186">
        <v>0</v>
      </c>
      <c r="AI71" s="186">
        <v>0</v>
      </c>
      <c r="AJ71" s="186">
        <v>0</v>
      </c>
      <c r="AK71" s="186">
        <v>0</v>
      </c>
      <c r="AL71" s="186">
        <v>0</v>
      </c>
      <c r="AM71" s="186">
        <v>0</v>
      </c>
      <c r="AN71" s="186">
        <v>0</v>
      </c>
      <c r="AO71" s="186">
        <v>0</v>
      </c>
      <c r="AP71" s="186">
        <v>0</v>
      </c>
      <c r="AQ71" s="186">
        <v>0</v>
      </c>
    </row>
    <row r="72" spans="2:43" ht="15" customHeight="1">
      <c r="B72" s="145" t="s">
        <v>202</v>
      </c>
      <c r="C72" s="151" t="s">
        <v>115</v>
      </c>
      <c r="D72" s="158">
        <f>SUM(E72:AQ72)</f>
        <v>532951926</v>
      </c>
      <c r="E72" s="186">
        <v>81887217</v>
      </c>
      <c r="F72" s="186">
        <v>390307</v>
      </c>
      <c r="G72" s="186">
        <v>39253059</v>
      </c>
      <c r="H72" s="186">
        <v>9574906</v>
      </c>
      <c r="I72" s="186">
        <v>9733200</v>
      </c>
      <c r="J72" s="186">
        <v>240566149</v>
      </c>
      <c r="K72" s="186">
        <v>48122409</v>
      </c>
      <c r="L72" s="186">
        <v>10026717</v>
      </c>
      <c r="M72" s="186">
        <v>14980270</v>
      </c>
      <c r="N72" s="186">
        <v>10819250</v>
      </c>
      <c r="O72" s="186">
        <v>6873382</v>
      </c>
      <c r="P72" s="186">
        <v>54481006</v>
      </c>
      <c r="Q72" s="186">
        <v>6244054</v>
      </c>
      <c r="R72" s="186">
        <v>0</v>
      </c>
      <c r="S72" s="186">
        <v>0</v>
      </c>
      <c r="T72" s="186">
        <v>0</v>
      </c>
      <c r="U72" s="186">
        <v>0</v>
      </c>
      <c r="V72" s="186">
        <v>0</v>
      </c>
      <c r="W72" s="186">
        <v>0</v>
      </c>
      <c r="X72" s="186">
        <v>0</v>
      </c>
      <c r="Y72" s="186">
        <v>0</v>
      </c>
      <c r="Z72" s="186">
        <v>0</v>
      </c>
      <c r="AA72" s="186">
        <v>0</v>
      </c>
      <c r="AB72" s="186">
        <v>0</v>
      </c>
      <c r="AC72" s="186">
        <v>0</v>
      </c>
      <c r="AD72" s="186">
        <v>0</v>
      </c>
      <c r="AE72" s="186">
        <v>0</v>
      </c>
      <c r="AF72" s="186">
        <v>0</v>
      </c>
      <c r="AG72" s="186">
        <v>0</v>
      </c>
      <c r="AH72" s="186">
        <v>0</v>
      </c>
      <c r="AI72" s="186">
        <v>0</v>
      </c>
      <c r="AJ72" s="186">
        <v>0</v>
      </c>
      <c r="AK72" s="186">
        <v>0</v>
      </c>
      <c r="AL72" s="186">
        <v>0</v>
      </c>
      <c r="AM72" s="186">
        <v>0</v>
      </c>
      <c r="AN72" s="186">
        <v>0</v>
      </c>
      <c r="AO72" s="186">
        <v>0</v>
      </c>
      <c r="AP72" s="186">
        <v>0</v>
      </c>
      <c r="AQ72" s="186">
        <v>0</v>
      </c>
    </row>
    <row r="73" spans="2:43" ht="15" customHeight="1">
      <c r="B73" s="145" t="s">
        <v>203</v>
      </c>
      <c r="C73" s="151" t="s">
        <v>4</v>
      </c>
      <c r="D73" s="175">
        <f>SUM(E73:AQ73)</f>
        <v>910346</v>
      </c>
      <c r="E73" s="217">
        <v>146847</v>
      </c>
      <c r="F73" s="217">
        <v>958</v>
      </c>
      <c r="G73" s="217">
        <v>64983</v>
      </c>
      <c r="H73" s="217">
        <v>19007</v>
      </c>
      <c r="I73" s="217">
        <v>19134</v>
      </c>
      <c r="J73" s="217">
        <v>404151</v>
      </c>
      <c r="K73" s="217">
        <v>77977</v>
      </c>
      <c r="L73" s="217">
        <v>14064</v>
      </c>
      <c r="M73" s="217">
        <v>24741</v>
      </c>
      <c r="N73" s="217">
        <v>21676</v>
      </c>
      <c r="O73" s="217">
        <v>15363</v>
      </c>
      <c r="P73" s="217">
        <v>91424</v>
      </c>
      <c r="Q73" s="217">
        <v>10021</v>
      </c>
      <c r="R73" s="217">
        <v>0</v>
      </c>
      <c r="S73" s="217">
        <v>0</v>
      </c>
      <c r="T73" s="217">
        <v>0</v>
      </c>
      <c r="U73" s="217">
        <v>0</v>
      </c>
      <c r="V73" s="217">
        <v>0</v>
      </c>
      <c r="W73" s="217">
        <v>0</v>
      </c>
      <c r="X73" s="217">
        <v>0</v>
      </c>
      <c r="Y73" s="217">
        <v>0</v>
      </c>
      <c r="Z73" s="217">
        <v>0</v>
      </c>
      <c r="AA73" s="217">
        <v>0</v>
      </c>
      <c r="AB73" s="217">
        <v>0</v>
      </c>
      <c r="AC73" s="217">
        <v>0</v>
      </c>
      <c r="AD73" s="217">
        <v>0</v>
      </c>
      <c r="AE73" s="217">
        <v>0</v>
      </c>
      <c r="AF73" s="217">
        <v>0</v>
      </c>
      <c r="AG73" s="217">
        <v>0</v>
      </c>
      <c r="AH73" s="217">
        <v>0</v>
      </c>
      <c r="AI73" s="217">
        <v>0</v>
      </c>
      <c r="AJ73" s="217">
        <v>0</v>
      </c>
      <c r="AK73" s="217">
        <v>0</v>
      </c>
      <c r="AL73" s="217">
        <v>0</v>
      </c>
      <c r="AM73" s="217">
        <v>0</v>
      </c>
      <c r="AN73" s="217">
        <v>0</v>
      </c>
      <c r="AO73" s="217">
        <v>0</v>
      </c>
      <c r="AP73" s="217">
        <v>0</v>
      </c>
      <c r="AQ73" s="217">
        <v>0</v>
      </c>
    </row>
    <row r="74" spans="2:43" ht="15" customHeight="1">
      <c r="B74" s="147" t="s">
        <v>204</v>
      </c>
      <c r="C74" s="169" t="s">
        <v>118</v>
      </c>
      <c r="D74" s="89">
        <f>D70/(D71+D72)</f>
        <v>0.70013323270185635</v>
      </c>
      <c r="E74" s="89">
        <f>E70/(E71+E72)</f>
        <v>0.6764312505037503</v>
      </c>
      <c r="F74" s="89">
        <f>F70/(F71+F72)</f>
        <v>0.78792502902637251</v>
      </c>
      <c r="G74" s="89">
        <f>G70/(G71+G72)</f>
        <v>0.70282313218458692</v>
      </c>
      <c r="H74" s="89">
        <f>H70/(H71+H72)</f>
        <v>0.70425273846365533</v>
      </c>
      <c r="I74" s="89">
        <f>I70/(I71+I72)</f>
        <v>0.70131988042047888</v>
      </c>
      <c r="J74" s="89">
        <f>J70/(J71+J72)</f>
        <v>0.70625898902080964</v>
      </c>
      <c r="K74" s="89">
        <f>K70/(K71+K72)</f>
        <v>0.69798166765134195</v>
      </c>
      <c r="L74" s="89">
        <f>L70/(L71+L72)</f>
        <v>0.66987562822836766</v>
      </c>
      <c r="M74" s="89">
        <f>M70/(M71+M72)</f>
        <v>0.70227837289720796</v>
      </c>
      <c r="N74" s="89">
        <f>N70/(N71+N72)</f>
        <v>0.70708667891158539</v>
      </c>
      <c r="O74" s="89">
        <f>O70/(O71+O72)</f>
        <v>0.74568138627838121</v>
      </c>
      <c r="P74" s="89">
        <f>P70/(P71+P72)</f>
        <v>0.70598959465010847</v>
      </c>
      <c r="Q74" s="89">
        <f>Q70/(Q71+Q72)</f>
        <v>0.6958722922383126</v>
      </c>
      <c r="R74" s="89" t="e">
        <f>R70/(R71+R72)</f>
        <v>#DIV/0!</v>
      </c>
      <c r="S74" s="89" t="e">
        <f>S70/(S71+S72)</f>
        <v>#DIV/0!</v>
      </c>
      <c r="T74" s="89" t="e">
        <f>T70/(T71+T72)</f>
        <v>#DIV/0!</v>
      </c>
      <c r="U74" s="89" t="e">
        <f>U70/(U71+U72)</f>
        <v>#DIV/0!</v>
      </c>
      <c r="V74" s="89" t="e">
        <f>V70/(V71+V72)</f>
        <v>#DIV/0!</v>
      </c>
      <c r="W74" s="89" t="e">
        <f>W70/(W71+W72)</f>
        <v>#DIV/0!</v>
      </c>
      <c r="X74" s="89" t="e">
        <f>X70/(X71+X72)</f>
        <v>#DIV/0!</v>
      </c>
      <c r="Y74" s="89" t="e">
        <f>Y70/(Y71+Y72)</f>
        <v>#DIV/0!</v>
      </c>
      <c r="Z74" s="89" t="e">
        <f>Z70/(Z71+Z72)</f>
        <v>#DIV/0!</v>
      </c>
      <c r="AA74" s="89" t="e">
        <f>AA70/(AA71+AA72)</f>
        <v>#DIV/0!</v>
      </c>
      <c r="AB74" s="89" t="e">
        <f>AB70/(AB71+AB72)</f>
        <v>#DIV/0!</v>
      </c>
      <c r="AC74" s="89" t="e">
        <f>AC70/(AC71+AC72)</f>
        <v>#DIV/0!</v>
      </c>
      <c r="AD74" s="89" t="e">
        <f>AD70/(AD71+AD72)</f>
        <v>#DIV/0!</v>
      </c>
      <c r="AE74" s="89" t="e">
        <f>AE70/(AE71+AE72)</f>
        <v>#DIV/0!</v>
      </c>
      <c r="AF74" s="89" t="e">
        <f>AF70/(AF71+AF72)</f>
        <v>#DIV/0!</v>
      </c>
      <c r="AG74" s="89" t="e">
        <f>AG70/(AG71+AG72)</f>
        <v>#DIV/0!</v>
      </c>
      <c r="AH74" s="89" t="e">
        <f>AH70/(AH71+AH72)</f>
        <v>#DIV/0!</v>
      </c>
      <c r="AI74" s="89" t="e">
        <f>AI70/(AI71+AI72)</f>
        <v>#DIV/0!</v>
      </c>
      <c r="AJ74" s="89" t="e">
        <f>AJ70/(AJ71+AJ72)</f>
        <v>#DIV/0!</v>
      </c>
      <c r="AK74" s="89" t="e">
        <f>AK70/(AK71+AK72)</f>
        <v>#DIV/0!</v>
      </c>
      <c r="AL74" s="89" t="e">
        <f>AL70/(AL71+AL72)</f>
        <v>#DIV/0!</v>
      </c>
      <c r="AM74" s="89" t="e">
        <f>AM70/(AM71+AM72)</f>
        <v>#DIV/0!</v>
      </c>
      <c r="AN74" s="89" t="e">
        <f>AN70/(AN71+AN72)</f>
        <v>#DIV/0!</v>
      </c>
      <c r="AO74" s="89" t="e">
        <f>AO70/(AO71+AO72)</f>
        <v>#DIV/0!</v>
      </c>
      <c r="AP74" s="89" t="e">
        <f>AP70/(AP71+AP72)</f>
        <v>#DIV/0!</v>
      </c>
      <c r="AQ74" s="89" t="e">
        <f>AQ70/(AQ71+AQ72)</f>
        <v>#DIV/0!</v>
      </c>
    </row>
    <row r="75" spans="2:43" ht="15" customHeight="1">
      <c r="C75" s="78" t="s">
        <v>120</v>
      </c>
    </row>
    <row r="76" spans="2:43" ht="15" customHeight="1">
      <c r="B76" s="145" t="s">
        <v>205</v>
      </c>
      <c r="C76" s="151" t="s">
        <v>86</v>
      </c>
      <c r="D76" s="107">
        <f>D66/D73</f>
        <v>331.85612283681149</v>
      </c>
      <c r="E76" s="107">
        <f>E66/E73</f>
        <v>331.45449345236881</v>
      </c>
      <c r="F76" s="107">
        <f>F66/F73</f>
        <v>294.83716075156576</v>
      </c>
      <c r="G76" s="107">
        <f>G66/G73</f>
        <v>330.11753843312869</v>
      </c>
      <c r="H76" s="107">
        <f>H66/H73</f>
        <v>328.91934550428789</v>
      </c>
      <c r="I76" s="107">
        <f>I66/I73</f>
        <v>329.15281697501831</v>
      </c>
      <c r="J76" s="107">
        <f>J66/J73</f>
        <v>329.61025953170969</v>
      </c>
      <c r="K76" s="107">
        <f>K66/K73</f>
        <v>331.6027418341306</v>
      </c>
      <c r="L76" s="107">
        <f>L66/L73</f>
        <v>402.17939419795221</v>
      </c>
      <c r="M76" s="107">
        <f>M66/M73</f>
        <v>330.51263085566467</v>
      </c>
      <c r="N76" s="107">
        <f>N66/N73</f>
        <v>328.70017530909763</v>
      </c>
      <c r="O76" s="107">
        <f>O66/O73</f>
        <v>326.22788517867605</v>
      </c>
      <c r="P76" s="107">
        <f>P66/P73</f>
        <v>329.45950735036752</v>
      </c>
      <c r="Q76" s="107">
        <f>Q66/Q73</f>
        <v>397.77636962379006</v>
      </c>
      <c r="R76" s="107" t="e">
        <f>R66/R73</f>
        <v>#DIV/0!</v>
      </c>
      <c r="S76" s="107" t="e">
        <f>S66/S73</f>
        <v>#DIV/0!</v>
      </c>
      <c r="T76" s="107" t="e">
        <f>T66/T73</f>
        <v>#DIV/0!</v>
      </c>
      <c r="U76" s="107" t="e">
        <f>U66/U73</f>
        <v>#DIV/0!</v>
      </c>
      <c r="V76" s="107" t="e">
        <f>V66/V73</f>
        <v>#DIV/0!</v>
      </c>
      <c r="W76" s="107" t="e">
        <f>W66/W73</f>
        <v>#DIV/0!</v>
      </c>
      <c r="X76" s="107" t="e">
        <f>X66/X73</f>
        <v>#DIV/0!</v>
      </c>
      <c r="Y76" s="107" t="e">
        <f>Y66/Y73</f>
        <v>#DIV/0!</v>
      </c>
      <c r="Z76" s="107" t="e">
        <f>Z66/Z73</f>
        <v>#DIV/0!</v>
      </c>
      <c r="AA76" s="107" t="e">
        <f>AA66/AA73</f>
        <v>#DIV/0!</v>
      </c>
      <c r="AB76" s="107" t="e">
        <f>AB66/AB73</f>
        <v>#DIV/0!</v>
      </c>
      <c r="AC76" s="107" t="e">
        <f>AC66/AC73</f>
        <v>#DIV/0!</v>
      </c>
      <c r="AD76" s="107" t="e">
        <f>AD66/AD73</f>
        <v>#DIV/0!</v>
      </c>
      <c r="AE76" s="107" t="e">
        <f>AE66/AE73</f>
        <v>#DIV/0!</v>
      </c>
      <c r="AF76" s="107" t="e">
        <f>AF66/AF73</f>
        <v>#DIV/0!</v>
      </c>
      <c r="AG76" s="107" t="e">
        <f>AG66/AG73</f>
        <v>#DIV/0!</v>
      </c>
      <c r="AH76" s="107" t="e">
        <f>AH66/AH73</f>
        <v>#DIV/0!</v>
      </c>
      <c r="AI76" s="107" t="e">
        <f>AI66/AI73</f>
        <v>#DIV/0!</v>
      </c>
      <c r="AJ76" s="107" t="e">
        <f>AJ66/AJ73</f>
        <v>#DIV/0!</v>
      </c>
      <c r="AK76" s="107" t="e">
        <f>AK66/AK73</f>
        <v>#DIV/0!</v>
      </c>
      <c r="AL76" s="107" t="e">
        <f>AL66/AL73</f>
        <v>#DIV/0!</v>
      </c>
      <c r="AM76" s="107" t="e">
        <f>AM66/AM73</f>
        <v>#DIV/0!</v>
      </c>
      <c r="AN76" s="107" t="e">
        <f>AN66/AN73</f>
        <v>#DIV/0!</v>
      </c>
      <c r="AO76" s="107" t="e">
        <f>AO66/AO73</f>
        <v>#DIV/0!</v>
      </c>
      <c r="AP76" s="107" t="e">
        <f>AP66/AP73</f>
        <v>#DIV/0!</v>
      </c>
      <c r="AQ76" s="107" t="e">
        <f>AQ66/AQ73</f>
        <v>#DIV/0!</v>
      </c>
    </row>
    <row r="77" spans="2:43" ht="15" customHeight="1">
      <c r="B77" s="145" t="s">
        <v>206</v>
      </c>
      <c r="C77" s="151" t="s">
        <v>87</v>
      </c>
      <c r="D77" s="86">
        <f>D67/D73</f>
        <v>11.467690306762483</v>
      </c>
      <c r="E77" s="86">
        <f>E67/E73</f>
        <v>11.467690861917506</v>
      </c>
      <c r="F77" s="86">
        <f>F67/F73</f>
        <v>11.467640918580376</v>
      </c>
      <c r="G77" s="86">
        <f>G67/G73</f>
        <v>11.467691550097717</v>
      </c>
      <c r="H77" s="86">
        <f>H67/H73</f>
        <v>11.467669805860998</v>
      </c>
      <c r="I77" s="86">
        <f>I67/I73</f>
        <v>11.467701473816243</v>
      </c>
      <c r="J77" s="86">
        <f>J67/J73</f>
        <v>11.467689056812924</v>
      </c>
      <c r="K77" s="86">
        <f>K67/K73</f>
        <v>11.467689190402298</v>
      </c>
      <c r="L77" s="86">
        <f>L67/L73</f>
        <v>11.467718998862344</v>
      </c>
      <c r="M77" s="86">
        <f>M67/M73</f>
        <v>11.467685218867468</v>
      </c>
      <c r="N77" s="86">
        <f>N67/N73</f>
        <v>11.467706218859568</v>
      </c>
      <c r="O77" s="86">
        <f>O67/O73</f>
        <v>11.467682093341145</v>
      </c>
      <c r="P77" s="86">
        <f>P67/P73</f>
        <v>11.467689009450472</v>
      </c>
      <c r="Q77" s="86">
        <f>Q67/Q73</f>
        <v>11.467717792635465</v>
      </c>
      <c r="R77" s="86" t="e">
        <f>R67/R73</f>
        <v>#DIV/0!</v>
      </c>
      <c r="S77" s="86" t="e">
        <f>S67/S73</f>
        <v>#DIV/0!</v>
      </c>
      <c r="T77" s="86" t="e">
        <f>T67/T73</f>
        <v>#DIV/0!</v>
      </c>
      <c r="U77" s="86" t="e">
        <f>U67/U73</f>
        <v>#DIV/0!</v>
      </c>
      <c r="V77" s="86" t="e">
        <f>V67/V73</f>
        <v>#DIV/0!</v>
      </c>
      <c r="W77" s="86" t="e">
        <f>W67/W73</f>
        <v>#DIV/0!</v>
      </c>
      <c r="X77" s="86" t="e">
        <f>X67/X73</f>
        <v>#DIV/0!</v>
      </c>
      <c r="Y77" s="86" t="e">
        <f>Y67/Y73</f>
        <v>#DIV/0!</v>
      </c>
      <c r="Z77" s="86" t="e">
        <f>Z67/Z73</f>
        <v>#DIV/0!</v>
      </c>
      <c r="AA77" s="86" t="e">
        <f>AA67/AA73</f>
        <v>#DIV/0!</v>
      </c>
      <c r="AB77" s="86" t="e">
        <f>AB67/AB73</f>
        <v>#DIV/0!</v>
      </c>
      <c r="AC77" s="86" t="e">
        <f>AC67/AC73</f>
        <v>#DIV/0!</v>
      </c>
      <c r="AD77" s="86" t="e">
        <f>AD67/AD73</f>
        <v>#DIV/0!</v>
      </c>
      <c r="AE77" s="86" t="e">
        <f>AE67/AE73</f>
        <v>#DIV/0!</v>
      </c>
      <c r="AF77" s="86" t="e">
        <f>AF67/AF73</f>
        <v>#DIV/0!</v>
      </c>
      <c r="AG77" s="86" t="e">
        <f>AG67/AG73</f>
        <v>#DIV/0!</v>
      </c>
      <c r="AH77" s="86" t="e">
        <f>AH67/AH73</f>
        <v>#DIV/0!</v>
      </c>
      <c r="AI77" s="86" t="e">
        <f>AI67/AI73</f>
        <v>#DIV/0!</v>
      </c>
      <c r="AJ77" s="86" t="e">
        <f>AJ67/AJ73</f>
        <v>#DIV/0!</v>
      </c>
      <c r="AK77" s="86" t="e">
        <f>AK67/AK73</f>
        <v>#DIV/0!</v>
      </c>
      <c r="AL77" s="86" t="e">
        <f>AL67/AL73</f>
        <v>#DIV/0!</v>
      </c>
      <c r="AM77" s="86" t="e">
        <f>AM67/AM73</f>
        <v>#DIV/0!</v>
      </c>
      <c r="AN77" s="86" t="e">
        <f>AN67/AN73</f>
        <v>#DIV/0!</v>
      </c>
      <c r="AO77" s="86" t="e">
        <f>AO67/AO73</f>
        <v>#DIV/0!</v>
      </c>
      <c r="AP77" s="86" t="e">
        <f>AP67/AP73</f>
        <v>#DIV/0!</v>
      </c>
      <c r="AQ77" s="86" t="e">
        <f>AQ67/AQ73</f>
        <v>#DIV/0!</v>
      </c>
    </row>
    <row r="78" spans="2:43" ht="15" customHeight="1">
      <c r="B78" s="145" t="s">
        <v>207</v>
      </c>
      <c r="C78" s="151" t="s">
        <v>111</v>
      </c>
      <c r="D78" s="107">
        <f>D68/D73</f>
        <v>41.53491090200869</v>
      </c>
      <c r="E78" s="107">
        <f>E68/E73</f>
        <v>69.379980523946699</v>
      </c>
      <c r="F78" s="107">
        <f>F68/F73</f>
        <v>109.81628392484342</v>
      </c>
      <c r="G78" s="107">
        <f>G68/G73</f>
        <v>25.643799147469338</v>
      </c>
      <c r="H78" s="107">
        <f>H68/H73</f>
        <v>94.48219077182091</v>
      </c>
      <c r="I78" s="107">
        <f>I68/I73</f>
        <v>92.187206020696138</v>
      </c>
      <c r="J78" s="107">
        <f>J68/J73</f>
        <v>29.928311447948911</v>
      </c>
      <c r="K78" s="107">
        <f>K68/K73</f>
        <v>20.014491452607821</v>
      </c>
      <c r="L78" s="107">
        <f>L68/L73</f>
        <v>38.502844141069396</v>
      </c>
      <c r="M78" s="107">
        <f>M68/M73</f>
        <v>25.260054161109089</v>
      </c>
      <c r="N78" s="107">
        <f>N68/N73</f>
        <v>96.633788521867501</v>
      </c>
      <c r="O78" s="107">
        <f>O68/O73</f>
        <v>120.69966803358719</v>
      </c>
      <c r="P78" s="107">
        <f>P68/P73</f>
        <v>29.409181396569828</v>
      </c>
      <c r="Q78" s="107">
        <f>Q68/Q73</f>
        <v>82.947011276319728</v>
      </c>
      <c r="R78" s="107" t="e">
        <f>R68/R73</f>
        <v>#DIV/0!</v>
      </c>
      <c r="S78" s="107" t="e">
        <f>S68/S73</f>
        <v>#DIV/0!</v>
      </c>
      <c r="T78" s="107" t="e">
        <f>T68/T73</f>
        <v>#DIV/0!</v>
      </c>
      <c r="U78" s="107" t="e">
        <f>U68/U73</f>
        <v>#DIV/0!</v>
      </c>
      <c r="V78" s="107" t="e">
        <f>V68/V73</f>
        <v>#DIV/0!</v>
      </c>
      <c r="W78" s="107" t="e">
        <f>W68/W73</f>
        <v>#DIV/0!</v>
      </c>
      <c r="X78" s="107" t="e">
        <f>X68/X73</f>
        <v>#DIV/0!</v>
      </c>
      <c r="Y78" s="107" t="e">
        <f>Y68/Y73</f>
        <v>#DIV/0!</v>
      </c>
      <c r="Z78" s="107" t="e">
        <f>Z68/Z73</f>
        <v>#DIV/0!</v>
      </c>
      <c r="AA78" s="107" t="e">
        <f>AA68/AA73</f>
        <v>#DIV/0!</v>
      </c>
      <c r="AB78" s="107" t="e">
        <f>AB68/AB73</f>
        <v>#DIV/0!</v>
      </c>
      <c r="AC78" s="107" t="e">
        <f>AC68/AC73</f>
        <v>#DIV/0!</v>
      </c>
      <c r="AD78" s="107" t="e">
        <f>AD68/AD73</f>
        <v>#DIV/0!</v>
      </c>
      <c r="AE78" s="107" t="e">
        <f>AE68/AE73</f>
        <v>#DIV/0!</v>
      </c>
      <c r="AF78" s="107" t="e">
        <f>AF68/AF73</f>
        <v>#DIV/0!</v>
      </c>
      <c r="AG78" s="107" t="e">
        <f>AG68/AG73</f>
        <v>#DIV/0!</v>
      </c>
      <c r="AH78" s="107" t="e">
        <f>AH68/AH73</f>
        <v>#DIV/0!</v>
      </c>
      <c r="AI78" s="107" t="e">
        <f>AI68/AI73</f>
        <v>#DIV/0!</v>
      </c>
      <c r="AJ78" s="107" t="e">
        <f>AJ68/AJ73</f>
        <v>#DIV/0!</v>
      </c>
      <c r="AK78" s="107" t="e">
        <f>AK68/AK73</f>
        <v>#DIV/0!</v>
      </c>
      <c r="AL78" s="107" t="e">
        <f>AL68/AL73</f>
        <v>#DIV/0!</v>
      </c>
      <c r="AM78" s="107" t="e">
        <f>AM68/AM73</f>
        <v>#DIV/0!</v>
      </c>
      <c r="AN78" s="107" t="e">
        <f>AN68/AN73</f>
        <v>#DIV/0!</v>
      </c>
      <c r="AO78" s="107" t="e">
        <f>AO68/AO73</f>
        <v>#DIV/0!</v>
      </c>
      <c r="AP78" s="107" t="e">
        <f>AP68/AP73</f>
        <v>#DIV/0!</v>
      </c>
      <c r="AQ78" s="107" t="e">
        <f>AQ68/AQ73</f>
        <v>#DIV/0!</v>
      </c>
    </row>
    <row r="79" spans="2:43" ht="15" customHeight="1">
      <c r="B79" s="145" t="s">
        <v>208</v>
      </c>
      <c r="C79" s="151" t="s">
        <v>112</v>
      </c>
      <c r="D79" s="107">
        <f>D69/D73</f>
        <v>0</v>
      </c>
      <c r="E79" s="107">
        <f>E69/E73</f>
        <v>0</v>
      </c>
      <c r="F79" s="107">
        <f>F69/F73</f>
        <v>0</v>
      </c>
      <c r="G79" s="107">
        <f>G69/G73</f>
        <v>0</v>
      </c>
      <c r="H79" s="107">
        <f>H69/H73</f>
        <v>0</v>
      </c>
      <c r="I79" s="107">
        <f>I69/I73</f>
        <v>0</v>
      </c>
      <c r="J79" s="107">
        <f>J69/J73</f>
        <v>0</v>
      </c>
      <c r="K79" s="107">
        <f>K69/K73</f>
        <v>0</v>
      </c>
      <c r="L79" s="107">
        <f>L69/L73</f>
        <v>0</v>
      </c>
      <c r="M79" s="107">
        <f>M69/M73</f>
        <v>0</v>
      </c>
      <c r="N79" s="107">
        <f>N69/N73</f>
        <v>0</v>
      </c>
      <c r="O79" s="107">
        <f>O69/O73</f>
        <v>0</v>
      </c>
      <c r="P79" s="107">
        <f>P69/P73</f>
        <v>0</v>
      </c>
      <c r="Q79" s="107">
        <f>Q69/Q73</f>
        <v>0</v>
      </c>
      <c r="R79" s="107" t="e">
        <f>R69/R73</f>
        <v>#DIV/0!</v>
      </c>
      <c r="S79" s="107" t="e">
        <f>S69/S73</f>
        <v>#DIV/0!</v>
      </c>
      <c r="T79" s="107" t="e">
        <f>T69/T73</f>
        <v>#DIV/0!</v>
      </c>
      <c r="U79" s="107" t="e">
        <f>U69/U73</f>
        <v>#DIV/0!</v>
      </c>
      <c r="V79" s="107" t="e">
        <f>V69/V73</f>
        <v>#DIV/0!</v>
      </c>
      <c r="W79" s="107" t="e">
        <f>W69/W73</f>
        <v>#DIV/0!</v>
      </c>
      <c r="X79" s="107" t="e">
        <f>X69/X73</f>
        <v>#DIV/0!</v>
      </c>
      <c r="Y79" s="107" t="e">
        <f>Y69/Y73</f>
        <v>#DIV/0!</v>
      </c>
      <c r="Z79" s="107" t="e">
        <f>Z69/Z73</f>
        <v>#DIV/0!</v>
      </c>
      <c r="AA79" s="107" t="e">
        <f>AA69/AA73</f>
        <v>#DIV/0!</v>
      </c>
      <c r="AB79" s="107" t="e">
        <f>AB69/AB73</f>
        <v>#DIV/0!</v>
      </c>
      <c r="AC79" s="107" t="e">
        <f>AC69/AC73</f>
        <v>#DIV/0!</v>
      </c>
      <c r="AD79" s="107" t="e">
        <f>AD69/AD73</f>
        <v>#DIV/0!</v>
      </c>
      <c r="AE79" s="107" t="e">
        <f>AE69/AE73</f>
        <v>#DIV/0!</v>
      </c>
      <c r="AF79" s="107" t="e">
        <f>AF69/AF73</f>
        <v>#DIV/0!</v>
      </c>
      <c r="AG79" s="107" t="e">
        <f>AG69/AG73</f>
        <v>#DIV/0!</v>
      </c>
      <c r="AH79" s="107" t="e">
        <f>AH69/AH73</f>
        <v>#DIV/0!</v>
      </c>
      <c r="AI79" s="107" t="e">
        <f>AI69/AI73</f>
        <v>#DIV/0!</v>
      </c>
      <c r="AJ79" s="107" t="e">
        <f>AJ69/AJ73</f>
        <v>#DIV/0!</v>
      </c>
      <c r="AK79" s="107" t="e">
        <f>AK69/AK73</f>
        <v>#DIV/0!</v>
      </c>
      <c r="AL79" s="107" t="e">
        <f>AL69/AL73</f>
        <v>#DIV/0!</v>
      </c>
      <c r="AM79" s="107" t="e">
        <f>AM69/AM73</f>
        <v>#DIV/0!</v>
      </c>
      <c r="AN79" s="107" t="e">
        <f>AN69/AN73</f>
        <v>#DIV/0!</v>
      </c>
      <c r="AO79" s="107" t="e">
        <f>AO69/AO73</f>
        <v>#DIV/0!</v>
      </c>
      <c r="AP79" s="107" t="e">
        <f>AP69/AP73</f>
        <v>#DIV/0!</v>
      </c>
      <c r="AQ79" s="107" t="e">
        <f>AQ69/AQ73</f>
        <v>#DIV/0!</v>
      </c>
    </row>
    <row r="80" spans="2:43" ht="15" customHeight="1">
      <c r="B80" s="145" t="s">
        <v>209</v>
      </c>
      <c r="C80" s="151" t="s">
        <v>113</v>
      </c>
      <c r="D80" s="107">
        <f>D70/D73</f>
        <v>278.85352162804031</v>
      </c>
      <c r="E80" s="107">
        <f>E70/E73</f>
        <v>250.60682206650461</v>
      </c>
      <c r="F80" s="107">
        <f>F70/F73</f>
        <v>173.55323590814197</v>
      </c>
      <c r="G80" s="107">
        <f>G70/G73</f>
        <v>293.00604773556159</v>
      </c>
      <c r="H80" s="107">
        <f>H70/H73</f>
        <v>222.96948492660599</v>
      </c>
      <c r="I80" s="107">
        <f>I70/I73</f>
        <v>225.49790948050591</v>
      </c>
      <c r="J80" s="107">
        <f>J70/J73</f>
        <v>288.21425902694784</v>
      </c>
      <c r="K80" s="107">
        <f>K70/K73</f>
        <v>300.12056119112049</v>
      </c>
      <c r="L80" s="107">
        <f>L70/L73</f>
        <v>352.20883105802045</v>
      </c>
      <c r="M80" s="107">
        <f>M70/M73</f>
        <v>293.78489147568814</v>
      </c>
      <c r="N80" s="107">
        <f>N70/N73</f>
        <v>220.59868056837055</v>
      </c>
      <c r="O80" s="107">
        <f>O70/O73</f>
        <v>194.06053505174771</v>
      </c>
      <c r="P80" s="107">
        <f>P70/P73</f>
        <v>288.5826369443472</v>
      </c>
      <c r="Q80" s="107">
        <f>Q70/Q73</f>
        <v>303.36164055483482</v>
      </c>
      <c r="R80" s="107" t="e">
        <f>R70/R73</f>
        <v>#DIV/0!</v>
      </c>
      <c r="S80" s="107" t="e">
        <f>S70/S73</f>
        <v>#DIV/0!</v>
      </c>
      <c r="T80" s="107" t="e">
        <f>T70/T73</f>
        <v>#DIV/0!</v>
      </c>
      <c r="U80" s="107" t="e">
        <f>U70/U73</f>
        <v>#DIV/0!</v>
      </c>
      <c r="V80" s="107" t="e">
        <f>V70/V73</f>
        <v>#DIV/0!</v>
      </c>
      <c r="W80" s="107" t="e">
        <f>W70/W73</f>
        <v>#DIV/0!</v>
      </c>
      <c r="X80" s="107" t="e">
        <f>X70/X73</f>
        <v>#DIV/0!</v>
      </c>
      <c r="Y80" s="107" t="e">
        <f>Y70/Y73</f>
        <v>#DIV/0!</v>
      </c>
      <c r="Z80" s="107" t="e">
        <f>Z70/Z73</f>
        <v>#DIV/0!</v>
      </c>
      <c r="AA80" s="107" t="e">
        <f>AA70/AA73</f>
        <v>#DIV/0!</v>
      </c>
      <c r="AB80" s="107" t="e">
        <f>AB70/AB73</f>
        <v>#DIV/0!</v>
      </c>
      <c r="AC80" s="107" t="e">
        <f>AC70/AC73</f>
        <v>#DIV/0!</v>
      </c>
      <c r="AD80" s="107" t="e">
        <f>AD70/AD73</f>
        <v>#DIV/0!</v>
      </c>
      <c r="AE80" s="107" t="e">
        <f>AE70/AE73</f>
        <v>#DIV/0!</v>
      </c>
      <c r="AF80" s="107" t="e">
        <f>AF70/AF73</f>
        <v>#DIV/0!</v>
      </c>
      <c r="AG80" s="107" t="e">
        <f>AG70/AG73</f>
        <v>#DIV/0!</v>
      </c>
      <c r="AH80" s="107" t="e">
        <f>AH70/AH73</f>
        <v>#DIV/0!</v>
      </c>
      <c r="AI80" s="107" t="e">
        <f>AI70/AI73</f>
        <v>#DIV/0!</v>
      </c>
      <c r="AJ80" s="107" t="e">
        <f>AJ70/AJ73</f>
        <v>#DIV/0!</v>
      </c>
      <c r="AK80" s="107" t="e">
        <f>AK70/AK73</f>
        <v>#DIV/0!</v>
      </c>
      <c r="AL80" s="107" t="e">
        <f>AL70/AL73</f>
        <v>#DIV/0!</v>
      </c>
      <c r="AM80" s="107" t="e">
        <f>AM70/AM73</f>
        <v>#DIV/0!</v>
      </c>
      <c r="AN80" s="107" t="e">
        <f>AN70/AN73</f>
        <v>#DIV/0!</v>
      </c>
      <c r="AO80" s="107" t="e">
        <f>AO70/AO73</f>
        <v>#DIV/0!</v>
      </c>
      <c r="AP80" s="107" t="e">
        <f>AP70/AP73</f>
        <v>#DIV/0!</v>
      </c>
      <c r="AQ80" s="107" t="e">
        <f>AQ70/AQ73</f>
        <v>#DIV/0!</v>
      </c>
    </row>
    <row r="81" spans="2:43" ht="15" customHeight="1">
      <c r="B81" s="145" t="s">
        <v>210</v>
      </c>
      <c r="C81" s="151" t="s">
        <v>114</v>
      </c>
      <c r="D81" s="107">
        <f>D71/D73</f>
        <v>-187.15249476572643</v>
      </c>
      <c r="E81" s="107">
        <f>E71/E73</f>
        <v>-187.15249204954816</v>
      </c>
      <c r="F81" s="107">
        <f>F71/F73</f>
        <v>-187.15240083507308</v>
      </c>
      <c r="G81" s="107">
        <f>G71/G73</f>
        <v>-187.15250142344922</v>
      </c>
      <c r="H81" s="107">
        <f>H71/H73</f>
        <v>-187.15247014257906</v>
      </c>
      <c r="I81" s="107">
        <f>I71/I73</f>
        <v>-187.15250339709416</v>
      </c>
      <c r="J81" s="107">
        <f>J71/J73</f>
        <v>-187.1524949833107</v>
      </c>
      <c r="K81" s="107">
        <f>K71/K73</f>
        <v>-187.15249368403502</v>
      </c>
      <c r="L81" s="107">
        <f>L71/L73</f>
        <v>-187.15251706484642</v>
      </c>
      <c r="M81" s="107">
        <f>M71/M73</f>
        <v>-187.15249989895315</v>
      </c>
      <c r="N81" s="107">
        <f>N71/N73</f>
        <v>-187.15247278095589</v>
      </c>
      <c r="O81" s="107">
        <f>O71/O73</f>
        <v>-187.15250927553211</v>
      </c>
      <c r="P81" s="107">
        <f>P71/P73</f>
        <v>-187.1524982499125</v>
      </c>
      <c r="Q81" s="107">
        <f>Q71/Q73</f>
        <v>-187.15247979243588</v>
      </c>
      <c r="R81" s="107" t="e">
        <f>R71/R73</f>
        <v>#DIV/0!</v>
      </c>
      <c r="S81" s="107" t="e">
        <f>S71/S73</f>
        <v>#DIV/0!</v>
      </c>
      <c r="T81" s="107" t="e">
        <f>T71/T73</f>
        <v>#DIV/0!</v>
      </c>
      <c r="U81" s="107" t="e">
        <f>U71/U73</f>
        <v>#DIV/0!</v>
      </c>
      <c r="V81" s="107" t="e">
        <f>V71/V73</f>
        <v>#DIV/0!</v>
      </c>
      <c r="W81" s="107" t="e">
        <f>W71/W73</f>
        <v>#DIV/0!</v>
      </c>
      <c r="X81" s="107" t="e">
        <f>X71/X73</f>
        <v>#DIV/0!</v>
      </c>
      <c r="Y81" s="107" t="e">
        <f>Y71/Y73</f>
        <v>#DIV/0!</v>
      </c>
      <c r="Z81" s="107" t="e">
        <f>Z71/Z73</f>
        <v>#DIV/0!</v>
      </c>
      <c r="AA81" s="107" t="e">
        <f>AA71/AA73</f>
        <v>#DIV/0!</v>
      </c>
      <c r="AB81" s="107" t="e">
        <f>AB71/AB73</f>
        <v>#DIV/0!</v>
      </c>
      <c r="AC81" s="107" t="e">
        <f>AC71/AC73</f>
        <v>#DIV/0!</v>
      </c>
      <c r="AD81" s="107" t="e">
        <f>AD71/AD73</f>
        <v>#DIV/0!</v>
      </c>
      <c r="AE81" s="107" t="e">
        <f>AE71/AE73</f>
        <v>#DIV/0!</v>
      </c>
      <c r="AF81" s="107" t="e">
        <f>AF71/AF73</f>
        <v>#DIV/0!</v>
      </c>
      <c r="AG81" s="107" t="e">
        <f>AG71/AG73</f>
        <v>#DIV/0!</v>
      </c>
      <c r="AH81" s="107" t="e">
        <f>AH71/AH73</f>
        <v>#DIV/0!</v>
      </c>
      <c r="AI81" s="107" t="e">
        <f>AI71/AI73</f>
        <v>#DIV/0!</v>
      </c>
      <c r="AJ81" s="107" t="e">
        <f>AJ71/AJ73</f>
        <v>#DIV/0!</v>
      </c>
      <c r="AK81" s="107" t="e">
        <f>AK71/AK73</f>
        <v>#DIV/0!</v>
      </c>
      <c r="AL81" s="107" t="e">
        <f>AL71/AL73</f>
        <v>#DIV/0!</v>
      </c>
      <c r="AM81" s="107" t="e">
        <f>AM71/AM73</f>
        <v>#DIV/0!</v>
      </c>
      <c r="AN81" s="107" t="e">
        <f>AN71/AN73</f>
        <v>#DIV/0!</v>
      </c>
      <c r="AO81" s="107" t="e">
        <f>AO71/AO73</f>
        <v>#DIV/0!</v>
      </c>
      <c r="AP81" s="107" t="e">
        <f>AP71/AP73</f>
        <v>#DIV/0!</v>
      </c>
      <c r="AQ81" s="107" t="e">
        <f>AQ71/AQ73</f>
        <v>#DIV/0!</v>
      </c>
    </row>
    <row r="82" spans="2:43" ht="15" customHeight="1">
      <c r="B82" s="147" t="s">
        <v>211</v>
      </c>
      <c r="C82" s="169" t="s">
        <v>115</v>
      </c>
      <c r="D82" s="107">
        <f>D72/D73</f>
        <v>585.4388617075266</v>
      </c>
      <c r="E82" s="107">
        <f>E72/E73</f>
        <v>557.63629491920165</v>
      </c>
      <c r="F82" s="107">
        <f>F72/F73</f>
        <v>407.41858037578288</v>
      </c>
      <c r="G82" s="107">
        <f>G72/G73</f>
        <v>604.05119800563227</v>
      </c>
      <c r="H82" s="107">
        <f>H72/H73</f>
        <v>503.75682643236701</v>
      </c>
      <c r="I82" s="107">
        <f>I72/I73</f>
        <v>508.68610849796175</v>
      </c>
      <c r="J82" s="107">
        <f>J72/J73</f>
        <v>595.23828717484309</v>
      </c>
      <c r="K82" s="107">
        <f>K72/K73</f>
        <v>617.13593752003794</v>
      </c>
      <c r="L82" s="107">
        <f>L72/L73</f>
        <v>712.93494027303757</v>
      </c>
      <c r="M82" s="107">
        <f>M72/M73</f>
        <v>605.48361020168954</v>
      </c>
      <c r="N82" s="107">
        <f>N72/N73</f>
        <v>499.13498800516703</v>
      </c>
      <c r="O82" s="107">
        <f>O72/O73</f>
        <v>447.3984247868255</v>
      </c>
      <c r="P82" s="107">
        <f>P72/P73</f>
        <v>595.91579891494575</v>
      </c>
      <c r="Q82" s="107">
        <f>Q72/Q73</f>
        <v>623.09689651731367</v>
      </c>
      <c r="R82" s="107" t="e">
        <f>R72/R73</f>
        <v>#DIV/0!</v>
      </c>
      <c r="S82" s="107" t="e">
        <f>S72/S73</f>
        <v>#DIV/0!</v>
      </c>
      <c r="T82" s="107" t="e">
        <f>T72/T73</f>
        <v>#DIV/0!</v>
      </c>
      <c r="U82" s="107" t="e">
        <f>U72/U73</f>
        <v>#DIV/0!</v>
      </c>
      <c r="V82" s="107" t="e">
        <f>V72/V73</f>
        <v>#DIV/0!</v>
      </c>
      <c r="W82" s="107" t="e">
        <f>W72/W73</f>
        <v>#DIV/0!</v>
      </c>
      <c r="X82" s="107" t="e">
        <f>X72/X73</f>
        <v>#DIV/0!</v>
      </c>
      <c r="Y82" s="107" t="e">
        <f>Y72/Y73</f>
        <v>#DIV/0!</v>
      </c>
      <c r="Z82" s="107" t="e">
        <f>Z72/Z73</f>
        <v>#DIV/0!</v>
      </c>
      <c r="AA82" s="107" t="e">
        <f>AA72/AA73</f>
        <v>#DIV/0!</v>
      </c>
      <c r="AB82" s="107" t="e">
        <f>AB72/AB73</f>
        <v>#DIV/0!</v>
      </c>
      <c r="AC82" s="107" t="e">
        <f>AC72/AC73</f>
        <v>#DIV/0!</v>
      </c>
      <c r="AD82" s="107" t="e">
        <f>AD72/AD73</f>
        <v>#DIV/0!</v>
      </c>
      <c r="AE82" s="107" t="e">
        <f>AE72/AE73</f>
        <v>#DIV/0!</v>
      </c>
      <c r="AF82" s="107" t="e">
        <f>AF72/AF73</f>
        <v>#DIV/0!</v>
      </c>
      <c r="AG82" s="107" t="e">
        <f>AG72/AG73</f>
        <v>#DIV/0!</v>
      </c>
      <c r="AH82" s="107" t="e">
        <f>AH72/AH73</f>
        <v>#DIV/0!</v>
      </c>
      <c r="AI82" s="107" t="e">
        <f>AI72/AI73</f>
        <v>#DIV/0!</v>
      </c>
      <c r="AJ82" s="107" t="e">
        <f>AJ72/AJ73</f>
        <v>#DIV/0!</v>
      </c>
      <c r="AK82" s="107" t="e">
        <f>AK72/AK73</f>
        <v>#DIV/0!</v>
      </c>
      <c r="AL82" s="107" t="e">
        <f>AL72/AL73</f>
        <v>#DIV/0!</v>
      </c>
      <c r="AM82" s="107" t="e">
        <f>AM72/AM73</f>
        <v>#DIV/0!</v>
      </c>
      <c r="AN82" s="107" t="e">
        <f>AN72/AN73</f>
        <v>#DIV/0!</v>
      </c>
      <c r="AO82" s="107" t="e">
        <f>AO72/AO73</f>
        <v>#DIV/0!</v>
      </c>
      <c r="AP82" s="107" t="e">
        <f>AP72/AP73</f>
        <v>#DIV/0!</v>
      </c>
      <c r="AQ82" s="107" t="e">
        <f>AQ72/AQ73</f>
        <v>#DIV/0!</v>
      </c>
    </row>
    <row r="83" spans="2:43" ht="15" customHeight="1"/>
  </sheetData>
  <sheetProtection algorithmName="SHA-512" hashValue="gCTeA2bXkCHmtcsaVsSI3wkqpi1Akd4YK0WJTCBp2XkXpSSeDpH1esqlQ1ffE5Dw+up3qSrQcIlBqaoS3ToWFg==" saltValue="w7ZKxSOG2UUKvQBQPDzJag==" spinCount="100000" sheet="1" objects="1"/>
  <mergeCells count="9">
    <mergeCell ref="E59:AQ59"/>
    <mergeCell ref="E60:AQ60"/>
    <mergeCell ref="E61:AQ61"/>
    <mergeCell ref="E48:AQ48"/>
    <mergeCell ref="C7:V8"/>
    <mergeCell ref="E10:AQ10"/>
    <mergeCell ref="E11:AQ11"/>
    <mergeCell ref="E21:AQ21"/>
    <mergeCell ref="E22:AQ22"/>
  </mergeCells>
  <dataValidations xWindow="756" yWindow="613" count="38">
    <dataValidation allowBlank="1" showInputMessage="1" showErrorMessage="1" promptTitle="Required:" prompt="Enter the Age Calibration Factor as a numeric value greater than or equal to 0 with up to 16 characters including decimal place." sqref="D59"/>
    <dataValidation allowBlank="1" showInputMessage="1" showErrorMessage="1" promptTitle="Required:" prompt="Enter the Geographic Calibration Factor as a numeric value greater than or equal to 0 with up to 16 characters including decimal place." sqref="D60"/>
    <dataValidation allowBlank="1" showInputMessage="1" showErrorMessage="1" promptTitle="Required:" prompt="Enter the Tobacco Calibration Factor as a numeric value greater than or equal to 0 with up to 16 characters including decimal place." sqref="D61"/>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AQ73">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AQ72"/>
    <dataValidation allowBlank="1" showInputMessage="1" showErrorMessage="1" promptTitle="Required:" prompt="Enter the Risk Adjustment Transfer Amount for the benefit plan for the projection period as a dollar value with up to 16 characters including decimal place." sqref="E71:AQ71"/>
    <dataValidation allowBlank="1" showInputMessage="1" showErrorMessage="1" promptTitle="Required:" prompt="Enter the Cost Sharing Reduction for the benefit plan for the projection period as a dollar value with up to 16 characters including decimal place." sqref="E69:AQ69"/>
    <dataValidation allowBlank="1" showInputMessage="1" showErrorMessage="1" promptTitle="Required:" prompt="Enter the Member Cost Sharing for the benefit plan for the projection period as a dollar value with up to 16 characters including decimal place." sqref="E68:AQ68"/>
    <dataValidation allowBlank="1" showInputMessage="1" showErrorMessage="1" promptTitle="Required:" prompt="Enter the Reinsurance for the benefit plan for the projection period as a dollar value with up to 16 characters including decimal place." sqref="E67:AQ67"/>
    <dataValidation allowBlank="1" showInputMessage="1" showErrorMessage="1" promptTitle="Required:" prompt="Enter the total allowed claims for the benefit plan for the projection period as a dollar value with up to 16 characters including decimal place." sqref="E66:AQ66"/>
    <dataValidation allowBlank="1" showInputMessage="1" showErrorMessage="1" promptTitle="Required:" prompt="Enter the Catastrophic Adjustment for each plan as a numeric value greater than or equal to 0 with up to 16 characters including decimal place." sqref="E56:AQ56"/>
    <dataValidation allowBlank="1" showInputMessage="1" showErrorMessage="1" promptTitle="Required:" prompt="Enter the Profit and Risk Load as a percentage up to 16 characters including decimal place." sqref="E55:AQ55"/>
    <dataValidation allowBlank="1" showInputMessage="1" showErrorMessage="1" promptTitle="Required:" prompt="Enter the Taxes and Fees as a percentage up to 16 characters including decimal place." sqref="E54:AQ54"/>
    <dataValidation allowBlank="1" showInputMessage="1" showErrorMessage="1" promptTitle="Required:" prompt="Enter the Administrative Expense as a percentage up to 16 characters including decimal place." sqref="E53:AQ53"/>
    <dataValidation allowBlank="1" showInputMessage="1" showErrorMessage="1" promptTitle="Required:" prompt="Enter the Benefits in Addition to EHB as a numeric value up to 16 characters including decimal place." sqref="E51:AQ51"/>
    <dataValidation allowBlank="1" showInputMessage="1" showErrorMessage="1" promptTitle="Required:" prompt="Enter the Provider Network Adjustment as a numeric value up to 16 characters including decimal place." sqref="E50:AQ50"/>
    <dataValidation allowBlank="1" showInputMessage="1" showErrorMessage="1" promptTitle="Required:" prompt="Enter the AV Cost Sharing Design of Plan as a numeric value up to 16 characters including decimal place." sqref="E49:AQ49"/>
    <dataValidation allowBlank="1" showInputMessage="1" showErrorMessage="1" promptTitle="Required:" prompt="Enter the Current Premium PMPM as a dollar amount greater than or equal to 0, with up to 16 characters including decimal place." sqref="E35:AQ35"/>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AQ34">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AQ33">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AQ32"/>
    <dataValidation allowBlank="1" showInputMessage="1" showErrorMessage="1" promptTitle="Required:" prompt="Enter the Risk Adjustment Transfer Amount for the benefit plan with service dates within the experience period as a dollar value with up to 16 characters including decimal place." sqref="E31:AQ31"/>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AQ30">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AQ29"/>
    <dataValidation allowBlank="1" showInputMessage="1" showErrorMessage="1" promptTitle="Required:" prompt="Enter the Member Cost Sharing for the benefit plan with service dates within the experience period as a dollar value with up to 16 characters including decimal place." sqref="E28:AQ28"/>
    <dataValidation allowBlank="1" showInputMessage="1" showErrorMessage="1" promptTitle="Required:" prompt="Enter Reinsurance for the benefit plan with service dates within the experience period as a dollar value with up to 16 characters including decimal place." sqref="E27:AQ27"/>
    <dataValidation allowBlank="1" showInputMessage="1" showErrorMessage="1" promptTitle="Required:" prompt="Enter the total allowed claims for the benefit plan with service dates within the experience period as a dollar value with up to 16 characters including decimal place." sqref="E26:AQ26"/>
    <dataValidation allowBlank="1" showInputMessage="1" showErrorMessage="1" promptTitle="Required:" prompt="Enter the average change in premium rates over the twelve month period prior to the effective date for the plan as a percentage with up to 16 characters including decimal place." sqref="E20:AQ20"/>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AQ19">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AQ18">
      <formula1>YesNo</formula1>
    </dataValidation>
    <dataValidation allowBlank="1" showInputMessage="1" showErrorMessage="1" promptTitle="Required:" prompt="Enter the AV Metal Value for the designated plan as a numeric value between 0 and 1, with up to 16 characters including decimal place." sqref="E15:AQ15"/>
    <dataValidation type="list" operator="greaterThan" allowBlank="1" showInputMessage="1" showErrorMessage="1" errorTitle="Value not valid:" error="Select a value from the list." promptTitle="Required:" prompt="Select the Plan Category for the designated plan." sqref="E16:AQ16">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AQ13">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AQ12">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AQ14">
      <formula1>MetalLevels</formula1>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formula1>0</formula1>
      <formula2>100</formula2>
    </dataValidation>
    <dataValidation type="list" allowBlank="1" showInputMessage="1" showErrorMessage="1" errorTitle="Value not valid:" error="Select a value from the list." promptTitle="Required:" prompt="Select the Plan Type for the designated plan." sqref="E17:AQ17">
      <formula1>"HMO, PPO, Indemnity, EPO, POS"</formula1>
    </dataValidation>
  </dataValidations>
  <pageMargins left="0.7" right="0.7" top="0.75" bottom="0.75" header="0.3" footer="0.3"/>
  <pageSetup scale="41"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3</xdr:row>
                    <xdr:rowOff>0</xdr:rowOff>
                  </from>
                  <to>
                    <xdr:col>5</xdr:col>
                    <xdr:colOff>1038225</xdr:colOff>
                    <xdr:row>4</xdr:row>
                    <xdr:rowOff>38100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3</xdr:row>
                    <xdr:rowOff>0</xdr:rowOff>
                  </from>
                  <to>
                    <xdr:col>8</xdr:col>
                    <xdr:colOff>104775</xdr:colOff>
                    <xdr:row>4</xdr:row>
                    <xdr:rowOff>38100</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3</xdr:row>
                    <xdr:rowOff>0</xdr:rowOff>
                  </from>
                  <to>
                    <xdr:col>9</xdr:col>
                    <xdr:colOff>161925</xdr:colOff>
                    <xdr:row>4</xdr:row>
                    <xdr:rowOff>38100</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3</xdr:row>
                    <xdr:rowOff>0</xdr:rowOff>
                  </from>
                  <to>
                    <xdr:col>7</xdr:col>
                    <xdr:colOff>47625</xdr:colOff>
                    <xdr:row>4</xdr:row>
                    <xdr:rowOff>38100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9"/>
  <sheetViews>
    <sheetView zoomScaleNormal="100" workbookViewId="0">
      <selection activeCell="E11" sqref="E11"/>
    </sheetView>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87" t="s">
        <v>314</v>
      </c>
      <c r="B6" s="91">
        <v>1.0001097426000001</v>
      </c>
    </row>
    <row r="7" spans="1:3">
      <c r="A7" s="87" t="s">
        <v>315</v>
      </c>
      <c r="B7" s="91">
        <v>0.83371809520999995</v>
      </c>
    </row>
    <row r="8" spans="1:3">
      <c r="A8" s="87" t="s">
        <v>319</v>
      </c>
      <c r="B8" s="91">
        <v>0.99497288867</v>
      </c>
    </row>
    <row r="9" spans="1:3">
      <c r="A9" s="87" t="s">
        <v>324</v>
      </c>
      <c r="B9" s="91">
        <v>0.78648092570000006</v>
      </c>
    </row>
  </sheetData>
  <sheetProtection algorithmName="SHA-512" hashValue="RsmWkWlhQz8og9ibfHvtfzBEIqOU/2bdVrat9nxsN2wFftlC8y3fuzfDpCAKPI2vfAQR4dBpyDzeiBHMaUXmdA==" saltValue="7Ae2mgKFEVaQmj+eay5KhA==" spinCount="100000" sheet="1" objects="1" scenarios="1"/>
  <dataValidations count="2">
    <dataValidation type="list" allowBlank="1" showInputMessage="1" showErrorMessage="1" errorTitle="Value not valid:" error="Select a Rating Area value from the list." promptTitle="Required:" prompt="Select a Rating Area from the list." sqref="A6:A1048576">
      <formula1>RatingAreas</formula1>
    </dataValidation>
    <dataValidation allowBlank="1" showInputMessage="1" showErrorMessage="1" promptTitle="Required:" prompt="Enter the Rating Factor as a numeric value, up to 16 characters including decimal place." sqref="B6:B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5"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6"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2:23" ht="18.75">
      <c r="C1" s="16" t="s">
        <v>13</v>
      </c>
      <c r="D1" s="16"/>
      <c r="E1" s="3"/>
      <c r="F1" s="3"/>
      <c r="G1" s="3"/>
      <c r="H1" s="3"/>
      <c r="I1" s="4"/>
      <c r="J1" s="1"/>
      <c r="K1" s="1"/>
      <c r="L1" s="1"/>
      <c r="M1" s="1"/>
      <c r="N1" s="1"/>
      <c r="O1" s="1"/>
      <c r="P1" s="1"/>
      <c r="Q1" s="1"/>
      <c r="R1" s="1"/>
      <c r="S1" s="1"/>
      <c r="T1" s="1"/>
      <c r="U1" s="1"/>
      <c r="V1" s="1"/>
    </row>
    <row r="2" spans="2:23" ht="18.75">
      <c r="C2" s="3"/>
      <c r="D2" s="3"/>
      <c r="E2" s="3"/>
      <c r="F2" s="3"/>
      <c r="G2" s="3"/>
      <c r="H2" s="3"/>
      <c r="I2" s="4"/>
      <c r="J2" s="1"/>
      <c r="K2" s="1"/>
      <c r="L2" s="1"/>
      <c r="M2" s="1"/>
      <c r="N2" s="1"/>
      <c r="O2" s="1"/>
      <c r="P2" s="1"/>
      <c r="Q2" s="1"/>
      <c r="R2" s="1"/>
      <c r="S2" s="1"/>
      <c r="T2" s="1"/>
      <c r="U2" s="1"/>
      <c r="V2" s="1"/>
    </row>
    <row r="3" spans="2:23" ht="18.75">
      <c r="C3" s="6" t="s">
        <v>5</v>
      </c>
      <c r="D3" s="3" t="str">
        <f>IF('Wksh 1 - Market Experience'!C3&lt;&gt;"", 'Wksh 1 - Market Experience'!C3,"")</f>
        <v>Oscar Health Plan of Georgia</v>
      </c>
      <c r="F3" s="3"/>
      <c r="G3" s="21"/>
      <c r="J3" s="1"/>
      <c r="K3" s="1"/>
      <c r="N3" s="6" t="s">
        <v>7</v>
      </c>
      <c r="O3" s="74" t="str">
        <f>IF('Wksh 1 - Market Experience'!E4="","",'Wksh 1 - Market Experience'!E4)</f>
        <v>GA</v>
      </c>
      <c r="P3" s="1"/>
    </row>
    <row r="4" spans="2:23" ht="18.75">
      <c r="C4" s="7" t="s">
        <v>6</v>
      </c>
      <c r="D4" s="4">
        <f>IF('Wksh 1 - Market Experience'!C4&lt;&gt;"", 'Wksh 1 - Market Experience'!C4,"")</f>
        <v>58081</v>
      </c>
      <c r="F4" s="3"/>
      <c r="G4" s="68"/>
      <c r="J4" s="1"/>
      <c r="K4" s="1"/>
      <c r="N4" s="6" t="s">
        <v>9</v>
      </c>
      <c r="O4" s="74" t="str">
        <f>IF('Wksh 1 - Market Experience'!E5="","",'Wksh 1 - Market Experience'!E5)</f>
        <v>Individual</v>
      </c>
      <c r="P4" s="1"/>
    </row>
    <row r="5" spans="2:23" ht="18.75">
      <c r="C5" s="6" t="s">
        <v>14</v>
      </c>
      <c r="D5" s="83" t="e">
        <f>IF('Wksh 1 - Market Experience'!#REF!&lt;&gt;"", 'Wksh 1 - Market Experience'!#REF!,"")</f>
        <v>#REF!</v>
      </c>
      <c r="F5" s="3"/>
      <c r="G5" s="253"/>
      <c r="H5" s="253"/>
      <c r="I5" s="254"/>
      <c r="J5" s="1"/>
      <c r="K5" s="1"/>
      <c r="L5" s="1"/>
      <c r="M5" s="1"/>
      <c r="N5" s="1"/>
      <c r="O5" s="1"/>
      <c r="P5" s="1"/>
      <c r="Q5" s="1"/>
      <c r="R5" s="1"/>
      <c r="S5" s="1"/>
      <c r="T5" s="1"/>
      <c r="U5" s="1"/>
      <c r="V5" s="1"/>
    </row>
    <row r="6" spans="2:23">
      <c r="C6" s="1"/>
      <c r="D6" s="1"/>
      <c r="E6" s="1"/>
      <c r="F6" s="1"/>
      <c r="G6" s="1"/>
      <c r="H6" s="1"/>
      <c r="I6" s="2"/>
      <c r="J6" s="1"/>
      <c r="K6" s="1"/>
      <c r="L6" s="1"/>
      <c r="M6" s="1"/>
      <c r="N6" s="1"/>
      <c r="O6" s="1"/>
      <c r="P6" s="1"/>
      <c r="Q6" s="1"/>
      <c r="R6" s="1"/>
      <c r="S6" s="1"/>
      <c r="T6" s="1"/>
      <c r="U6" s="1"/>
      <c r="V6" s="1"/>
    </row>
    <row r="7" spans="2:23">
      <c r="C7" s="15" t="s">
        <v>15</v>
      </c>
      <c r="D7" s="23"/>
      <c r="E7" s="8"/>
      <c r="F7" s="8"/>
      <c r="G7" s="8"/>
      <c r="H7" s="8"/>
      <c r="I7" s="9"/>
      <c r="J7" s="8"/>
      <c r="K7" s="8"/>
      <c r="L7" s="8"/>
      <c r="M7" s="8"/>
      <c r="N7" s="8"/>
      <c r="O7" s="8"/>
      <c r="P7" s="8"/>
      <c r="Q7" s="8"/>
      <c r="R7" s="8"/>
      <c r="S7" s="8"/>
      <c r="T7" s="8"/>
      <c r="U7" s="8"/>
      <c r="V7" s="8"/>
      <c r="W7" s="10"/>
    </row>
    <row r="8" spans="2:23">
      <c r="C8" s="11"/>
      <c r="D8" s="12"/>
      <c r="E8" s="12"/>
      <c r="F8" s="12"/>
      <c r="G8" s="12"/>
      <c r="H8" s="12"/>
      <c r="I8" s="13"/>
      <c r="J8" s="12"/>
      <c r="K8" s="12"/>
      <c r="L8" s="12"/>
      <c r="M8" s="12"/>
      <c r="N8" s="12"/>
      <c r="O8" s="12"/>
      <c r="P8" s="12"/>
      <c r="Q8" s="12"/>
      <c r="R8" s="12"/>
      <c r="S8" s="12"/>
      <c r="T8" s="12"/>
      <c r="U8" s="12"/>
      <c r="V8" s="12"/>
      <c r="W8" s="14"/>
    </row>
    <row r="9" spans="2:23">
      <c r="B9" s="75" t="s">
        <v>103</v>
      </c>
      <c r="C9" s="19" t="s">
        <v>77</v>
      </c>
      <c r="D9" s="19"/>
      <c r="E9" s="17"/>
      <c r="F9" s="17"/>
      <c r="G9" s="17"/>
      <c r="H9" s="17"/>
      <c r="I9" s="18"/>
      <c r="J9" s="17"/>
      <c r="K9" s="17"/>
      <c r="L9" s="17"/>
      <c r="M9" s="17"/>
      <c r="N9" s="17"/>
      <c r="O9" s="17"/>
      <c r="P9" s="17"/>
      <c r="Q9" s="17"/>
      <c r="R9" s="17"/>
      <c r="S9" s="17"/>
      <c r="T9" s="17"/>
      <c r="U9" s="17"/>
      <c r="V9" s="17"/>
    </row>
    <row r="10" spans="2:23">
      <c r="B10" s="145" t="s">
        <v>155</v>
      </c>
      <c r="C10" s="146" t="s">
        <v>104</v>
      </c>
      <c r="D10" s="255"/>
      <c r="E10" s="176"/>
      <c r="I10" s="70"/>
      <c r="J10" s="70"/>
      <c r="K10" s="70" t="s">
        <v>312</v>
      </c>
      <c r="L10" s="67" t="s">
        <v>27</v>
      </c>
      <c r="M10" s="70" t="s">
        <v>81</v>
      </c>
      <c r="N10" s="70" t="s">
        <v>139</v>
      </c>
      <c r="O10" s="70" t="s">
        <v>145</v>
      </c>
    </row>
    <row r="11" spans="2:23">
      <c r="B11" s="145" t="s">
        <v>156</v>
      </c>
      <c r="C11" s="146" t="s">
        <v>105</v>
      </c>
      <c r="D11" s="256"/>
      <c r="E11" s="176"/>
      <c r="I11" s="70"/>
      <c r="J11" s="70"/>
      <c r="K11" s="70" t="s">
        <v>313</v>
      </c>
      <c r="L11" s="67" t="s">
        <v>28</v>
      </c>
      <c r="M11" s="70" t="s">
        <v>82</v>
      </c>
      <c r="N11" s="70" t="s">
        <v>140</v>
      </c>
      <c r="O11" s="70" t="s">
        <v>146</v>
      </c>
    </row>
    <row r="12" spans="2:23">
      <c r="B12" s="145" t="s">
        <v>157</v>
      </c>
      <c r="C12" s="146" t="s">
        <v>10</v>
      </c>
      <c r="D12" s="256"/>
      <c r="E12" s="178"/>
      <c r="I12" s="70"/>
      <c r="J12" s="70"/>
      <c r="K12" s="70" t="s">
        <v>314</v>
      </c>
      <c r="L12" s="67" t="s">
        <v>29</v>
      </c>
      <c r="M12" s="70" t="s">
        <v>83</v>
      </c>
      <c r="N12" s="70" t="s">
        <v>141</v>
      </c>
    </row>
    <row r="13" spans="2:23">
      <c r="B13" s="145" t="s">
        <v>158</v>
      </c>
      <c r="C13" s="146" t="s">
        <v>106</v>
      </c>
      <c r="D13" s="256"/>
      <c r="E13" s="179"/>
      <c r="I13" s="70"/>
      <c r="K13" s="70" t="s">
        <v>315</v>
      </c>
      <c r="L13" s="67" t="s">
        <v>30</v>
      </c>
      <c r="N13" s="70" t="s">
        <v>142</v>
      </c>
    </row>
    <row r="14" spans="2:23">
      <c r="B14" s="145" t="s">
        <v>159</v>
      </c>
      <c r="C14" s="146" t="s">
        <v>107</v>
      </c>
      <c r="D14" s="256"/>
      <c r="E14" s="180"/>
      <c r="K14" s="70" t="s">
        <v>316</v>
      </c>
      <c r="L14" s="67" t="s">
        <v>31</v>
      </c>
      <c r="N14" s="70" t="s">
        <v>143</v>
      </c>
    </row>
    <row r="15" spans="2:23">
      <c r="B15" s="145" t="s">
        <v>160</v>
      </c>
      <c r="C15" s="146" t="s">
        <v>26</v>
      </c>
      <c r="D15" s="256"/>
      <c r="E15" s="181"/>
      <c r="K15" s="70" t="s">
        <v>317</v>
      </c>
      <c r="L15" s="67" t="s">
        <v>32</v>
      </c>
      <c r="N15" s="70" t="s">
        <v>144</v>
      </c>
    </row>
    <row r="16" spans="2:23">
      <c r="B16" s="145" t="s">
        <v>161</v>
      </c>
      <c r="C16" s="146" t="s">
        <v>80</v>
      </c>
      <c r="D16" s="256"/>
      <c r="E16" s="178"/>
      <c r="K16" t="s">
        <v>318</v>
      </c>
      <c r="L16" s="67" t="s">
        <v>33</v>
      </c>
    </row>
    <row r="17" spans="1:12">
      <c r="B17" s="145" t="s">
        <v>154</v>
      </c>
      <c r="C17" s="146" t="s">
        <v>108</v>
      </c>
      <c r="D17" s="256"/>
      <c r="E17" s="178"/>
      <c r="K17" t="s">
        <v>319</v>
      </c>
      <c r="L17" s="67" t="s">
        <v>35</v>
      </c>
    </row>
    <row r="18" spans="1:12">
      <c r="B18" s="145" t="s">
        <v>153</v>
      </c>
      <c r="C18" s="146" t="s">
        <v>16</v>
      </c>
      <c r="D18" s="256"/>
      <c r="E18" s="182"/>
      <c r="K18" t="s">
        <v>320</v>
      </c>
      <c r="L18" s="67" t="s">
        <v>34</v>
      </c>
    </row>
    <row r="19" spans="1:12">
      <c r="B19" s="145" t="s">
        <v>149</v>
      </c>
      <c r="C19" s="146" t="s">
        <v>25</v>
      </c>
      <c r="D19" s="256"/>
      <c r="E19" s="183"/>
      <c r="K19" t="s">
        <v>321</v>
      </c>
      <c r="L19" s="67" t="s">
        <v>36</v>
      </c>
    </row>
    <row r="20" spans="1:12">
      <c r="B20" s="145" t="s">
        <v>150</v>
      </c>
      <c r="C20" s="146" t="s">
        <v>109</v>
      </c>
      <c r="D20" s="256"/>
      <c r="E20" s="184"/>
      <c r="K20" t="s">
        <v>322</v>
      </c>
      <c r="L20" s="67" t="s">
        <v>37</v>
      </c>
    </row>
    <row r="21" spans="1:12">
      <c r="B21" s="145" t="s">
        <v>151</v>
      </c>
      <c r="C21" s="146" t="s">
        <v>84</v>
      </c>
      <c r="D21" s="256"/>
      <c r="E21" s="177"/>
      <c r="K21" t="s">
        <v>323</v>
      </c>
      <c r="L21" s="67" t="s">
        <v>38</v>
      </c>
    </row>
    <row r="22" spans="1:12">
      <c r="B22" s="147" t="s">
        <v>152</v>
      </c>
      <c r="C22" s="138" t="s">
        <v>212</v>
      </c>
      <c r="D22" s="257"/>
      <c r="E22" s="177"/>
      <c r="K22" t="s">
        <v>324</v>
      </c>
      <c r="L22" s="67" t="s">
        <v>39</v>
      </c>
    </row>
    <row r="23" spans="1:12">
      <c r="E23" s="73"/>
      <c r="L23" s="67" t="s">
        <v>40</v>
      </c>
    </row>
    <row r="24" spans="1:12" ht="18.75">
      <c r="A24" s="6"/>
      <c r="B24" s="75"/>
      <c r="C24" s="78" t="s">
        <v>110</v>
      </c>
      <c r="D24" s="1"/>
      <c r="E24" s="17"/>
      <c r="L24" s="67" t="s">
        <v>41</v>
      </c>
    </row>
    <row r="25" spans="1:12" ht="18.75">
      <c r="A25" s="6"/>
      <c r="B25" s="145" t="s">
        <v>162</v>
      </c>
      <c r="C25" s="146" t="s">
        <v>106</v>
      </c>
      <c r="D25" s="185" t="s">
        <v>2</v>
      </c>
      <c r="E25" s="90" t="str">
        <f>IF(E13&lt;&gt;"",E13,"")</f>
        <v/>
      </c>
      <c r="L25" s="67" t="s">
        <v>42</v>
      </c>
    </row>
    <row r="26" spans="1:12" ht="18.75">
      <c r="A26" s="6"/>
      <c r="B26" s="145" t="s">
        <v>163</v>
      </c>
      <c r="C26" s="146" t="s">
        <v>86</v>
      </c>
      <c r="D26" s="158">
        <f>SUM(E26:XFD26)</f>
        <v>0</v>
      </c>
      <c r="E26" s="186"/>
      <c r="L26" s="67" t="s">
        <v>43</v>
      </c>
    </row>
    <row r="27" spans="1:12" ht="18.75">
      <c r="A27" s="6"/>
      <c r="B27" s="145" t="s">
        <v>164</v>
      </c>
      <c r="C27" s="151" t="s">
        <v>87</v>
      </c>
      <c r="D27" s="158">
        <f>SUM(E27:XFD27)</f>
        <v>0</v>
      </c>
      <c r="E27" s="186"/>
      <c r="L27" s="67" t="s">
        <v>44</v>
      </c>
    </row>
    <row r="28" spans="1:12" ht="18.75">
      <c r="A28" s="6"/>
      <c r="B28" s="145" t="s">
        <v>165</v>
      </c>
      <c r="C28" s="151" t="s">
        <v>111</v>
      </c>
      <c r="D28" s="159">
        <f>SUM(E28:XFD28)</f>
        <v>0</v>
      </c>
      <c r="E28" s="186"/>
      <c r="L28" s="67" t="s">
        <v>45</v>
      </c>
    </row>
    <row r="29" spans="1:12" ht="18.75">
      <c r="A29" s="6"/>
      <c r="B29" s="145" t="s">
        <v>166</v>
      </c>
      <c r="C29" s="151" t="s">
        <v>112</v>
      </c>
      <c r="D29" s="159">
        <f>SUM(E29:XFD29)</f>
        <v>0</v>
      </c>
      <c r="E29" s="186"/>
      <c r="L29" s="67" t="s">
        <v>46</v>
      </c>
    </row>
    <row r="30" spans="1:12" ht="18.75">
      <c r="A30" s="6"/>
      <c r="B30" s="145" t="s">
        <v>167</v>
      </c>
      <c r="C30" s="151" t="s">
        <v>113</v>
      </c>
      <c r="D30" s="159">
        <f>D26-D27-D28-D29</f>
        <v>0</v>
      </c>
      <c r="E30" s="216">
        <f>E26-E27-E28-E29</f>
        <v>0</v>
      </c>
      <c r="L30" s="67" t="s">
        <v>47</v>
      </c>
    </row>
    <row r="31" spans="1:12" ht="18.75">
      <c r="A31" s="6"/>
      <c r="B31" s="145" t="s">
        <v>168</v>
      </c>
      <c r="C31" s="151" t="s">
        <v>114</v>
      </c>
      <c r="D31" s="159">
        <f>SUM(E31:XFD31)</f>
        <v>0</v>
      </c>
      <c r="E31" s="186"/>
      <c r="L31" s="67" t="s">
        <v>48</v>
      </c>
    </row>
    <row r="32" spans="1:12" ht="18.75">
      <c r="A32" s="6"/>
      <c r="B32" s="145" t="s">
        <v>169</v>
      </c>
      <c r="C32" s="151" t="s">
        <v>115</v>
      </c>
      <c r="D32" s="159">
        <f>SUM(E32:XFD32)</f>
        <v>0</v>
      </c>
      <c r="E32" s="186"/>
      <c r="L32" s="67" t="s">
        <v>49</v>
      </c>
    </row>
    <row r="33" spans="1:12" ht="18.75">
      <c r="A33" s="6"/>
      <c r="B33" s="145" t="s">
        <v>170</v>
      </c>
      <c r="C33" s="151" t="s">
        <v>22</v>
      </c>
      <c r="D33" s="160">
        <f>SUM(E33:XFD33)</f>
        <v>0</v>
      </c>
      <c r="E33" s="217"/>
      <c r="L33" s="67" t="s">
        <v>50</v>
      </c>
    </row>
    <row r="34" spans="1:12" ht="18.75">
      <c r="A34" s="6"/>
      <c r="B34" s="145" t="s">
        <v>171</v>
      </c>
      <c r="C34" s="151" t="s">
        <v>116</v>
      </c>
      <c r="D34" s="160">
        <f>SUM(E34:XFD34)</f>
        <v>0</v>
      </c>
      <c r="E34" s="217"/>
      <c r="L34" s="67" t="s">
        <v>51</v>
      </c>
    </row>
    <row r="35" spans="1:12" ht="18.75">
      <c r="A35" s="6"/>
      <c r="B35" s="145" t="s">
        <v>172</v>
      </c>
      <c r="C35" s="151" t="s">
        <v>117</v>
      </c>
      <c r="D35" s="161" t="e">
        <f>SUMPRODUCT(E35:XFD35,E34:XFD34)/D34</f>
        <v>#DIV/0!</v>
      </c>
      <c r="E35" s="187"/>
      <c r="L35" s="67" t="s">
        <v>52</v>
      </c>
    </row>
    <row r="36" spans="1:12" ht="18.75">
      <c r="A36" s="6"/>
      <c r="B36" s="147" t="s">
        <v>173</v>
      </c>
      <c r="C36" s="169" t="s">
        <v>118</v>
      </c>
      <c r="D36" s="88" t="e">
        <f>D30/(D31+D32)</f>
        <v>#DIV/0!</v>
      </c>
      <c r="E36" s="88" t="e">
        <f>E30/(E31+E32)</f>
        <v>#DIV/0!</v>
      </c>
      <c r="L36" s="67" t="s">
        <v>53</v>
      </c>
    </row>
    <row r="37" spans="1:12" ht="18.75">
      <c r="A37" s="6"/>
      <c r="B37" s="75"/>
      <c r="C37" s="78" t="s">
        <v>120</v>
      </c>
      <c r="D37" s="6"/>
      <c r="L37" s="67" t="s">
        <v>54</v>
      </c>
    </row>
    <row r="38" spans="1:12" ht="18.75">
      <c r="A38" s="6"/>
      <c r="B38" s="145" t="s">
        <v>174</v>
      </c>
      <c r="C38" s="151" t="s">
        <v>86</v>
      </c>
      <c r="D38" s="86" t="e">
        <f>D26/D33</f>
        <v>#DIV/0!</v>
      </c>
      <c r="E38" s="86" t="e">
        <f>E26/E33</f>
        <v>#DIV/0!</v>
      </c>
      <c r="L38" s="67" t="s">
        <v>55</v>
      </c>
    </row>
    <row r="39" spans="1:12" ht="18.75">
      <c r="A39" s="6"/>
      <c r="B39" s="145" t="s">
        <v>175</v>
      </c>
      <c r="C39" s="151" t="s">
        <v>87</v>
      </c>
      <c r="D39" s="86" t="e">
        <f>D27/D33</f>
        <v>#DIV/0!</v>
      </c>
      <c r="E39" s="86" t="e">
        <f>E27/E33</f>
        <v>#DIV/0!</v>
      </c>
      <c r="L39" s="67" t="s">
        <v>56</v>
      </c>
    </row>
    <row r="40" spans="1:12" ht="18.75">
      <c r="A40" s="6"/>
      <c r="B40" s="145" t="s">
        <v>176</v>
      </c>
      <c r="C40" s="151" t="s">
        <v>111</v>
      </c>
      <c r="D40" s="86" t="e">
        <f>D28/D33</f>
        <v>#DIV/0!</v>
      </c>
      <c r="E40" s="86" t="e">
        <f>E28/E33</f>
        <v>#DIV/0!</v>
      </c>
      <c r="L40" s="67" t="s">
        <v>57</v>
      </c>
    </row>
    <row r="41" spans="1:12" ht="18.75">
      <c r="A41" s="6"/>
      <c r="B41" s="145" t="s">
        <v>177</v>
      </c>
      <c r="C41" s="151" t="s">
        <v>112</v>
      </c>
      <c r="D41" s="86" t="e">
        <f>D29/D33</f>
        <v>#DIV/0!</v>
      </c>
      <c r="E41" s="86" t="e">
        <f>E29/E33</f>
        <v>#DIV/0!</v>
      </c>
      <c r="L41" s="67" t="s">
        <v>58</v>
      </c>
    </row>
    <row r="42" spans="1:12" ht="18.75">
      <c r="A42" s="6"/>
      <c r="B42" s="145" t="s">
        <v>178</v>
      </c>
      <c r="C42" s="151" t="s">
        <v>113</v>
      </c>
      <c r="D42" s="86" t="e">
        <f>D30/D33</f>
        <v>#DIV/0!</v>
      </c>
      <c r="E42" s="86" t="e">
        <f>E30/E33</f>
        <v>#DIV/0!</v>
      </c>
      <c r="L42" s="67" t="s">
        <v>59</v>
      </c>
    </row>
    <row r="43" spans="1:12" ht="18.75">
      <c r="A43" s="6"/>
      <c r="B43" s="145" t="s">
        <v>179</v>
      </c>
      <c r="C43" s="151" t="s">
        <v>114</v>
      </c>
      <c r="D43" s="86" t="e">
        <f>D31/D33</f>
        <v>#DIV/0!</v>
      </c>
      <c r="E43" s="86" t="e">
        <f>E31/E33</f>
        <v>#DIV/0!</v>
      </c>
      <c r="G43" s="5"/>
      <c r="L43" s="67" t="s">
        <v>60</v>
      </c>
    </row>
    <row r="44" spans="1:12" ht="18.75">
      <c r="A44" s="6"/>
      <c r="B44" s="147" t="s">
        <v>180</v>
      </c>
      <c r="C44" s="169"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5" t="s">
        <v>181</v>
      </c>
      <c r="C47" s="188" t="s">
        <v>106</v>
      </c>
      <c r="D47" s="258"/>
      <c r="E47" s="190" t="str">
        <f>IF(E13&lt;&gt;"",E13,"")</f>
        <v/>
      </c>
      <c r="L47" s="67" t="s">
        <v>64</v>
      </c>
    </row>
    <row r="48" spans="1:12" ht="18.75">
      <c r="A48" s="6"/>
      <c r="B48" s="145" t="s">
        <v>182</v>
      </c>
      <c r="C48" s="188" t="s">
        <v>122</v>
      </c>
      <c r="D48" s="259"/>
      <c r="E48" s="191">
        <f>'Wksh 1 - Market Experience'!F46</f>
        <v>547.38103936925881</v>
      </c>
      <c r="L48" s="67" t="s">
        <v>65</v>
      </c>
    </row>
    <row r="49" spans="1:12" ht="18.75">
      <c r="A49" s="6"/>
      <c r="B49" s="145" t="s">
        <v>183</v>
      </c>
      <c r="C49" s="188" t="s">
        <v>123</v>
      </c>
      <c r="D49" s="259"/>
      <c r="E49" s="192"/>
      <c r="L49" s="67" t="s">
        <v>66</v>
      </c>
    </row>
    <row r="50" spans="1:12" ht="18.75">
      <c r="A50" s="6"/>
      <c r="B50" s="145" t="s">
        <v>184</v>
      </c>
      <c r="C50" s="188" t="s">
        <v>124</v>
      </c>
      <c r="D50" s="259"/>
      <c r="E50" s="192"/>
      <c r="L50" s="67" t="s">
        <v>67</v>
      </c>
    </row>
    <row r="51" spans="1:12" ht="18.75">
      <c r="A51" s="6"/>
      <c r="B51" s="147" t="s">
        <v>185</v>
      </c>
      <c r="C51" s="189" t="s">
        <v>125</v>
      </c>
      <c r="D51" s="260"/>
      <c r="E51" s="192"/>
      <c r="L51" s="67" t="s">
        <v>68</v>
      </c>
    </row>
    <row r="52" spans="1:12" ht="18.75">
      <c r="A52" s="6"/>
      <c r="C52" s="82" t="s">
        <v>133</v>
      </c>
      <c r="D52" s="6"/>
      <c r="L52" s="67" t="s">
        <v>69</v>
      </c>
    </row>
    <row r="53" spans="1:12" ht="18.75">
      <c r="A53" s="6"/>
      <c r="B53" s="145" t="s">
        <v>186</v>
      </c>
      <c r="C53" s="171" t="s">
        <v>134</v>
      </c>
      <c r="D53" s="258"/>
      <c r="E53" s="195"/>
      <c r="F53" s="5"/>
      <c r="L53" s="67" t="s">
        <v>70</v>
      </c>
    </row>
    <row r="54" spans="1:12" ht="18.75">
      <c r="A54" s="6"/>
      <c r="B54" s="145" t="s">
        <v>187</v>
      </c>
      <c r="C54" s="171" t="s">
        <v>135</v>
      </c>
      <c r="D54" s="259"/>
      <c r="E54" s="195"/>
      <c r="F54" s="5"/>
      <c r="L54" s="67" t="s">
        <v>71</v>
      </c>
    </row>
    <row r="55" spans="1:12" ht="18.75">
      <c r="A55" s="6"/>
      <c r="B55" s="145" t="s">
        <v>188</v>
      </c>
      <c r="C55" s="171" t="s">
        <v>12</v>
      </c>
      <c r="D55" s="259"/>
      <c r="E55" s="195"/>
      <c r="F55" s="5"/>
      <c r="L55" s="67" t="s">
        <v>72</v>
      </c>
    </row>
    <row r="56" spans="1:12" ht="18.75">
      <c r="A56" s="6"/>
      <c r="B56" s="145" t="s">
        <v>189</v>
      </c>
      <c r="C56" s="188" t="s">
        <v>126</v>
      </c>
      <c r="D56" s="259"/>
      <c r="E56" s="192"/>
      <c r="F56" s="5"/>
      <c r="L56" s="67" t="s">
        <v>73</v>
      </c>
    </row>
    <row r="57" spans="1:12" ht="18.75">
      <c r="A57" s="6"/>
      <c r="B57" s="147" t="s">
        <v>190</v>
      </c>
      <c r="C57" s="193" t="s">
        <v>79</v>
      </c>
      <c r="D57" s="260"/>
      <c r="E57" s="194">
        <f>($E$48*PRODUCT(E49:E51)*E56)/(1-SUM(E53:E55))</f>
        <v>0</v>
      </c>
      <c r="F57" s="5"/>
      <c r="L57" s="67" t="s">
        <v>74</v>
      </c>
    </row>
    <row r="58" spans="1:12" ht="17.25" customHeight="1">
      <c r="A58" s="6"/>
      <c r="C58" s="6"/>
      <c r="D58" s="6"/>
      <c r="F58" s="5"/>
      <c r="L58" s="67" t="s">
        <v>75</v>
      </c>
    </row>
    <row r="59" spans="1:12" ht="18.75">
      <c r="A59" s="6"/>
      <c r="B59" s="145" t="s">
        <v>191</v>
      </c>
      <c r="C59" s="188" t="s">
        <v>127</v>
      </c>
      <c r="D59" s="208"/>
      <c r="E59" s="205" t="str">
        <f>IF(D59&lt;&gt;"", D59, "")</f>
        <v/>
      </c>
      <c r="F59" s="5"/>
      <c r="L59" s="67" t="s">
        <v>8</v>
      </c>
    </row>
    <row r="60" spans="1:12" ht="18.75">
      <c r="A60" s="6"/>
      <c r="B60" s="145" t="s">
        <v>192</v>
      </c>
      <c r="C60" s="188" t="s">
        <v>128</v>
      </c>
      <c r="D60" s="208"/>
      <c r="E60" s="205" t="str">
        <f>IF(D60&lt;&gt;"", D60, "")</f>
        <v/>
      </c>
      <c r="F60" s="5"/>
      <c r="L60" s="67" t="s">
        <v>76</v>
      </c>
    </row>
    <row r="61" spans="1:12" ht="18.75">
      <c r="A61" s="6"/>
      <c r="B61" s="145" t="s">
        <v>193</v>
      </c>
      <c r="C61" s="188" t="s">
        <v>129</v>
      </c>
      <c r="D61" s="208"/>
      <c r="E61" s="205" t="str">
        <f>IF(D61&lt;&gt;"", D61, "")</f>
        <v/>
      </c>
      <c r="F61" s="5"/>
      <c r="L61" s="31"/>
    </row>
    <row r="62" spans="1:12">
      <c r="B62" s="147" t="s">
        <v>194</v>
      </c>
      <c r="C62" s="193" t="s">
        <v>136</v>
      </c>
      <c r="D62" s="196"/>
      <c r="E62" s="194">
        <f>E57*(PRODUCT($E$59:$E$61))</f>
        <v>0</v>
      </c>
      <c r="F62" s="5"/>
      <c r="L62" s="31"/>
    </row>
    <row r="63" spans="1:12" ht="18.75">
      <c r="B63" s="75"/>
      <c r="C63" s="6"/>
      <c r="D63" s="6"/>
      <c r="F63" s="5"/>
      <c r="L63" s="31"/>
    </row>
    <row r="64" spans="1:12" ht="18.75">
      <c r="C64" s="30" t="s">
        <v>130</v>
      </c>
      <c r="D64" s="6"/>
      <c r="F64" s="5"/>
      <c r="L64" s="31"/>
    </row>
    <row r="65" spans="2:12">
      <c r="B65" s="145" t="s">
        <v>195</v>
      </c>
      <c r="C65" s="151" t="s">
        <v>106</v>
      </c>
      <c r="D65" s="173" t="s">
        <v>2</v>
      </c>
      <c r="E65" s="90" t="str">
        <f>IF(E13&lt;&gt;"",E13,"")</f>
        <v/>
      </c>
      <c r="F65" s="5"/>
      <c r="L65" s="31"/>
    </row>
    <row r="66" spans="2:12">
      <c r="B66" s="145" t="s">
        <v>196</v>
      </c>
      <c r="C66" s="151" t="s">
        <v>86</v>
      </c>
      <c r="D66" s="197">
        <f>SUM(E66:XFD66)</f>
        <v>0</v>
      </c>
      <c r="E66" s="186"/>
      <c r="F66" s="5"/>
    </row>
    <row r="67" spans="2:12">
      <c r="B67" s="145" t="s">
        <v>197</v>
      </c>
      <c r="C67" s="151" t="s">
        <v>87</v>
      </c>
      <c r="D67" s="197">
        <f>SUM(E67:XFD67)</f>
        <v>0</v>
      </c>
      <c r="E67" s="186"/>
      <c r="F67" s="5"/>
    </row>
    <row r="68" spans="2:12">
      <c r="B68" s="145" t="s">
        <v>198</v>
      </c>
      <c r="C68" s="151" t="s">
        <v>111</v>
      </c>
      <c r="D68" s="197">
        <f>SUM(E68:XFD68)</f>
        <v>0</v>
      </c>
      <c r="E68" s="186"/>
      <c r="F68" s="5"/>
    </row>
    <row r="69" spans="2:12">
      <c r="B69" s="145" t="s">
        <v>199</v>
      </c>
      <c r="C69" s="151" t="s">
        <v>112</v>
      </c>
      <c r="D69" s="197">
        <f>SUM(E69:XFD69)</f>
        <v>0</v>
      </c>
      <c r="E69" s="186"/>
      <c r="F69" s="5"/>
    </row>
    <row r="70" spans="2:12">
      <c r="B70" s="145" t="s">
        <v>200</v>
      </c>
      <c r="C70" s="151" t="s">
        <v>113</v>
      </c>
      <c r="D70" s="197">
        <f>D66-D67-D68-D69</f>
        <v>0</v>
      </c>
      <c r="E70" s="158">
        <f>E66-E67-E68-E69</f>
        <v>0</v>
      </c>
      <c r="F70" s="5"/>
    </row>
    <row r="71" spans="2:12">
      <c r="B71" s="145" t="s">
        <v>201</v>
      </c>
      <c r="C71" s="151" t="s">
        <v>114</v>
      </c>
      <c r="D71" s="197">
        <f>SUM(E71:XFD71)</f>
        <v>0</v>
      </c>
      <c r="E71" s="186"/>
      <c r="F71" s="5"/>
    </row>
    <row r="72" spans="2:12">
      <c r="B72" s="145" t="s">
        <v>202</v>
      </c>
      <c r="C72" s="151" t="s">
        <v>115</v>
      </c>
      <c r="D72" s="197">
        <f>SUM(E72:XFD72)</f>
        <v>0</v>
      </c>
      <c r="E72" s="186"/>
      <c r="F72" s="5"/>
    </row>
    <row r="73" spans="2:12">
      <c r="B73" s="145" t="s">
        <v>203</v>
      </c>
      <c r="C73" s="151" t="s">
        <v>4</v>
      </c>
      <c r="D73" s="198">
        <f>SUM(E73:XFD73)</f>
        <v>0</v>
      </c>
      <c r="E73" s="217"/>
      <c r="F73" s="5"/>
    </row>
    <row r="74" spans="2:12">
      <c r="B74" s="147" t="s">
        <v>204</v>
      </c>
      <c r="C74" s="169" t="s">
        <v>118</v>
      </c>
      <c r="D74" s="174" t="e">
        <f>D70/(D71+D72)</f>
        <v>#DIV/0!</v>
      </c>
      <c r="E74" s="89" t="e">
        <f>E70/(E71+E72)</f>
        <v>#DIV/0!</v>
      </c>
      <c r="F74" s="5"/>
    </row>
    <row r="75" spans="2:12" ht="18.75">
      <c r="C75" s="78" t="s">
        <v>120</v>
      </c>
      <c r="D75" s="6"/>
      <c r="F75" s="5"/>
    </row>
    <row r="76" spans="2:12">
      <c r="B76" s="145" t="s">
        <v>205</v>
      </c>
      <c r="C76" s="151" t="s">
        <v>86</v>
      </c>
      <c r="D76" s="107" t="e">
        <f>D66/D73</f>
        <v>#DIV/0!</v>
      </c>
      <c r="E76" s="107" t="e">
        <f>E66/E73</f>
        <v>#DIV/0!</v>
      </c>
      <c r="F76" s="5"/>
    </row>
    <row r="77" spans="2:12">
      <c r="B77" s="145" t="s">
        <v>206</v>
      </c>
      <c r="C77" s="151" t="s">
        <v>87</v>
      </c>
      <c r="D77" s="86" t="e">
        <f>D67/D73</f>
        <v>#DIV/0!</v>
      </c>
      <c r="E77" s="86" t="e">
        <f>E67/E73</f>
        <v>#DIV/0!</v>
      </c>
      <c r="F77" s="5"/>
    </row>
    <row r="78" spans="2:12">
      <c r="B78" s="145" t="s">
        <v>207</v>
      </c>
      <c r="C78" s="151" t="s">
        <v>111</v>
      </c>
      <c r="D78" s="107" t="e">
        <f>D68/D73</f>
        <v>#DIV/0!</v>
      </c>
      <c r="E78" s="107" t="e">
        <f>E68/E73</f>
        <v>#DIV/0!</v>
      </c>
      <c r="F78" s="5"/>
    </row>
    <row r="79" spans="2:12">
      <c r="B79" s="145" t="s">
        <v>208</v>
      </c>
      <c r="C79" s="151" t="s">
        <v>112</v>
      </c>
      <c r="D79" s="107" t="e">
        <f>D69/D73</f>
        <v>#DIV/0!</v>
      </c>
      <c r="E79" s="107" t="e">
        <f>E69/E73</f>
        <v>#DIV/0!</v>
      </c>
      <c r="F79" s="5"/>
    </row>
    <row r="80" spans="2:12">
      <c r="B80" s="145" t="s">
        <v>209</v>
      </c>
      <c r="C80" s="146" t="s">
        <v>113</v>
      </c>
      <c r="D80" s="107" t="e">
        <f>D70/D73</f>
        <v>#DIV/0!</v>
      </c>
      <c r="E80" s="107" t="e">
        <f>E70/E73</f>
        <v>#DIV/0!</v>
      </c>
      <c r="F80" s="5"/>
    </row>
    <row r="81" spans="2:6">
      <c r="B81" s="145" t="s">
        <v>210</v>
      </c>
      <c r="C81" s="146" t="s">
        <v>114</v>
      </c>
      <c r="D81" s="107" t="e">
        <f>D71/D73</f>
        <v>#DIV/0!</v>
      </c>
      <c r="E81" s="107" t="e">
        <f>E71/E73</f>
        <v>#DIV/0!</v>
      </c>
      <c r="F81" s="5"/>
    </row>
    <row r="82" spans="2:6">
      <c r="B82" s="147"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OllZvDvW3LrwbspujPLRp+Ld6+uthT1PWAHOgZSFGa5TMuPUBlQEwl6nwCtcjKgEfq0tqBzFMrnKDR9MhPsRLg==" saltValue="erTGP53CLpIRJzZQsftc9w==" spinCount="100000" sheet="1" object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formula1>14</formula1>
    </dataValidation>
    <dataValidation type="list" operator="greaterThan" allowBlank="1" showInputMessage="1" showErrorMessage="1" errorTitle="Value not valid:" error="Select a value from the list." promptTitle="Required:" prompt="Select the Plan Category for the designated plan." sqref="E16">
      <formula1>CategoryList</formula1>
    </dataValidation>
    <dataValidation allowBlank="1" showInputMessage="1" showErrorMessage="1" promptTitle="Required:" prompt="Enter the AV Metal Value for the designated plan as a numeric value between 0 and 1, with up to 16 characters including decimal place." sqref="E15"/>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dataValidation allowBlank="1" showInputMessage="1" showErrorMessage="1" promptTitle="Required:" prompt="Enter the total allowed claims for the benefit plan with service dates within the experience period as a dollar value with up to 16 characters including decimal place." sqref="E26"/>
    <dataValidation allowBlank="1" showInputMessage="1" showErrorMessage="1" promptTitle="Required:" prompt="Enter Reinsurance for the benefit plan with service dates within the experience period as a dollar value with up to 16 characters including decimal place." sqref="E27"/>
    <dataValidation allowBlank="1" showInputMessage="1" showErrorMessage="1" promptTitle="Required:" prompt="Enter the Member Cost Sharing for the benefit plan with service dates within the experience period as a dollar value with up to 16 characters including decimal place." sqref="E28"/>
    <dataValidation allowBlank="1" showInputMessage="1" showErrorMessage="1" promptTitle="Required:" prompt="Enter the Cost Sharing Reduction for the benefit plan with service dates within the experience period as a dollar value with up to 16 characters including decimal place." sqref="E29"/>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dataValidation allowBlank="1" showInputMessage="1" showErrorMessage="1" promptTitle="Required:" prompt="Enter the Premium for each plan during the experience period as a dollar amount greater than or equal to 0, with up to 16 characters including decimal place." sqref="E32"/>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formula1>0</formula1>
    </dataValidation>
    <dataValidation allowBlank="1" showInputMessage="1" showErrorMessage="1" promptTitle="Required:" prompt="Enter the Current Premium PMPM as a dollar amount greater than or equal to 0, with up to 16 characters including decimal place." sqref="E35"/>
    <dataValidation allowBlank="1" showInputMessage="1" showErrorMessage="1" promptTitle="Required:" prompt="Enter the AV Cost Sharing Design of Plan as a numeric value up to 16 characters including decimal place." sqref="E49"/>
    <dataValidation allowBlank="1" showInputMessage="1" showErrorMessage="1" promptTitle="Required:" prompt="Enter the Provider Network Adjustment as a numeric value up to 16 characters including decimal place." sqref="E50"/>
    <dataValidation allowBlank="1" showInputMessage="1" showErrorMessage="1" promptTitle="Required:" prompt="Enter the Benefits in Addition to EHB as a numeric value up to 16 characters including decimal place." sqref="E51"/>
    <dataValidation allowBlank="1" showInputMessage="1" showErrorMessage="1" promptTitle="Required:" prompt="Enter the Administrative Expense as a percentage up to 16 characters including decimal place." sqref="E53"/>
    <dataValidation allowBlank="1" showInputMessage="1" showErrorMessage="1" promptTitle="Required:" prompt="Enter the Taxes and Fees as a percentage up to 16 characters including decimal place." sqref="E54"/>
    <dataValidation allowBlank="1" showInputMessage="1" showErrorMessage="1" promptTitle="Required:" prompt="Enter the Profit and Risk Load as a percentage up to 16 characters including decimal place." sqref="E55"/>
    <dataValidation allowBlank="1" showInputMessage="1" showErrorMessage="1" promptTitle="Required:" prompt="Enter the Catastrophic Adjustment for each plan as a numeric value greater than or equal to 0 with up to 16 characters including decimal place." sqref="E56"/>
    <dataValidation allowBlank="1" showInputMessage="1" showErrorMessage="1" promptTitle="Required:" prompt="Enter the total allowed claims for the benefit plan for the projection period as a dollar value with up to 16 characters including decimal place." sqref="E66"/>
    <dataValidation allowBlank="1" showInputMessage="1" showErrorMessage="1" promptTitle="Required:" prompt="Enter the Reinsurance for the benefit plan for the projection period as a dollar value with up to 16 characters including decimal place." sqref="E67"/>
    <dataValidation allowBlank="1" showInputMessage="1" showErrorMessage="1" promptTitle="Required:" prompt="Enter the Member Cost Sharing for the benefit plan for the projection period as a dollar value with up to 16 characters including decimal place." sqref="E68"/>
    <dataValidation allowBlank="1" showInputMessage="1" showErrorMessage="1" promptTitle="Required:" prompt="Enter the Cost Sharing Reduction for the benefit plan for the projection period as a dollar value with up to 16 characters including decimal place." sqref="E69"/>
    <dataValidation allowBlank="1" showInputMessage="1" showErrorMessage="1" promptTitle="Required:" prompt="Enter the Risk Adjustment Transfer Amount for the benefit plan for the projection period as a dollar value with up to 16 characters including decimal place." sqref="E71"/>
    <dataValidation allowBlank="1" showInputMessage="1" showErrorMessage="1" promptTitle="Required:" prompt="Enter the Premium for each plan for the projection period as a dollar amount greater than or equal to 0, with up to 16 characters including decimal place." sqref="E72"/>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formula1>0</formula1>
    </dataValidation>
    <dataValidation allowBlank="1" showInputMessage="1" showErrorMessage="1" promptTitle="Required:" prompt="Enter the Age Calibration Factor as a numeric value greater than or equal to 0 with up to 16 characters including decimal place." sqref="D59"/>
    <dataValidation allowBlank="1" showInputMessage="1" showErrorMessage="1" promptTitle="Required:" prompt="Enter the Geographic Calibration Factor as a numeric value greater than or equal to 0 with up to 16 characters including decimal place." sqref="D60"/>
    <dataValidation allowBlank="1" showInputMessage="1" showErrorMessage="1" promptTitle="Required:" prompt="Enter the Tobacco Calibration Factor as a numeric value greater than or equal to 0 with up to 16 characters including decimal place." sqref="D61"/>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CE1AA38E-E5FD-450F-A673-1F33CA995598}"/>
</file>

<file path=customXml/itemProps3.xml><?xml version="1.0" encoding="utf-8"?>
<ds:datastoreItem xmlns:ds="http://schemas.openxmlformats.org/officeDocument/2006/customXml" ds:itemID="{8BA26A6A-6337-4ED7-A649-960EFD22D054}">
  <ds:schemaRefs>
    <ds:schemaRef ds:uri="http://purl.org/dc/elements/1.1/"/>
    <ds:schemaRef ds:uri="http://schemas.microsoft.com/office/2006/metadata/properties"/>
    <ds:schemaRef ds:uri="http://schemas.openxmlformats.org/package/2006/metadata/core-properties"/>
    <ds:schemaRef ds:uri="http://purl.org/dc/terms/"/>
    <ds:schemaRef ds:uri="http://schemas.microsoft.com/office/infopath/2007/PartnerControls"/>
    <ds:schemaRef ds:uri="a7eddb22-ec30-47fe-81c9-a147b8ade4a5"/>
    <ds:schemaRef ds:uri="http://schemas.microsoft.com/office/2006/documentManagement/types"/>
    <ds:schemaRef ds:uri="a1027b0e-b76a-4f87-8a3e-5c0955473ea1"/>
    <ds:schemaRef ds:uri="http://www.w3.org/XML/1998/namespace"/>
    <ds:schemaRef ds:uri="http://purl.org/dc/dcmitype/"/>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carter</cp:lastModifiedBy>
  <cp:lastPrinted>2023-05-30T15:04:26Z</cp:lastPrinted>
  <dcterms:created xsi:type="dcterms:W3CDTF">2013-12-09T20:12:41Z</dcterms:created>
  <dcterms:modified xsi:type="dcterms:W3CDTF">2023-05-30T15:04:27Z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ies>
</file>