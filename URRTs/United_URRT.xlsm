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ociins-my.sharepoint.com/personal/mdawson_oci_ga_gov/Documents/Open Records Requests Cases/ACA Filings 2023 for plan year 2024/2023 Filings for 2024 Plan Year/URRT Indv Assume 1332/"/>
    </mc:Choice>
  </mc:AlternateContent>
  <xr:revisionPtr revIDLastSave="0" documentId="8_{3FB2D5D3-307E-4F05-9EEB-86CE363213A4}" xr6:coauthVersionLast="47" xr6:coauthVersionMax="47" xr10:uidLastSave="{00000000-0000-0000-0000-000000000000}"/>
  <workbookProtection workbookAlgorithmName="SHA-512" workbookHashValue="TR9YmNdp63ViCiNOPSvDswK1AgEzrQXRlSh09fLK5xqnwvi6yg4Qq2NEomAvZrgjVpYEv+mxRMEh9IkyUEY0iA==" workbookSaltValue="RR8gVfJR+G44zqUExRi3Yg==" workbookSpinCount="100000" lockStructure="1"/>
  <bookViews>
    <workbookView xWindow="-120" yWindow="-120" windowWidth="29040" windowHeight="15720"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PlanTemplate!$K$10:$K$23</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35" i="13"/>
  <c r="D34" i="13"/>
  <c r="D33" i="13"/>
  <c r="D32" i="13"/>
  <c r="D31" i="13"/>
  <c r="D29" i="13"/>
  <c r="D28" i="13"/>
  <c r="D27" i="13"/>
  <c r="D26" i="13"/>
  <c r="D82" i="13" l="1"/>
  <c r="D79" i="13"/>
  <c r="D38" i="13"/>
  <c r="D39" i="13"/>
  <c r="D81" i="13"/>
  <c r="D40" i="13"/>
  <c r="D44" i="13"/>
  <c r="D78" i="13"/>
  <c r="D76" i="13"/>
  <c r="D77" i="13"/>
  <c r="D30" i="13"/>
  <c r="D41" i="13"/>
  <c r="D43" i="13"/>
  <c r="D70" i="13"/>
  <c r="C5" i="1"/>
  <c r="D74" i="13" l="1"/>
  <c r="D80" i="13"/>
  <c r="D36" i="13"/>
  <c r="D42"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 r="T82" i="13"/>
  <c r="S82" i="13"/>
  <c r="R82" i="13"/>
  <c r="Q82" i="13"/>
  <c r="P82" i="13"/>
  <c r="O82" i="13"/>
  <c r="N82" i="13"/>
  <c r="M82" i="13"/>
  <c r="L82" i="13"/>
  <c r="K82" i="13"/>
  <c r="J82" i="13"/>
  <c r="I82" i="13"/>
  <c r="H82" i="13"/>
  <c r="G82" i="13"/>
  <c r="F82" i="13"/>
  <c r="E82" i="13"/>
  <c r="T81" i="13"/>
  <c r="S81" i="13"/>
  <c r="R81" i="13"/>
  <c r="Q81" i="13"/>
  <c r="P81" i="13"/>
  <c r="O81" i="13"/>
  <c r="N81" i="13"/>
  <c r="M81" i="13"/>
  <c r="L81" i="13"/>
  <c r="K81" i="13"/>
  <c r="J81" i="13"/>
  <c r="I81" i="13"/>
  <c r="H81" i="13"/>
  <c r="G81" i="13"/>
  <c r="F81" i="13"/>
  <c r="E81" i="13"/>
  <c r="T80" i="13"/>
  <c r="S80" i="13"/>
  <c r="R80" i="13"/>
  <c r="Q80" i="13"/>
  <c r="P80" i="13"/>
  <c r="O80" i="13"/>
  <c r="N80" i="13"/>
  <c r="M80" i="13"/>
  <c r="L80" i="13"/>
  <c r="K80" i="13"/>
  <c r="J80" i="13"/>
  <c r="I80" i="13"/>
  <c r="H80" i="13"/>
  <c r="G80" i="13"/>
  <c r="F80" i="13"/>
  <c r="E80" i="13"/>
  <c r="T79" i="13"/>
  <c r="S79" i="13"/>
  <c r="R79" i="13"/>
  <c r="Q79" i="13"/>
  <c r="P79" i="13"/>
  <c r="O79" i="13"/>
  <c r="N79" i="13"/>
  <c r="M79" i="13"/>
  <c r="L79" i="13"/>
  <c r="K79" i="13"/>
  <c r="J79" i="13"/>
  <c r="I79" i="13"/>
  <c r="H79" i="13"/>
  <c r="G79" i="13"/>
  <c r="F79" i="13"/>
  <c r="E79" i="13"/>
  <c r="T78" i="13"/>
  <c r="S78" i="13"/>
  <c r="R78" i="13"/>
  <c r="Q78" i="13"/>
  <c r="P78" i="13"/>
  <c r="O78" i="13"/>
  <c r="N78" i="13"/>
  <c r="M78" i="13"/>
  <c r="L78" i="13"/>
  <c r="K78" i="13"/>
  <c r="J78" i="13"/>
  <c r="I78" i="13"/>
  <c r="H78" i="13"/>
  <c r="G78" i="13"/>
  <c r="F78" i="13"/>
  <c r="E78" i="13"/>
  <c r="T77" i="13"/>
  <c r="S77" i="13"/>
  <c r="R77" i="13"/>
  <c r="Q77" i="13"/>
  <c r="P77" i="13"/>
  <c r="O77" i="13"/>
  <c r="N77" i="13"/>
  <c r="M77" i="13"/>
  <c r="L77" i="13"/>
  <c r="K77" i="13"/>
  <c r="J77" i="13"/>
  <c r="I77" i="13"/>
  <c r="H77" i="13"/>
  <c r="G77" i="13"/>
  <c r="F77" i="13"/>
  <c r="E77" i="13"/>
  <c r="T76" i="13"/>
  <c r="S76" i="13"/>
  <c r="R76" i="13"/>
  <c r="Q76" i="13"/>
  <c r="P76" i="13"/>
  <c r="O76" i="13"/>
  <c r="N76" i="13"/>
  <c r="M76" i="13"/>
  <c r="L76" i="13"/>
  <c r="K76" i="13"/>
  <c r="J76" i="13"/>
  <c r="I76" i="13"/>
  <c r="H76" i="13"/>
  <c r="G76" i="13"/>
  <c r="F76" i="13"/>
  <c r="E76" i="13"/>
  <c r="T74" i="13"/>
  <c r="S74" i="13"/>
  <c r="R74" i="13"/>
  <c r="Q74" i="13"/>
  <c r="P74" i="13"/>
  <c r="O74" i="13"/>
  <c r="N74" i="13"/>
  <c r="M74" i="13"/>
  <c r="L74" i="13"/>
  <c r="K74" i="13"/>
  <c r="J74" i="13"/>
  <c r="I74" i="13"/>
  <c r="H74" i="13"/>
  <c r="G74" i="13"/>
  <c r="F74" i="13"/>
  <c r="E74" i="13"/>
  <c r="T73" i="13"/>
  <c r="S73" i="13"/>
  <c r="R73" i="13"/>
  <c r="Q73" i="13"/>
  <c r="P73" i="13"/>
  <c r="O73" i="13"/>
  <c r="N73" i="13"/>
  <c r="M73" i="13"/>
  <c r="L73" i="13"/>
  <c r="K73" i="13"/>
  <c r="J73" i="13"/>
  <c r="I73" i="13"/>
  <c r="H73" i="13"/>
  <c r="G73" i="13"/>
  <c r="F73" i="13"/>
  <c r="E73" i="13"/>
  <c r="T72" i="13"/>
  <c r="S72" i="13"/>
  <c r="R72" i="13"/>
  <c r="Q72" i="13"/>
  <c r="P72" i="13"/>
  <c r="O72" i="13"/>
  <c r="N72" i="13"/>
  <c r="M72" i="13"/>
  <c r="L72" i="13"/>
  <c r="K72" i="13"/>
  <c r="J72" i="13"/>
  <c r="I72" i="13"/>
  <c r="H72" i="13"/>
  <c r="G72" i="13"/>
  <c r="F72" i="13"/>
  <c r="E72" i="13"/>
  <c r="T71" i="13"/>
  <c r="S71" i="13"/>
  <c r="R71" i="13"/>
  <c r="Q71" i="13"/>
  <c r="P71" i="13"/>
  <c r="O71" i="13"/>
  <c r="N71" i="13"/>
  <c r="M71" i="13"/>
  <c r="L71" i="13"/>
  <c r="K71" i="13"/>
  <c r="J71" i="13"/>
  <c r="I71" i="13"/>
  <c r="H71" i="13"/>
  <c r="G71" i="13"/>
  <c r="F71" i="13"/>
  <c r="E71" i="13"/>
  <c r="T70" i="13"/>
  <c r="S70" i="13"/>
  <c r="R70" i="13"/>
  <c r="Q70" i="13"/>
  <c r="P70" i="13"/>
  <c r="O70" i="13"/>
  <c r="N70" i="13"/>
  <c r="M70" i="13"/>
  <c r="L70" i="13"/>
  <c r="K70" i="13"/>
  <c r="J70" i="13"/>
  <c r="I70" i="13"/>
  <c r="H70" i="13"/>
  <c r="G70" i="13"/>
  <c r="F70" i="13"/>
  <c r="E70" i="13"/>
  <c r="T69" i="13"/>
  <c r="S69" i="13"/>
  <c r="R69" i="13"/>
  <c r="Q69" i="13"/>
  <c r="P69" i="13"/>
  <c r="O69" i="13"/>
  <c r="N69" i="13"/>
  <c r="M69" i="13"/>
  <c r="L69" i="13"/>
  <c r="K69" i="13"/>
  <c r="J69" i="13"/>
  <c r="I69" i="13"/>
  <c r="H69" i="13"/>
  <c r="G69" i="13"/>
  <c r="F69" i="13"/>
  <c r="E69" i="13"/>
  <c r="T68" i="13"/>
  <c r="S68" i="13"/>
  <c r="R68" i="13"/>
  <c r="Q68" i="13"/>
  <c r="P68" i="13"/>
  <c r="O68" i="13"/>
  <c r="N68" i="13"/>
  <c r="M68" i="13"/>
  <c r="L68" i="13"/>
  <c r="K68" i="13"/>
  <c r="J68" i="13"/>
  <c r="I68" i="13"/>
  <c r="H68" i="13"/>
  <c r="G68" i="13"/>
  <c r="F68" i="13"/>
  <c r="E68" i="13"/>
  <c r="T67" i="13"/>
  <c r="S67" i="13"/>
  <c r="R67" i="13"/>
  <c r="Q67" i="13"/>
  <c r="P67" i="13"/>
  <c r="O67" i="13"/>
  <c r="N67" i="13"/>
  <c r="M67" i="13"/>
  <c r="L67" i="13"/>
  <c r="K67" i="13"/>
  <c r="J67" i="13"/>
  <c r="I67" i="13"/>
  <c r="H67" i="13"/>
  <c r="G67" i="13"/>
  <c r="F67" i="13"/>
  <c r="E67" i="13"/>
  <c r="T66" i="13"/>
  <c r="S66" i="13"/>
  <c r="R66" i="13"/>
  <c r="Q66" i="13"/>
  <c r="P66" i="13"/>
  <c r="O66" i="13"/>
  <c r="N66" i="13"/>
  <c r="M66" i="13"/>
  <c r="L66" i="13"/>
  <c r="K66" i="13"/>
  <c r="J66" i="13"/>
  <c r="I66" i="13"/>
  <c r="H66" i="13"/>
  <c r="G66" i="13"/>
  <c r="F66" i="13"/>
  <c r="E66" i="13"/>
  <c r="T65" i="13"/>
  <c r="S65" i="13"/>
  <c r="R65" i="13"/>
  <c r="Q65" i="13"/>
  <c r="P65" i="13"/>
  <c r="O65" i="13"/>
  <c r="N65" i="13"/>
  <c r="M65" i="13"/>
  <c r="L65" i="13"/>
  <c r="K65" i="13"/>
  <c r="J65" i="13"/>
  <c r="I65" i="13"/>
  <c r="H65" i="13"/>
  <c r="G65" i="13"/>
  <c r="F65" i="13"/>
  <c r="E65" i="13"/>
  <c r="T62" i="13"/>
  <c r="S62" i="13"/>
  <c r="R62" i="13"/>
  <c r="Q62" i="13"/>
  <c r="P62" i="13"/>
  <c r="O62" i="13"/>
  <c r="N62" i="13"/>
  <c r="M62" i="13"/>
  <c r="L62" i="13"/>
  <c r="K62" i="13"/>
  <c r="J62" i="13"/>
  <c r="I62" i="13"/>
  <c r="H62" i="13"/>
  <c r="G62" i="13"/>
  <c r="F62" i="13"/>
  <c r="E62" i="13"/>
  <c r="E61" i="13"/>
  <c r="E60" i="13"/>
  <c r="E59" i="13"/>
  <c r="T57" i="13"/>
  <c r="S57" i="13"/>
  <c r="R57" i="13"/>
  <c r="Q57" i="13"/>
  <c r="P57" i="13"/>
  <c r="O57" i="13"/>
  <c r="N57" i="13"/>
  <c r="M57" i="13"/>
  <c r="L57" i="13"/>
  <c r="K57" i="13"/>
  <c r="J57" i="13"/>
  <c r="I57" i="13"/>
  <c r="H57" i="13"/>
  <c r="G57" i="13"/>
  <c r="F57" i="13"/>
  <c r="E57" i="13"/>
  <c r="E48" i="13"/>
  <c r="T47" i="13"/>
  <c r="S47" i="13"/>
  <c r="R47" i="13"/>
  <c r="Q47" i="13"/>
  <c r="P47" i="13"/>
  <c r="O47" i="13"/>
  <c r="N47" i="13"/>
  <c r="M47" i="13"/>
  <c r="L47" i="13"/>
  <c r="K47" i="13"/>
  <c r="J47" i="13"/>
  <c r="I47" i="13"/>
  <c r="H47" i="13"/>
  <c r="G47" i="13"/>
  <c r="F47" i="13"/>
  <c r="E47" i="13"/>
  <c r="T44" i="13"/>
  <c r="S44" i="13"/>
  <c r="R44" i="13"/>
  <c r="Q44" i="13"/>
  <c r="P44" i="13"/>
  <c r="O44" i="13"/>
  <c r="N44" i="13"/>
  <c r="M44" i="13"/>
  <c r="L44" i="13"/>
  <c r="K44" i="13"/>
  <c r="J44" i="13"/>
  <c r="I44" i="13"/>
  <c r="H44" i="13"/>
  <c r="G44" i="13"/>
  <c r="F44" i="13"/>
  <c r="E44" i="13"/>
  <c r="T43" i="13"/>
  <c r="S43" i="13"/>
  <c r="R43" i="13"/>
  <c r="Q43" i="13"/>
  <c r="P43" i="13"/>
  <c r="O43" i="13"/>
  <c r="N43" i="13"/>
  <c r="M43" i="13"/>
  <c r="L43" i="13"/>
  <c r="K43" i="13"/>
  <c r="J43" i="13"/>
  <c r="I43" i="13"/>
  <c r="H43" i="13"/>
  <c r="G43" i="13"/>
  <c r="F43" i="13"/>
  <c r="E43" i="13"/>
  <c r="T42" i="13"/>
  <c r="S42" i="13"/>
  <c r="R42" i="13"/>
  <c r="Q42" i="13"/>
  <c r="P42" i="13"/>
  <c r="O42" i="13"/>
  <c r="N42" i="13"/>
  <c r="M42" i="13"/>
  <c r="L42" i="13"/>
  <c r="K42" i="13"/>
  <c r="J42" i="13"/>
  <c r="I42" i="13"/>
  <c r="H42" i="13"/>
  <c r="G42" i="13"/>
  <c r="F42" i="13"/>
  <c r="E42" i="13"/>
  <c r="T41" i="13"/>
  <c r="S41" i="13"/>
  <c r="R41" i="13"/>
  <c r="Q41" i="13"/>
  <c r="P41" i="13"/>
  <c r="O41" i="13"/>
  <c r="N41" i="13"/>
  <c r="M41" i="13"/>
  <c r="L41" i="13"/>
  <c r="K41" i="13"/>
  <c r="J41" i="13"/>
  <c r="I41" i="13"/>
  <c r="H41" i="13"/>
  <c r="G41" i="13"/>
  <c r="F41" i="13"/>
  <c r="E41" i="13"/>
  <c r="T40" i="13"/>
  <c r="S40" i="13"/>
  <c r="R40" i="13"/>
  <c r="Q40" i="13"/>
  <c r="P40" i="13"/>
  <c r="O40" i="13"/>
  <c r="N40" i="13"/>
  <c r="M40" i="13"/>
  <c r="L40" i="13"/>
  <c r="K40" i="13"/>
  <c r="J40" i="13"/>
  <c r="I40" i="13"/>
  <c r="H40" i="13"/>
  <c r="G40" i="13"/>
  <c r="F40" i="13"/>
  <c r="E40" i="13"/>
  <c r="T39" i="13"/>
  <c r="S39" i="13"/>
  <c r="R39" i="13"/>
  <c r="Q39" i="13"/>
  <c r="P39" i="13"/>
  <c r="O39" i="13"/>
  <c r="N39" i="13"/>
  <c r="M39" i="13"/>
  <c r="L39" i="13"/>
  <c r="K39" i="13"/>
  <c r="J39" i="13"/>
  <c r="I39" i="13"/>
  <c r="H39" i="13"/>
  <c r="G39" i="13"/>
  <c r="F39" i="13"/>
  <c r="E39" i="13"/>
  <c r="T38" i="13"/>
  <c r="S38" i="13"/>
  <c r="R38" i="13"/>
  <c r="Q38" i="13"/>
  <c r="P38" i="13"/>
  <c r="O38" i="13"/>
  <c r="N38" i="13"/>
  <c r="M38" i="13"/>
  <c r="L38" i="13"/>
  <c r="K38" i="13"/>
  <c r="J38" i="13"/>
  <c r="I38" i="13"/>
  <c r="H38" i="13"/>
  <c r="G38" i="13"/>
  <c r="F38" i="13"/>
  <c r="E38" i="13"/>
  <c r="T36" i="13"/>
  <c r="S36" i="13"/>
  <c r="R36" i="13"/>
  <c r="Q36" i="13"/>
  <c r="P36" i="13"/>
  <c r="O36" i="13"/>
  <c r="N36" i="13"/>
  <c r="M36" i="13"/>
  <c r="L36" i="13"/>
  <c r="K36" i="13"/>
  <c r="J36" i="13"/>
  <c r="I36" i="13"/>
  <c r="H36" i="13"/>
  <c r="G36" i="13"/>
  <c r="F36" i="13"/>
  <c r="E36" i="13"/>
  <c r="T35" i="13"/>
  <c r="S35" i="13"/>
  <c r="R35" i="13"/>
  <c r="Q35" i="13"/>
  <c r="P35" i="13"/>
  <c r="O35" i="13"/>
  <c r="N35" i="13"/>
  <c r="M35" i="13"/>
  <c r="L35" i="13"/>
  <c r="K35" i="13"/>
  <c r="J35" i="13"/>
  <c r="I35" i="13"/>
  <c r="H35" i="13"/>
  <c r="G35" i="13"/>
  <c r="F35" i="13"/>
  <c r="E35" i="13"/>
  <c r="T34" i="13"/>
  <c r="S34" i="13"/>
  <c r="R34" i="13"/>
  <c r="Q34" i="13"/>
  <c r="P34" i="13"/>
  <c r="O34" i="13"/>
  <c r="N34" i="13"/>
  <c r="M34" i="13"/>
  <c r="L34" i="13"/>
  <c r="K34" i="13"/>
  <c r="J34" i="13"/>
  <c r="I34" i="13"/>
  <c r="H34" i="13"/>
  <c r="G34" i="13"/>
  <c r="F34" i="13"/>
  <c r="E34" i="13"/>
  <c r="T33" i="13"/>
  <c r="S33" i="13"/>
  <c r="R33" i="13"/>
  <c r="Q33" i="13"/>
  <c r="P33" i="13"/>
  <c r="O33" i="13"/>
  <c r="N33" i="13"/>
  <c r="M33" i="13"/>
  <c r="L33" i="13"/>
  <c r="K33" i="13"/>
  <c r="J33" i="13"/>
  <c r="I33" i="13"/>
  <c r="H33" i="13"/>
  <c r="G33" i="13"/>
  <c r="F33" i="13"/>
  <c r="E33" i="13"/>
  <c r="T32" i="13"/>
  <c r="S32" i="13"/>
  <c r="R32" i="13"/>
  <c r="Q32" i="13"/>
  <c r="P32" i="13"/>
  <c r="O32" i="13"/>
  <c r="N32" i="13"/>
  <c r="M32" i="13"/>
  <c r="L32" i="13"/>
  <c r="K32" i="13"/>
  <c r="J32" i="13"/>
  <c r="I32" i="13"/>
  <c r="H32" i="13"/>
  <c r="G32" i="13"/>
  <c r="F32" i="13"/>
  <c r="E32" i="13"/>
  <c r="T31" i="13"/>
  <c r="S31" i="13"/>
  <c r="R31" i="13"/>
  <c r="Q31" i="13"/>
  <c r="P31" i="13"/>
  <c r="O31" i="13"/>
  <c r="N31" i="13"/>
  <c r="M31" i="13"/>
  <c r="L31" i="13"/>
  <c r="K31" i="13"/>
  <c r="J31" i="13"/>
  <c r="I31" i="13"/>
  <c r="H31" i="13"/>
  <c r="G31" i="13"/>
  <c r="F31" i="13"/>
  <c r="E31" i="13"/>
  <c r="T30" i="13"/>
  <c r="S30" i="13"/>
  <c r="R30" i="13"/>
  <c r="Q30" i="13"/>
  <c r="P30" i="13"/>
  <c r="O30" i="13"/>
  <c r="N30" i="13"/>
  <c r="M30" i="13"/>
  <c r="L30" i="13"/>
  <c r="K30" i="13"/>
  <c r="J30" i="13"/>
  <c r="I30" i="13"/>
  <c r="H30" i="13"/>
  <c r="G30" i="13"/>
  <c r="F30" i="13"/>
  <c r="E30" i="13"/>
  <c r="T29" i="13"/>
  <c r="S29" i="13"/>
  <c r="R29" i="13"/>
  <c r="Q29" i="13"/>
  <c r="P29" i="13"/>
  <c r="O29" i="13"/>
  <c r="N29" i="13"/>
  <c r="M29" i="13"/>
  <c r="L29" i="13"/>
  <c r="K29" i="13"/>
  <c r="J29" i="13"/>
  <c r="I29" i="13"/>
  <c r="H29" i="13"/>
  <c r="G29" i="13"/>
  <c r="F29" i="13"/>
  <c r="E29" i="13"/>
  <c r="T28" i="13"/>
  <c r="S28" i="13"/>
  <c r="R28" i="13"/>
  <c r="Q28" i="13"/>
  <c r="P28" i="13"/>
  <c r="O28" i="13"/>
  <c r="N28" i="13"/>
  <c r="M28" i="13"/>
  <c r="L28" i="13"/>
  <c r="K28" i="13"/>
  <c r="J28" i="13"/>
  <c r="I28" i="13"/>
  <c r="H28" i="13"/>
  <c r="G28" i="13"/>
  <c r="F28" i="13"/>
  <c r="E28" i="13"/>
  <c r="T27" i="13"/>
  <c r="S27" i="13"/>
  <c r="R27" i="13"/>
  <c r="Q27" i="13"/>
  <c r="P27" i="13"/>
  <c r="O27" i="13"/>
  <c r="N27" i="13"/>
  <c r="M27" i="13"/>
  <c r="L27" i="13"/>
  <c r="K27" i="13"/>
  <c r="J27" i="13"/>
  <c r="I27" i="13"/>
  <c r="H27" i="13"/>
  <c r="G27" i="13"/>
  <c r="F27" i="13"/>
  <c r="E27" i="13"/>
  <c r="T26" i="13"/>
  <c r="S26" i="13"/>
  <c r="R26" i="13"/>
  <c r="Q26" i="13"/>
  <c r="P26" i="13"/>
  <c r="O26" i="13"/>
  <c r="N26" i="13"/>
  <c r="M26" i="13"/>
  <c r="L26" i="13"/>
  <c r="K26" i="13"/>
  <c r="J26" i="13"/>
  <c r="I26" i="13"/>
  <c r="H26" i="13"/>
  <c r="G26" i="13"/>
  <c r="F26" i="13"/>
  <c r="E26" i="13"/>
  <c r="T25" i="13"/>
  <c r="S25" i="13"/>
  <c r="R25" i="13"/>
  <c r="Q25" i="13"/>
  <c r="P25" i="13"/>
  <c r="O25" i="13"/>
  <c r="N25" i="13"/>
  <c r="M25" i="13"/>
  <c r="L25" i="13"/>
  <c r="K25" i="13"/>
  <c r="J25" i="13"/>
  <c r="I25" i="13"/>
  <c r="H25" i="13"/>
  <c r="G25" i="13"/>
  <c r="F25" i="13"/>
  <c r="E25" i="13"/>
  <c r="E22" i="13"/>
  <c r="S21" i="13"/>
  <c r="E21" i="13"/>
</calcChain>
</file>

<file path=xl/sharedStrings.xml><?xml version="1.0" encoding="utf-8"?>
<sst xmlns="http://schemas.openxmlformats.org/spreadsheetml/2006/main" count="543" uniqueCount="283">
  <si>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</si>
  <si>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</si>
  <si>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</si>
  <si>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</si>
  <si>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</si>
  <si>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</si>
  <si>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</si>
  <si>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</si>
  <si>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</si>
  <si>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</si>
  <si>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</si>
  <si>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</si>
  <si>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</si>
  <si>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</si>
  <si>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</si>
  <si>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</si>
  <si>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</si>
  <si>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</si>
  <si>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</si>
  <si>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</si>
  <si>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</si>
  <si>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</si>
  <si>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</si>
  <si>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</si>
  <si>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</si>
  <si>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</si>
  <si>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</si>
  <si>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</si>
  <si>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</si>
  <si>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</si>
  <si>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</si>
  <si>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</si>
  <si>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</si>
  <si>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</si>
  <si>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</si>
  <si>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</si>
  <si>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</si>
  <si>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</si>
  <si>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</si>
  <si>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</si>
  <si>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</si>
  <si>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</si>
  <si>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</si>
  <si>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</si>
  <si>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</si>
  <si>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</si>
  <si>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</si>
  <si>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</si>
  <si>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</si>
  <si>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</si>
  <si>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</si>
  <si>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</si>
  <si>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</si>
  <si>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</si>
  <si>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</si>
  <si>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</si>
  <si>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</si>
  <si>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</si>
  <si>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</si>
  <si>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</si>
  <si>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</si>
  <si>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</si>
  <si>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</si>
  <si>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</si>
  <si>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</si>
  <si>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</si>
  <si>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</si>
  <si>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</si>
  <si>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</si>
  <si>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</si>
  <si>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</si>
  <si>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</si>
  <si>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</si>
  <si>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</si>
  <si>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</si>
  <si>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</si>
  <si>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</si>
  <si>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</si>
  <si>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</si>
  <si>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</si>
  <si>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</si>
  <si>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</si>
  <si>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</si>
  <si>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</si>
  <si>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</si>
  <si>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</si>
  <si>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</si>
  <si>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</si>
  <si>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</si>
  <si>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</si>
  <si>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</si>
  <si>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</si>
  <si>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</si>
  <si>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</si>
  <si>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</si>
  <si>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</si>
  <si>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</si>
  <si>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</si>
  <si>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</si>
  <si>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</si>
  <si>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</si>
  <si>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</si>
  <si>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</si>
  <si>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</si>
  <si>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</si>
  <si>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</si>
  <si>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</si>
  <si>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</si>
  <si>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</si>
  <si>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</si>
  <si>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</si>
  <si>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</si>
  <si>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</si>
  <si>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</si>
  <si>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</si>
  <si>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</si>
  <si>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</si>
  <si>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</si>
  <si>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</si>
  <si>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</si>
  <si>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</si>
  <si>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</si>
  <si>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</si>
  <si>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</si>
  <si>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</si>
  <si>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</si>
  <si>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</si>
  <si>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</si>
  <si>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</si>
  <si>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</si>
  <si>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</si>
  <si>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</si>
  <si>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</si>
  <si>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</si>
  <si>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</si>
  <si>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</si>
  <si>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</si>
  <si>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</si>
  <si>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</si>
  <si>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</si>
  <si>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</si>
  <si>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</si>
  <si>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</si>
  <si>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</si>
  <si>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</si>
  <si>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</si>
  <si>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</si>
  <si>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</si>
  <si>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</si>
  <si>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</si>
  <si>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</si>
  <si>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</si>
  <si>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</si>
  <si>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</si>
  <si>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</si>
  <si>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</si>
  <si>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</si>
  <si>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</si>
  <si>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</si>
  <si>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</si>
  <si>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</si>
  <si>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</si>
  <si>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</si>
  <si>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</si>
  <si>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</si>
  <si>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</si>
  <si>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</si>
  <si>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</si>
  <si>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</si>
  <si>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</si>
  <si>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</si>
  <si>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</si>
  <si>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</si>
  <si>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</si>
  <si>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</si>
  <si>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</si>
  <si>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</si>
  <si>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</si>
  <si>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</si>
  <si>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</si>
  <si>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</si>
  <si>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</si>
  <si>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</si>
  <si>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</si>
  <si>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</si>
  <si>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</si>
  <si>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</si>
  <si>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</si>
  <si>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</si>
  <si>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</si>
  <si>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</si>
  <si>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</si>
  <si>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</si>
  <si>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</si>
  <si>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</si>
  <si>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</si>
  <si>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</si>
  <si>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</si>
  <si>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</si>
  <si>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</si>
  <si>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</si>
  <si>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</si>
  <si>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</si>
  <si>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</si>
  <si>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</si>
  <si>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</si>
  <si>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</si>
  <si>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</si>
  <si>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</si>
  <si>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</si>
  <si>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</si>
  <si>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</si>
  <si>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</si>
  <si>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</si>
  <si>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</si>
  <si>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</si>
  <si>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</si>
  <si>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</si>
  <si>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</si>
  <si>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</si>
  <si>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</si>
  <si>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</si>
  <si>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</si>
  <si>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</si>
  <si>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</si>
  <si>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</si>
  <si>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</si>
  <si>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</si>
  <si>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</si>
  <si>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UnitedHealthcare of Georgia, Inc.</t>
  </si>
  <si>
    <t>Individual</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</si>
  <si>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</si>
  <si>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</si>
  <si>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</si>
  <si>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</si>
  <si>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</si>
  <si>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</si>
  <si>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</si>
  <si>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</si>
  <si>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</si>
  <si>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</si>
  <si>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</si>
  <si>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</si>
  <si>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</si>
  <si>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</si>
  <si>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43802GA004</t>
  </si>
  <si>
    <t>Individual HMO</t>
  </si>
  <si>
    <t>43802GA0040029</t>
  </si>
  <si>
    <t>UHC Bronze Virtual First (Unlimited 0 App-based Care, 3 Tier 2 Rx) (Disponible en espanol)</t>
  </si>
  <si>
    <t>HMO</t>
  </si>
  <si>
    <t>43802GA0040038</t>
  </si>
  <si>
    <t>UHC Bronze Essential (0 Virtual Urgent Care, 3 Tier 2 Rx)</t>
  </si>
  <si>
    <t>43802GA0040039</t>
  </si>
  <si>
    <t>UHC Bronze Standard</t>
  </si>
  <si>
    <t>43802GA0040042</t>
  </si>
  <si>
    <t>UHC Bronze Value (0 Virtual Urgent Care + 0 PCP Visits, 3 Tier 2 Rx)</t>
  </si>
  <si>
    <t>43802GA0040043</t>
  </si>
  <si>
    <t>UHC Bronze Copay Focus 0 Indiv Med Ded (0 Virtual Urgent Care)</t>
  </si>
  <si>
    <t>43802GA0040020</t>
  </si>
  <si>
    <t>UHC Silver Virtual First (Unlimited 0 App-based Care, 3 Tier 2 Rx) (Disponible en espanol)</t>
  </si>
  <si>
    <t>43802GA0040031</t>
  </si>
  <si>
    <t>UHC Silver Copay Focus 0 Indiv Med Ded (0 Virtual Urgent Care, 5 Tier 2 Rx)</t>
  </si>
  <si>
    <t>43802GA0040034</t>
  </si>
  <si>
    <t>UHC Silver Value (0 Virtual Urgent Care + 0 PCP Visits, 3 Tier 2 Rx)</t>
  </si>
  <si>
    <t>43802GA0040036</t>
  </si>
  <si>
    <t>UHC Silver Standard</t>
  </si>
  <si>
    <t>43802GA0040044</t>
  </si>
  <si>
    <t>UHC Silver Advantage (0 Virtual Urgent Care, 3 Tier 2 Rx, 0 Insulin)</t>
  </si>
  <si>
    <t>43802GA0040030</t>
  </si>
  <si>
    <t>UHC Gold Standard</t>
  </si>
  <si>
    <t>43802GA0040045</t>
  </si>
  <si>
    <t>UHC Gold Value (0 Virtual Urgent Care + 0 PCP Visits, 1 Tier 2 Rx)</t>
  </si>
  <si>
    <t>43802GA0040046</t>
  </si>
  <si>
    <t>UHC Gold Virtual First (Unlimited 0 App-based Care, 3 Tier 2 Rx) (Disponible en espanol)</t>
  </si>
  <si>
    <t>43802GA0040047</t>
  </si>
  <si>
    <t>UHC Gold Copay Focus 0 Indiv Med Ded (0 Virtual Urgent Care, 3 Tier 2 Rx)</t>
  </si>
  <si>
    <t>43802GA007</t>
  </si>
  <si>
    <t>UHC IND HMO ADAV</t>
  </si>
  <si>
    <t>43802GA0070001</t>
  </si>
  <si>
    <t>UHC Silver Advantage+ (0 Virtual Urgent Care, 3 Tier 2 Rx, Dental + Vision)</t>
  </si>
  <si>
    <t>43802GA0070002</t>
  </si>
  <si>
    <t>UHC Gold Advantage+ (0 Virtual Urgent Care, 1 Tier 2 Rx, Dental + Vision)</t>
  </si>
  <si>
    <t>REBUILD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</si>
</sst>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78">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168" fontId="0" fillId="0" borderId="11" xfId="0" applyNumberFormat="1" applyBorder="1" applyAlignment="1">
      <alignment horizontal="center"/>
    </xf>
    <xf numFmtId="170" fontId="0" fillId="0" borderId="7" xfId="0" applyNumberFormat="1" applyBorder="1" applyAlignment="1">
      <alignment horizontal="center"/>
    </xf>
    <xf numFmtId="10" fontId="0" fillId="0" borderId="11" xfId="0" applyNumberFormat="1" applyBorder="1" applyAlignment="1">
      <alignment horizontal="center"/>
    </xf>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0" fontId="0" fillId="5" borderId="11" xfId="0" applyFill="1" applyBorder="1" applyAlignment="1" applyProtection="1">
      <alignment horizontal="center"/>
      <protection locked="0"/>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104775</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161925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47625</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43802</v>
      </c>
      <c r="D4" s="207" t="s">
        <v>7</v>
      </c>
      <c r="E4" s="213" t="s">
        <v>37</v>
      </c>
      <c r="F4" s="4"/>
      <c r="G4" s="4"/>
      <c r="H4" s="4"/>
      <c r="K4" s="98" t="s">
        <v>216</v>
      </c>
    </row>
    <row r="5" spans="1:29" ht="15.75">
      <c r="B5" s="96" t="s">
        <v>14</v>
      </c>
      <c r="C5" s="219">
        <f>MAX('Wksh 2 - Plan Product Info'!E19:T19)</f>
        <v>0</v>
      </c>
      <c r="D5" s="207" t="s">
        <v>9</v>
      </c>
      <c r="E5" s="213" t="s">
        <v>230</v>
      </c>
    </row>
    <row r="6" spans="1:29" ht="18.75">
      <c r="B6" s="3"/>
      <c r="C6" s="3"/>
      <c r="D6" s="3"/>
      <c r="E6" s="3"/>
      <c r="F6" s="4"/>
    </row>
    <row r="7" spans="1:29">
      <c r="F7" s="2"/>
    </row>
    <row r="8" spans="1:29">
      <c r="B8" s="247" t="s">
        <v>3</v>
      </c>
      <c r="C8" s="248"/>
      <c r="D8" s="248"/>
      <c r="E8" s="248"/>
      <c r="F8" s="248"/>
      <c r="G8" s="248"/>
      <c r="H8" s="248"/>
      <c r="I8" s="248"/>
      <c r="J8" s="248"/>
      <c r="K8" s="248"/>
      <c r="L8" s="248"/>
      <c r="M8" s="248"/>
      <c r="N8" s="248"/>
      <c r="O8" s="248"/>
      <c r="P8" s="248"/>
      <c r="Q8" s="249"/>
      <c r="R8"/>
      <c r="S8"/>
      <c r="T8"/>
      <c r="U8"/>
      <c r="V8"/>
      <c r="W8"/>
      <c r="X8"/>
      <c r="Y8"/>
    </row>
    <row r="9" spans="1:29">
      <c r="B9" s="250"/>
      <c r="C9" s="251"/>
      <c r="D9" s="251"/>
      <c r="E9" s="251"/>
      <c r="F9" s="251"/>
      <c r="G9" s="251"/>
      <c r="H9" s="251"/>
      <c r="I9" s="251"/>
      <c r="J9" s="251"/>
      <c r="K9" s="251"/>
      <c r="L9" s="251"/>
      <c r="M9" s="251"/>
      <c r="N9" s="251"/>
      <c r="O9" s="251"/>
      <c r="P9" s="251"/>
      <c r="Q9" s="252"/>
      <c r="R9"/>
      <c r="S9"/>
      <c r="T9"/>
      <c r="U9"/>
      <c r="V9"/>
      <c r="W9"/>
      <c r="X9"/>
      <c r="Y9"/>
    </row>
    <row r="10" spans="1:29">
      <c r="B10" s="19"/>
      <c r="F10" s="2"/>
    </row>
    <row r="11" spans="1:29">
      <c r="B11" s="28" t="s">
        <v>85</v>
      </c>
      <c r="E11" s="29"/>
      <c r="F11" s="2"/>
    </row>
    <row r="12" spans="1:29">
      <c r="B12" s="75" t="s">
        <v>21</v>
      </c>
      <c r="D12" s="214">
        <v>44562</v>
      </c>
      <c r="E12" s="31" t="s">
        <v>11</v>
      </c>
      <c r="F12" s="84" t="str">
        <f>EDATE(D12,12)-1</f>
        <v>12/31/2022</v>
      </c>
      <c r="H12" s="33"/>
      <c r="I12" s="32"/>
    </row>
    <row r="13" spans="1:29">
      <c r="B13" s="30"/>
      <c r="E13" s="69" t="s">
        <v>2</v>
      </c>
      <c r="F13" s="34" t="s">
        <v>23</v>
      </c>
      <c r="G13"/>
      <c r="J13"/>
      <c r="P13"/>
      <c r="Q13"/>
      <c r="U13"/>
      <c r="V13"/>
      <c r="W13"/>
      <c r="X13"/>
      <c r="Y13"/>
      <c r="AC13" s="35"/>
    </row>
    <row r="14" spans="1:29">
      <c r="B14" s="256" t="s">
        <v>86</v>
      </c>
      <c r="C14" s="257"/>
      <c r="D14" s="258"/>
      <c r="E14" s="102">
        <v>46860265.476214603</v>
      </c>
      <c r="F14" s="103">
        <f>E14/E19</f>
        <v>650.78279999999995</v>
      </c>
      <c r="G14" s="36"/>
      <c r="J14"/>
      <c r="P14"/>
      <c r="Q14"/>
      <c r="U14"/>
      <c r="V14"/>
      <c r="W14"/>
      <c r="X14"/>
      <c r="Y14"/>
      <c r="AC14" s="35"/>
    </row>
    <row r="15" spans="1:29">
      <c r="B15" s="259" t="s">
        <v>87</v>
      </c>
      <c r="C15" s="259"/>
      <c r="D15" s="259"/>
      <c r="E15" s="102">
        <v>2784368.71</v>
      </c>
      <c r="F15" s="104">
        <f>E15/E19</f>
        <v>38.668599999999998</v>
      </c>
      <c r="G15" s="36"/>
      <c r="J15"/>
      <c r="P15"/>
      <c r="Q15"/>
      <c r="U15"/>
      <c r="V15"/>
      <c r="W15"/>
      <c r="X15"/>
      <c r="Y15"/>
      <c r="AC15" s="35"/>
    </row>
    <row r="16" spans="1:29">
      <c r="B16" s="259" t="s">
        <v>88</v>
      </c>
      <c r="C16" s="259"/>
      <c r="D16" s="259"/>
      <c r="E16" s="102">
        <v>36451484.896214597</v>
      </c>
      <c r="F16" s="104">
        <f>E16/E19</f>
        <v>506.22840000000002</v>
      </c>
      <c r="G16" s="36"/>
      <c r="J16"/>
      <c r="P16"/>
      <c r="Q16"/>
      <c r="U16"/>
      <c r="V16"/>
      <c r="W16"/>
      <c r="X16"/>
      <c r="Y16"/>
      <c r="AC16" s="35"/>
    </row>
    <row r="17" spans="2:31">
      <c r="B17" s="259" t="s">
        <v>89</v>
      </c>
      <c r="C17" s="259"/>
      <c r="D17" s="259"/>
      <c r="E17" s="105">
        <v>-458789.601146331</v>
      </c>
      <c r="F17" s="106">
        <f>E17/E19</f>
        <v>-6.3715000000000002</v>
      </c>
      <c r="G17" s="37"/>
      <c r="H17" s="38"/>
      <c r="I17" s="32"/>
      <c r="J17"/>
      <c r="O17" s="39"/>
      <c r="P17"/>
      <c r="Q17"/>
      <c r="U17"/>
      <c r="V17"/>
      <c r="W17"/>
      <c r="X17"/>
      <c r="Y17"/>
      <c r="AC17" s="35"/>
    </row>
    <row r="18" spans="2:31">
      <c r="B18" s="259" t="s">
        <v>90</v>
      </c>
      <c r="C18" s="259"/>
      <c r="D18" s="259"/>
      <c r="E18" s="105">
        <v>43540586.100000001</v>
      </c>
      <c r="F18" s="107">
        <f>E18/E19</f>
        <v>604.67999999999995</v>
      </c>
      <c r="G18" s="40"/>
      <c r="H18" s="38"/>
      <c r="I18" s="32"/>
      <c r="J18"/>
      <c r="P18"/>
      <c r="Q18"/>
      <c r="U18"/>
      <c r="V18"/>
      <c r="W18"/>
      <c r="X18"/>
      <c r="Y18"/>
      <c r="AC18" s="35"/>
    </row>
    <row r="19" spans="2:31">
      <c r="B19" s="259" t="s">
        <v>22</v>
      </c>
      <c r="C19" s="259"/>
      <c r="D19" s="259"/>
      <c r="E19" s="215">
        <f>'Wksh 2 - Plan Product Info'!D33</f>
        <v>72006</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53" t="s">
        <v>92</v>
      </c>
      <c r="E22" s="254"/>
      <c r="F22" s="255" t="s">
        <v>93</v>
      </c>
      <c r="G22" s="255"/>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166.48045162903099</v>
      </c>
      <c r="D24" s="122">
        <v>1.04014398573712</v>
      </c>
      <c r="E24" s="125">
        <v>1.03273003485905</v>
      </c>
      <c r="F24" s="122">
        <v>1.1072734055139399</v>
      </c>
      <c r="G24" s="127">
        <v>1.0440108263929599</v>
      </c>
      <c r="H24" s="131">
        <f t="shared" ref="H24:H29" si="0">PRODUCT(C24:G24)</f>
        <v>206.72989999999999</v>
      </c>
      <c r="I24" s="38"/>
      <c r="J24" s="32"/>
      <c r="K24" s="38"/>
      <c r="L24"/>
      <c r="R24"/>
      <c r="S24"/>
      <c r="W24"/>
      <c r="X24"/>
      <c r="Y24"/>
      <c r="Z24"/>
      <c r="AA24"/>
      <c r="AE24" s="35"/>
    </row>
    <row r="25" spans="2:31">
      <c r="B25" s="111" t="s">
        <v>19</v>
      </c>
      <c r="C25" s="130">
        <v>191.08073577201901</v>
      </c>
      <c r="D25" s="123">
        <v>1.0354402207661599</v>
      </c>
      <c r="E25" s="124">
        <v>1.0445192428957699</v>
      </c>
      <c r="F25" s="123">
        <v>1.0095752621818801</v>
      </c>
      <c r="G25" s="126">
        <v>1.0558343784022</v>
      </c>
      <c r="H25" s="132">
        <f t="shared" si="0"/>
        <v>220.28899999999999</v>
      </c>
      <c r="I25" s="38"/>
      <c r="J25" s="32"/>
      <c r="K25" s="38"/>
      <c r="L25"/>
      <c r="R25"/>
      <c r="S25"/>
      <c r="W25"/>
      <c r="X25"/>
      <c r="Y25"/>
      <c r="Z25"/>
      <c r="AA25"/>
      <c r="AE25" s="35"/>
    </row>
    <row r="26" spans="2:31">
      <c r="B26" s="111" t="s">
        <v>0</v>
      </c>
      <c r="C26" s="130">
        <v>179.53592672832801</v>
      </c>
      <c r="D26" s="123">
        <v>1.0146866110052899</v>
      </c>
      <c r="E26" s="124">
        <v>1.0265704693545901</v>
      </c>
      <c r="F26" s="123">
        <v>1.03560666050953</v>
      </c>
      <c r="G26" s="128">
        <v>1.03783331702427</v>
      </c>
      <c r="H26" s="132">
        <f t="shared" si="0"/>
        <v>200.99930000000001</v>
      </c>
      <c r="I26" s="38"/>
      <c r="J26" s="32"/>
      <c r="K26" s="38"/>
      <c r="L26"/>
      <c r="R26"/>
      <c r="S26"/>
      <c r="W26"/>
      <c r="X26"/>
      <c r="Y26"/>
      <c r="Z26"/>
      <c r="AA26"/>
      <c r="AE26" s="35"/>
    </row>
    <row r="27" spans="2:31">
      <c r="B27" s="111" t="s">
        <v>18</v>
      </c>
      <c r="C27" s="130">
        <v>15.283982168152599</v>
      </c>
      <c r="D27" s="123">
        <v>1.01488992656859</v>
      </c>
      <c r="E27" s="124">
        <v>0.98487423637157201</v>
      </c>
      <c r="F27" s="123">
        <v>1.03537351906805</v>
      </c>
      <c r="G27" s="126">
        <v>0.996015615807332</v>
      </c>
      <c r="H27" s="132">
        <f t="shared" si="0"/>
        <v>15.754300000000001</v>
      </c>
      <c r="I27" s="38"/>
      <c r="J27" s="32"/>
      <c r="K27" s="38"/>
      <c r="L27"/>
      <c r="R27"/>
      <c r="S27"/>
      <c r="W27"/>
      <c r="X27"/>
      <c r="Y27"/>
      <c r="Z27"/>
      <c r="AA27"/>
      <c r="AE27" s="35"/>
    </row>
    <row r="28" spans="2:31">
      <c r="B28" s="111" t="s">
        <v>1</v>
      </c>
      <c r="C28" s="130">
        <v>0</v>
      </c>
      <c r="D28" s="120">
        <v>1</v>
      </c>
      <c r="E28" s="121">
        <v>1</v>
      </c>
      <c r="F28" s="123">
        <v>1</v>
      </c>
      <c r="G28" s="126">
        <v>1</v>
      </c>
      <c r="H28" s="132">
        <f t="shared" si="0"/>
        <v>0</v>
      </c>
      <c r="I28" s="38"/>
      <c r="J28" s="32"/>
      <c r="K28" s="38"/>
      <c r="L28"/>
      <c r="R28"/>
      <c r="S28"/>
      <c r="W28"/>
      <c r="X28"/>
      <c r="Y28"/>
      <c r="Z28"/>
      <c r="AA28"/>
      <c r="AE28" s="35"/>
    </row>
    <row r="29" spans="2:31" ht="15.75" thickBot="1">
      <c r="B29" s="111" t="s">
        <v>20</v>
      </c>
      <c r="C29" s="114">
        <v>98.401692306399397</v>
      </c>
      <c r="D29" s="119">
        <v>1.04774737526992</v>
      </c>
      <c r="E29" s="118">
        <v>1.0494733088432799</v>
      </c>
      <c r="F29" s="119">
        <v>1.04774737526992</v>
      </c>
      <c r="G29" s="85">
        <v>1.05219485479885</v>
      </c>
      <c r="H29" s="116">
        <f t="shared" si="0"/>
        <v>119.2843</v>
      </c>
      <c r="I29" s="38"/>
      <c r="J29" s="32"/>
      <c r="K29" s="38"/>
      <c r="L29"/>
      <c r="R29"/>
      <c r="S29"/>
      <c r="W29"/>
      <c r="X29"/>
      <c r="Y29"/>
      <c r="Z29"/>
      <c r="AA29"/>
      <c r="AE29" s="35"/>
    </row>
    <row r="30" spans="2:31" ht="15.75" thickBot="1">
      <c r="B30" s="112" t="s">
        <v>2</v>
      </c>
      <c r="C30" s="113">
        <f>SUM(C24:C29)</f>
        <v>650.78279999999995</v>
      </c>
      <c r="D30" s="244"/>
      <c r="E30" s="245"/>
      <c r="F30" s="245"/>
      <c r="G30" s="245"/>
      <c r="H30" s="144">
        <f>SUM(H24:H29)</f>
        <v>763.05690000000004</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v>
      </c>
      <c r="G32" s="40"/>
      <c r="H32" s="38"/>
      <c r="I32" s="38"/>
      <c r="J32" s="32"/>
      <c r="K32" s="38"/>
      <c r="L32"/>
      <c r="R32"/>
      <c r="S32"/>
      <c r="W32"/>
      <c r="X32"/>
      <c r="Y32"/>
      <c r="Z32"/>
      <c r="AA32"/>
      <c r="AE32" s="35"/>
    </row>
    <row r="33" spans="2:31">
      <c r="B33" s="223" t="s">
        <v>99</v>
      </c>
      <c r="C33" s="224"/>
      <c r="D33" s="224"/>
      <c r="E33" s="225"/>
      <c r="F33" s="136">
        <v>1.0517076265149901</v>
      </c>
      <c r="G33" s="40"/>
      <c r="H33" s="38"/>
      <c r="I33" s="38"/>
      <c r="J33" s="32"/>
      <c r="K33" s="38"/>
      <c r="L33"/>
      <c r="R33"/>
      <c r="S33"/>
      <c r="W33"/>
      <c r="X33"/>
      <c r="Y33"/>
      <c r="Z33"/>
      <c r="AA33"/>
      <c r="AE33" s="35"/>
    </row>
    <row r="34" spans="2:31">
      <c r="B34" s="223" t="s">
        <v>100</v>
      </c>
      <c r="C34" s="224"/>
      <c r="D34" s="224"/>
      <c r="E34" s="225"/>
      <c r="F34" s="136">
        <v>1</v>
      </c>
      <c r="G34" s="40"/>
      <c r="H34" s="38"/>
      <c r="I34" s="38"/>
      <c r="J34" s="32"/>
      <c r="K34" s="38"/>
      <c r="L34"/>
      <c r="R34"/>
      <c r="S34"/>
      <c r="W34"/>
      <c r="X34"/>
      <c r="Y34"/>
      <c r="Z34"/>
      <c r="AA34"/>
      <c r="AE34" s="35"/>
    </row>
    <row r="35" spans="2:31">
      <c r="B35" s="223" t="s">
        <v>17</v>
      </c>
      <c r="C35" s="224"/>
      <c r="D35" s="224"/>
      <c r="E35" s="225"/>
      <c r="F35" s="136">
        <v>1.01</v>
      </c>
      <c r="G35" s="40"/>
      <c r="H35" s="38"/>
      <c r="I35" s="38"/>
      <c r="J35" s="32"/>
      <c r="K35" s="38"/>
      <c r="L35"/>
      <c r="R35"/>
      <c r="S35"/>
      <c r="W35"/>
      <c r="X35"/>
      <c r="Y35"/>
      <c r="Z35"/>
      <c r="AA35"/>
      <c r="AE35" s="35"/>
    </row>
    <row r="36" spans="2:31">
      <c r="B36" s="223" t="s">
        <v>220</v>
      </c>
      <c r="C36" s="224"/>
      <c r="D36" s="137" t="str">
        <f>IF(C5&lt;&gt;"",C5,"")</f>
        <v>1/1/2024</v>
      </c>
      <c r="E36" s="138"/>
      <c r="F36" s="135">
        <f>H30*PRODUCT(F32:F35)</f>
        <v>810.53790000000004</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0</v>
      </c>
      <c r="G38" s="40"/>
      <c r="H38" s="38"/>
      <c r="I38" s="38"/>
      <c r="J38" s="32"/>
      <c r="K38" s="38"/>
      <c r="L38"/>
      <c r="R38"/>
      <c r="S38"/>
      <c r="W38"/>
      <c r="X38"/>
      <c r="Y38"/>
      <c r="Z38"/>
      <c r="AA38"/>
      <c r="AE38" s="35"/>
    </row>
    <row r="39" spans="2:31">
      <c r="B39" s="223" t="s">
        <v>219</v>
      </c>
      <c r="C39" s="224"/>
      <c r="D39" s="224"/>
      <c r="E39" s="225"/>
      <c r="F39" s="134">
        <v>1</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t="str">
        <f>IF(C5&lt;&gt;"",C5,"")</f>
        <v>1/1/2024</v>
      </c>
      <c r="E42" s="139"/>
      <c r="F42" s="135">
        <f>ROUND(F39*F36+(1-F39)*F38,2)</f>
        <v>810.54</v>
      </c>
      <c r="G42" s="140">
        <f>F42*F48</f>
        <v>65096088.479999997</v>
      </c>
      <c r="H42" s="38"/>
      <c r="I42" s="38"/>
      <c r="J42" s="32"/>
      <c r="K42" s="38"/>
      <c r="L42"/>
      <c r="R42"/>
      <c r="S42"/>
      <c r="W42"/>
      <c r="X42"/>
      <c r="Y42"/>
      <c r="Z42"/>
      <c r="AA42"/>
      <c r="AE42" s="35"/>
    </row>
    <row r="43" spans="2:31">
      <c r="B43" s="223" t="s">
        <v>87</v>
      </c>
      <c r="C43" s="224"/>
      <c r="D43" s="224"/>
      <c r="E43" s="225"/>
      <c r="F43" s="133">
        <v>45.519573433556999</v>
      </c>
      <c r="G43" s="140">
        <f>F43*F48</f>
        <v>3655767.9816000001</v>
      </c>
      <c r="H43" s="38"/>
      <c r="I43" s="38"/>
      <c r="J43" s="32"/>
      <c r="K43" s="38"/>
      <c r="L43"/>
      <c r="R43"/>
      <c r="S43"/>
      <c r="W43"/>
      <c r="X43"/>
      <c r="Y43"/>
      <c r="Z43"/>
      <c r="AA43"/>
      <c r="AE43" s="35"/>
    </row>
    <row r="44" spans="2:31">
      <c r="B44" s="223" t="s">
        <v>138</v>
      </c>
      <c r="C44" s="224"/>
      <c r="D44" s="224"/>
      <c r="E44" s="225"/>
      <c r="F44" s="133">
        <v>14.097865813896499</v>
      </c>
      <c r="G44" s="140">
        <f>F44*F48</f>
        <v>1132227.7992</v>
      </c>
      <c r="H44" s="38"/>
      <c r="I44" s="38"/>
      <c r="J44" s="32"/>
      <c r="K44" s="38"/>
      <c r="L44"/>
      <c r="R44"/>
      <c r="S44"/>
      <c r="W44"/>
      <c r="X44"/>
      <c r="Y44"/>
      <c r="Z44"/>
      <c r="AA44"/>
      <c r="AE44" s="35"/>
    </row>
    <row r="45" spans="2:31">
      <c r="B45" s="223" t="s">
        <v>102</v>
      </c>
      <c r="C45" s="224"/>
      <c r="D45" s="224"/>
      <c r="E45" s="225"/>
      <c r="F45" s="142">
        <v>3.00141436429332E-2</v>
      </c>
      <c r="G45" s="141">
        <f>F45*F46*F48</f>
        <v>1866105.3099</v>
      </c>
      <c r="H45" s="38"/>
      <c r="I45" s="38"/>
      <c r="J45" s="32"/>
      <c r="K45" s="38"/>
      <c r="L45"/>
      <c r="R45"/>
      <c r="S45"/>
      <c r="W45"/>
      <c r="X45"/>
      <c r="Y45"/>
      <c r="Z45"/>
      <c r="AA45"/>
      <c r="AE45" s="35"/>
    </row>
    <row r="46" spans="2:31">
      <c r="B46" s="223" t="s">
        <v>122</v>
      </c>
      <c r="C46" s="224"/>
      <c r="D46" s="224"/>
      <c r="E46" s="225"/>
      <c r="F46" s="135">
        <f>(F42-F43-F44)/(1-F45)</f>
        <v>774.15830000000005</v>
      </c>
      <c r="G46" s="143">
        <f>F46*F48</f>
        <v>62174198.009099998</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80312</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46" t="s">
        <v>148</v>
      </c>
      <c r="C50" s="246"/>
      <c r="D50" s="246"/>
      <c r="E50" s="246"/>
      <c r="F50" s="246"/>
      <c r="G50" s="246"/>
      <c r="H50" s="246"/>
      <c r="I50" s="246"/>
      <c r="J50" s="246"/>
      <c r="K50" s="246"/>
      <c r="L50" s="246"/>
      <c r="M50" s="246"/>
      <c r="N50" s="246"/>
      <c r="O50" s="246"/>
      <c r="P50" s="246"/>
      <c r="Q50" s="246"/>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46"/>
      <c r="B112" s="246"/>
      <c r="C112" s="246"/>
      <c r="D112" s="246"/>
      <c r="E112" s="246"/>
      <c r="F112" s="246"/>
      <c r="G112" s="246"/>
      <c r="H112" s="246"/>
      <c r="I112" s="246"/>
      <c r="J112" s="246"/>
      <c r="K112" s="246"/>
      <c r="L112" s="246"/>
      <c r="M112" s="246"/>
      <c r="N112" s="246"/>
      <c r="O112" s="246"/>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password="BD7E" sheet="1" objects="1" scenario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83"/>
  <sheetViews>
    <sheetView showGridLines="0"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22" ht="18.600000000000001" customHeight="1">
      <c r="A1" s="100" t="s">
        <v>226</v>
      </c>
      <c r="C1" s="16" t="s">
        <v>221</v>
      </c>
      <c r="D1" s="16"/>
      <c r="E1" s="3"/>
      <c r="F1" s="3"/>
      <c r="G1" s="3"/>
      <c r="H1" s="4"/>
      <c r="I1" s="1"/>
      <c r="J1" s="1"/>
      <c r="K1" s="1"/>
      <c r="L1" s="1"/>
      <c r="M1" s="1"/>
      <c r="N1" s="1"/>
      <c r="O1" s="1"/>
      <c r="P1" s="98" t="s">
        <v>213</v>
      </c>
      <c r="Q1" s="1"/>
      <c r="S1" s="1"/>
      <c r="T1" s="1"/>
      <c r="U1" s="1"/>
    </row>
    <row r="2" spans="1:22" ht="18.75">
      <c r="C2" s="3"/>
      <c r="D2" s="3"/>
      <c r="E2" s="3"/>
      <c r="F2" s="3"/>
      <c r="G2" s="3"/>
      <c r="H2" s="4"/>
      <c r="I2" s="1"/>
      <c r="J2" s="1"/>
      <c r="K2" s="1"/>
      <c r="L2" s="1"/>
      <c r="M2" s="1"/>
      <c r="N2" s="1"/>
      <c r="O2" s="1"/>
      <c r="P2" s="98" t="s">
        <v>214</v>
      </c>
      <c r="Q2" s="1"/>
      <c r="S2" s="1"/>
      <c r="T2" s="1"/>
      <c r="U2" s="1"/>
    </row>
    <row r="3" spans="1:22" ht="18.75">
      <c r="C3" s="96" t="s">
        <v>5</v>
      </c>
      <c r="D3" s="93" t="str">
        <f>IF('Wksh 1 - Market Experience'!C3&lt;&gt;"", 'Wksh 1 - Market Experience'!C3,"")</f>
        <v/>
      </c>
      <c r="F3" s="6"/>
      <c r="G3" s="6"/>
      <c r="J3" s="1"/>
      <c r="K3" s="1"/>
      <c r="P3" s="99" t="s">
        <v>215</v>
      </c>
    </row>
    <row r="4" spans="1:22" ht="18.75">
      <c r="C4" s="97" t="s">
        <v>6</v>
      </c>
      <c r="D4" s="94" t="str">
        <f>IF('Wksh 1 - Market Experience'!C4&lt;&gt;"", 'Wksh 1 - Market Experience'!C4,"")</f>
        <v/>
      </c>
      <c r="E4" s="96" t="s">
        <v>7</v>
      </c>
      <c r="F4" s="101" t="str">
        <f>IF('Wksh 1 - Market Experience'!E4&lt;&gt;"",'Wksh 1 - Market Experience'!E4,"")</f>
        <v/>
      </c>
      <c r="G4" s="7"/>
      <c r="J4" s="1"/>
      <c r="K4" s="1"/>
      <c r="P4" s="99" t="s">
        <v>216</v>
      </c>
    </row>
    <row r="5" spans="1:22" ht="15.75">
      <c r="C5" s="96" t="s">
        <v>14</v>
      </c>
      <c r="D5" s="95">
        <f>IF('Wksh 1 - Market Experience'!C5&lt;&gt;"", 'Wksh 1 - Market Experience'!C5,"")</f>
        <v>0</v>
      </c>
      <c r="E5" s="96" t="s">
        <v>9</v>
      </c>
      <c r="F5" s="101" t="str">
        <f>IF('Wksh 1 - Market Experience'!E5&lt;&gt;"",'Wksh 1 - Market Experience'!E5,"")</f>
        <v/>
      </c>
      <c r="G5" s="1"/>
      <c r="H5" s="1"/>
      <c r="I5" s="1"/>
      <c r="J5" s="1"/>
      <c r="K5" s="1"/>
      <c r="L5" s="1"/>
      <c r="P5" s="99" t="s">
        <v>223</v>
      </c>
    </row>
    <row r="6" spans="1:22">
      <c r="C6" s="1"/>
      <c r="D6" s="1"/>
      <c r="E6" s="1"/>
      <c r="F6" s="1"/>
      <c r="G6" s="1"/>
      <c r="H6" s="2"/>
      <c r="I6" s="1"/>
      <c r="J6" s="1"/>
      <c r="K6" s="1"/>
      <c r="L6" s="1"/>
      <c r="M6" s="1"/>
      <c r="N6" s="1"/>
      <c r="O6" s="1"/>
      <c r="P6" s="99" t="s">
        <v>224</v>
      </c>
      <c r="Q6" s="1"/>
      <c r="R6" s="1"/>
      <c r="S6" s="1"/>
      <c r="T6" s="1"/>
      <c r="U6" s="1"/>
    </row>
    <row r="7" spans="1:22">
      <c r="C7" s="263" t="s">
        <v>15</v>
      </c>
      <c r="D7" s="264"/>
      <c r="E7" s="264"/>
      <c r="F7" s="264"/>
      <c r="G7" s="264"/>
      <c r="H7" s="264"/>
      <c r="I7" s="264"/>
      <c r="J7" s="264"/>
      <c r="K7" s="264"/>
      <c r="L7" s="264"/>
      <c r="M7" s="264"/>
      <c r="N7" s="264"/>
      <c r="O7" s="264"/>
      <c r="P7" s="264"/>
      <c r="Q7" s="264"/>
      <c r="R7" s="264"/>
      <c r="S7" s="264"/>
      <c r="T7" s="264"/>
      <c r="U7" s="264"/>
      <c r="V7" s="265"/>
    </row>
    <row r="8" spans="1:22">
      <c r="C8" s="266"/>
      <c r="D8" s="267"/>
      <c r="E8" s="267"/>
      <c r="F8" s="267"/>
      <c r="G8" s="267"/>
      <c r="H8" s="267"/>
      <c r="I8" s="267"/>
      <c r="J8" s="267"/>
      <c r="K8" s="267"/>
      <c r="L8" s="267"/>
      <c r="M8" s="267"/>
      <c r="N8" s="267"/>
      <c r="O8" s="267"/>
      <c r="P8" s="267"/>
      <c r="Q8" s="267"/>
      <c r="R8" s="267"/>
      <c r="S8" s="267"/>
      <c r="T8" s="267"/>
      <c r="U8" s="267"/>
      <c r="V8" s="268"/>
    </row>
    <row r="9" spans="1:22">
      <c r="B9" t="s">
        <v>103</v>
      </c>
      <c r="C9" s="19" t="s">
        <v>77</v>
      </c>
      <c r="D9" s="19"/>
      <c r="E9" s="17"/>
      <c r="F9" s="17"/>
      <c r="G9" s="17"/>
      <c r="H9" s="18"/>
      <c r="I9" s="17"/>
      <c r="J9" s="17"/>
      <c r="K9" s="17"/>
      <c r="L9" s="17"/>
      <c r="M9" s="17"/>
      <c r="N9" s="17"/>
      <c r="O9" s="17"/>
      <c r="P9" s="17"/>
      <c r="Q9" s="17"/>
      <c r="R9" s="17"/>
      <c r="S9" s="17"/>
      <c r="T9" s="17"/>
      <c r="U9" s="17"/>
    </row>
    <row r="10" spans="1:22" ht="15" customHeight="1">
      <c r="B10" s="146" t="s">
        <v>155</v>
      </c>
      <c r="C10" s="168" t="s">
        <v>104</v>
      </c>
      <c r="D10" s="220"/>
      <c r="E10" s="269" t="s">
        <v>246</v>
      </c>
      <c r="F10" s="269"/>
      <c r="G10" s="269"/>
      <c r="H10" s="269"/>
      <c r="I10" s="269"/>
      <c r="J10" s="269"/>
      <c r="K10" s="269"/>
      <c r="L10" s="269"/>
      <c r="M10" s="269"/>
      <c r="N10" s="269"/>
      <c r="O10" s="269"/>
      <c r="P10" s="269"/>
      <c r="Q10" s="269"/>
      <c r="R10" s="269"/>
      <c r="S10" s="269" t="s">
        <v>277</v>
      </c>
      <c r="T10" s="269"/>
    </row>
    <row r="11" spans="1:22" ht="15" customHeight="1">
      <c r="B11" s="146" t="s">
        <v>156</v>
      </c>
      <c r="C11" s="168" t="s">
        <v>105</v>
      </c>
      <c r="D11" s="221"/>
      <c r="E11" s="269" t="s">
        <v>245</v>
      </c>
      <c r="F11" s="269"/>
      <c r="G11" s="269"/>
      <c r="H11" s="269"/>
      <c r="I11" s="269"/>
      <c r="J11" s="269"/>
      <c r="K11" s="269"/>
      <c r="L11" s="269"/>
      <c r="M11" s="269"/>
      <c r="N11" s="269"/>
      <c r="O11" s="269"/>
      <c r="P11" s="269"/>
      <c r="Q11" s="269"/>
      <c r="R11" s="269"/>
      <c r="S11" s="269" t="s">
        <v>276</v>
      </c>
      <c r="T11" s="269"/>
    </row>
    <row r="12" spans="1:22" ht="15" customHeight="1">
      <c r="B12" s="146" t="s">
        <v>157</v>
      </c>
      <c r="C12" s="168" t="s">
        <v>10</v>
      </c>
      <c r="D12" s="221"/>
      <c r="E12" s="179" t="s">
        <v>248</v>
      </c>
      <c r="F12" s="179" t="s">
        <v>251</v>
      </c>
      <c r="G12" s="179" t="s">
        <v>253</v>
      </c>
      <c r="H12" s="179" t="s">
        <v>255</v>
      </c>
      <c r="I12" s="179" t="s">
        <v>257</v>
      </c>
      <c r="J12" s="179" t="s">
        <v>259</v>
      </c>
      <c r="K12" s="179" t="s">
        <v>261</v>
      </c>
      <c r="L12" s="179" t="s">
        <v>263</v>
      </c>
      <c r="M12" s="179" t="s">
        <v>265</v>
      </c>
      <c r="N12" s="179" t="s">
        <v>267</v>
      </c>
      <c r="O12" s="179" t="s">
        <v>269</v>
      </c>
      <c r="P12" s="179" t="s">
        <v>271</v>
      </c>
      <c r="Q12" s="179" t="s">
        <v>273</v>
      </c>
      <c r="R12" s="179" t="s">
        <v>275</v>
      </c>
      <c r="S12" s="179" t="s">
        <v>279</v>
      </c>
      <c r="T12" s="179" t="s">
        <v>281</v>
      </c>
    </row>
    <row r="13" spans="1:22" ht="15" customHeight="1">
      <c r="B13" s="146" t="s">
        <v>158</v>
      </c>
      <c r="C13" s="168" t="s">
        <v>106</v>
      </c>
      <c r="D13" s="221"/>
      <c r="E13" s="180" t="s">
        <v>247</v>
      </c>
      <c r="F13" s="180" t="s">
        <v>250</v>
      </c>
      <c r="G13" s="180" t="s">
        <v>252</v>
      </c>
      <c r="H13" s="180" t="s">
        <v>254</v>
      </c>
      <c r="I13" s="180" t="s">
        <v>256</v>
      </c>
      <c r="J13" s="180" t="s">
        <v>258</v>
      </c>
      <c r="K13" s="180" t="s">
        <v>260</v>
      </c>
      <c r="L13" s="180" t="s">
        <v>262</v>
      </c>
      <c r="M13" s="180" t="s">
        <v>264</v>
      </c>
      <c r="N13" s="180" t="s">
        <v>266</v>
      </c>
      <c r="O13" s="180" t="s">
        <v>268</v>
      </c>
      <c r="P13" s="180" t="s">
        <v>270</v>
      </c>
      <c r="Q13" s="180" t="s">
        <v>272</v>
      </c>
      <c r="R13" s="180" t="s">
        <v>274</v>
      </c>
      <c r="S13" s="180" t="s">
        <v>278</v>
      </c>
      <c r="T13" s="180" t="s">
        <v>280</v>
      </c>
    </row>
    <row r="14" spans="1:22" ht="15" customHeight="1">
      <c r="B14" s="146" t="s">
        <v>159</v>
      </c>
      <c r="C14" s="168" t="s">
        <v>107</v>
      </c>
      <c r="D14" s="221"/>
      <c r="E14" s="181" t="s">
        <v>142</v>
      </c>
      <c r="F14" s="181" t="s">
        <v>142</v>
      </c>
      <c r="G14" s="181" t="s">
        <v>142</v>
      </c>
      <c r="H14" s="181" t="s">
        <v>142</v>
      </c>
      <c r="I14" s="181" t="s">
        <v>142</v>
      </c>
      <c r="J14" s="181" t="s">
        <v>141</v>
      </c>
      <c r="K14" s="181" t="s">
        <v>141</v>
      </c>
      <c r="L14" s="181" t="s">
        <v>141</v>
      </c>
      <c r="M14" s="181" t="s">
        <v>141</v>
      </c>
      <c r="N14" s="181" t="s">
        <v>141</v>
      </c>
      <c r="O14" s="181" t="s">
        <v>140</v>
      </c>
      <c r="P14" s="181" t="s">
        <v>140</v>
      </c>
      <c r="Q14" s="181" t="s">
        <v>140</v>
      </c>
      <c r="R14" s="181" t="s">
        <v>140</v>
      </c>
      <c r="S14" s="181" t="s">
        <v>141</v>
      </c>
      <c r="T14" s="181" t="s">
        <v>140</v>
      </c>
    </row>
    <row r="15" spans="1:22" ht="15" customHeight="1">
      <c r="B15" s="146" t="s">
        <v>160</v>
      </c>
      <c r="C15" s="168" t="s">
        <v>26</v>
      </c>
      <c r="D15" s="221"/>
      <c r="E15" s="182">
        <v>0.6472</v>
      </c>
      <c r="F15" s="182">
        <v>0.61909999999999998</v>
      </c>
      <c r="G15" s="182">
        <v>0.64390000000000003</v>
      </c>
      <c r="H15" s="182">
        <v>0.64680000000000004</v>
      </c>
      <c r="I15" s="182">
        <v>0.64700000000000002</v>
      </c>
      <c r="J15" s="182">
        <v>0.70020000000000004</v>
      </c>
      <c r="K15" s="182">
        <v>0.71609999999999996</v>
      </c>
      <c r="L15" s="182">
        <v>0.70069999999999999</v>
      </c>
      <c r="M15" s="182">
        <v>0.7</v>
      </c>
      <c r="N15" s="182">
        <v>0.70299999999999996</v>
      </c>
      <c r="O15" s="182">
        <v>0.7802</v>
      </c>
      <c r="P15" s="182">
        <v>0.78090000000000004</v>
      </c>
      <c r="Q15" s="182">
        <v>0.78100000000000003</v>
      </c>
      <c r="R15" s="182">
        <v>0.80900000000000005</v>
      </c>
      <c r="S15" s="182">
        <v>0.7</v>
      </c>
      <c r="T15" s="182">
        <v>0.78</v>
      </c>
    </row>
    <row r="16" spans="1:22" ht="15" customHeight="1">
      <c r="B16" s="146" t="s">
        <v>161</v>
      </c>
      <c r="C16" s="168" t="s">
        <v>80</v>
      </c>
      <c r="D16" s="221"/>
      <c r="E16" s="179" t="s">
        <v>82</v>
      </c>
      <c r="F16" s="179" t="s">
        <v>82</v>
      </c>
      <c r="G16" s="179" t="s">
        <v>82</v>
      </c>
      <c r="H16" s="179" t="s">
        <v>82</v>
      </c>
      <c r="I16" s="179" t="s">
        <v>81</v>
      </c>
      <c r="J16" s="179" t="s">
        <v>82</v>
      </c>
      <c r="K16" s="179" t="s">
        <v>82</v>
      </c>
      <c r="L16" s="179" t="s">
        <v>82</v>
      </c>
      <c r="M16" s="179" t="s">
        <v>82</v>
      </c>
      <c r="N16" s="179" t="s">
        <v>81</v>
      </c>
      <c r="O16" s="179" t="s">
        <v>82</v>
      </c>
      <c r="P16" s="179" t="s">
        <v>82</v>
      </c>
      <c r="Q16" s="179" t="s">
        <v>81</v>
      </c>
      <c r="R16" s="179" t="s">
        <v>82</v>
      </c>
      <c r="S16" s="179" t="s">
        <v>82</v>
      </c>
      <c r="T16" s="179" t="s">
        <v>82</v>
      </c>
    </row>
    <row r="17" spans="1:20" ht="15" customHeight="1">
      <c r="B17" s="146" t="s">
        <v>154</v>
      </c>
      <c r="C17" s="169" t="s">
        <v>108</v>
      </c>
      <c r="D17" s="221"/>
      <c r="E17" s="179" t="s">
        <v>249</v>
      </c>
      <c r="F17" s="179" t="s">
        <v>249</v>
      </c>
      <c r="G17" s="179" t="s">
        <v>249</v>
      </c>
      <c r="H17" s="179" t="s">
        <v>249</v>
      </c>
      <c r="I17" s="179" t="s">
        <v>249</v>
      </c>
      <c r="J17" s="179" t="s">
        <v>249</v>
      </c>
      <c r="K17" s="179" t="s">
        <v>249</v>
      </c>
      <c r="L17" s="179" t="s">
        <v>249</v>
      </c>
      <c r="M17" s="179" t="s">
        <v>249</v>
      </c>
      <c r="N17" s="179" t="s">
        <v>249</v>
      </c>
      <c r="O17" s="179" t="s">
        <v>249</v>
      </c>
      <c r="P17" s="179" t="s">
        <v>249</v>
      </c>
      <c r="Q17" s="179" t="s">
        <v>249</v>
      </c>
      <c r="R17" s="179" t="s">
        <v>249</v>
      </c>
      <c r="S17" s="179" t="s">
        <v>249</v>
      </c>
      <c r="T17" s="179" t="s">
        <v>249</v>
      </c>
    </row>
    <row r="18" spans="1:20" ht="15" customHeight="1">
      <c r="B18" s="146" t="s">
        <v>153</v>
      </c>
      <c r="C18" s="168" t="s">
        <v>16</v>
      </c>
      <c r="D18" s="221"/>
      <c r="E18" s="183" t="s">
        <v>145</v>
      </c>
      <c r="F18" s="183" t="s">
        <v>145</v>
      </c>
      <c r="G18" s="183" t="s">
        <v>145</v>
      </c>
      <c r="H18" s="183" t="s">
        <v>145</v>
      </c>
      <c r="I18" s="183" t="s">
        <v>145</v>
      </c>
      <c r="J18" s="183" t="s">
        <v>145</v>
      </c>
      <c r="K18" s="183" t="s">
        <v>145</v>
      </c>
      <c r="L18" s="183" t="s">
        <v>145</v>
      </c>
      <c r="M18" s="183" t="s">
        <v>145</v>
      </c>
      <c r="N18" s="183" t="s">
        <v>145</v>
      </c>
      <c r="O18" s="183" t="s">
        <v>145</v>
      </c>
      <c r="P18" s="183" t="s">
        <v>145</v>
      </c>
      <c r="Q18" s="183" t="s">
        <v>145</v>
      </c>
      <c r="R18" s="183" t="s">
        <v>145</v>
      </c>
      <c r="S18" s="183" t="s">
        <v>145</v>
      </c>
      <c r="T18" s="183" t="s">
        <v>145</v>
      </c>
    </row>
    <row r="19" spans="1:20" ht="15" customHeight="1">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row>
    <row r="20" spans="1:20" ht="15" customHeight="1">
      <c r="B20" s="146" t="s">
        <v>150</v>
      </c>
      <c r="C20" s="168" t="s">
        <v>109</v>
      </c>
      <c r="D20" s="221"/>
      <c r="E20" s="185">
        <v>9.8694220408453104E-2</v>
      </c>
      <c r="F20" s="185">
        <v>8.7655139751912498E-2</v>
      </c>
      <c r="G20" s="185">
        <v>0.13546224642246299</v>
      </c>
      <c r="H20" s="185">
        <v>7.3469657733079105E-2</v>
      </c>
      <c r="I20" s="185">
        <v>0</v>
      </c>
      <c r="J20" s="185">
        <v>5.7439816406052301E-2</v>
      </c>
      <c r="K20" s="185">
        <v>4.7958239808848502E-2</v>
      </c>
      <c r="L20" s="185">
        <v>3.9122228410022303E-2</v>
      </c>
      <c r="M20" s="185">
        <v>4.6884872700219599E-2</v>
      </c>
      <c r="N20" s="185">
        <v>0</v>
      </c>
      <c r="O20" s="185">
        <v>6.3100415962218603E-2</v>
      </c>
      <c r="P20" s="185">
        <v>3.8488890631947201E-2</v>
      </c>
      <c r="Q20" s="185">
        <v>0</v>
      </c>
      <c r="R20" s="185">
        <v>4.2604200258167003E-2</v>
      </c>
      <c r="S20" s="185">
        <v>5.2545165383030203E-2</v>
      </c>
      <c r="T20" s="185">
        <v>2.5407035275529101E-2</v>
      </c>
    </row>
    <row r="21" spans="1:20" ht="15" customHeight="1">
      <c r="B21" s="146" t="s">
        <v>151</v>
      </c>
      <c r="C21" s="168" t="s">
        <v>84</v>
      </c>
      <c r="D21" s="221"/>
      <c r="E21" s="262">
        <f>IF(SUMPRODUCT((E16:R16="Renewing")*((E14:R14="Platinum")+(E14:R14="Gold")+(E14:R14="Silver")+(E14:R14="Bronze")+(E14:R14="Catastrophic")))=0, 0, ROUND(ROUND(SUMPRODUCT(1+E20:R20,E34:R34,E35:R35,--(E16:R16="Renewing")*((E14:R14="Platinum")+(E14:R14="Gold")+(E14:R14="Silver")+(E14:R14="Bronze")+(E14:R14="Catastrophic")))/SUMPRODUCT(E34:R34,E35:R35,--(E16:R16="Renewing")*((E14:R14="Platinum")+(E14:R14="Gold")+(E14:R14="Silver")+(E14:R14="Bronze")+(E14:R14="Catastrophic"))), 4)-1, 4))</f>
        <v>0</v>
      </c>
      <c r="F21" s="262"/>
      <c r="G21" s="262"/>
      <c r="H21" s="262"/>
      <c r="I21" s="262"/>
      <c r="J21" s="262"/>
      <c r="K21" s="262"/>
      <c r="L21" s="262"/>
      <c r="M21" s="262"/>
      <c r="N21" s="262"/>
      <c r="O21" s="262"/>
      <c r="P21" s="262"/>
      <c r="Q21" s="262"/>
      <c r="R21" s="262"/>
      <c r="S21" s="262">
        <f>IF(SUMPRODUCT((S16:T16="Renewing")*((S14:T14="Platinum")+(S14:T14="Gold")+(S14:T14="Silver")+(S14:T14="Bronze")+(S14:T14="Catastrophic")))=0, 0, ROUND(ROUND(SUMPRODUCT(1+S20:T20,S34:T34,S35:T35,--(S16:T16="Renewing")*((S14:T14="Platinum")+(S14:T14="Gold")+(S14:T14="Silver")+(S14:T14="Bronze")+(S14:T14="Catastrophic")))/SUMPRODUCT(S34:T34,S35:T35,--(S16:T16="Renewing")*((S14:T14="Platinum")+(S14:T14="Gold")+(S14:T14="Silver")+(S14:T14="Bronze")+(S14:T14="Catastrophic"))), 4)-1, 4))</f>
        <v>0</v>
      </c>
      <c r="T21" s="262"/>
    </row>
    <row r="22" spans="1:20" ht="15" customHeight="1">
      <c r="B22" s="148" t="s">
        <v>152</v>
      </c>
      <c r="C22" s="139" t="s">
        <v>212</v>
      </c>
      <c r="D22" s="222"/>
      <c r="E22" s="262">
        <f>IF(SUMPRODUCT((E16:T16="Renewing")*((E14:T14="Platinum")+(E14:T14="Gold")+(E14:T14="Silver")+(E14:T14="Bronze")+(E14:T14="Catastrophic")))=0, 0, ROUND(ROUND(SUMPRODUCT(1+E20:T20,E34:T34,E35:T35,--(E16:T16="Renewing")*((E14:T14="Platinum")+(E14:T14="Gold")+(E14:T14="Silver")+(E14:T14="Bronze")+(E14:T14="Catastrophic")))/SUMPRODUCT(E34:T34,E35:T35,--(E16:T16="Renewing")*((E14:T14="Platinum")+(E14:T14="Gold")+(E14:T14="Silver")+(E14:T14="Bronze")+(E14:T14="Catastrophic"))), 4)-1, 4))</f>
        <v>0</v>
      </c>
      <c r="F22" s="262"/>
      <c r="G22" s="262"/>
      <c r="H22" s="262"/>
      <c r="I22" s="262"/>
      <c r="J22" s="262"/>
      <c r="K22" s="262"/>
      <c r="L22" s="262"/>
      <c r="M22" s="262"/>
      <c r="N22" s="262"/>
      <c r="O22" s="262"/>
      <c r="P22" s="262"/>
      <c r="Q22" s="262"/>
      <c r="R22" s="262"/>
      <c r="S22" s="262"/>
      <c r="T22" s="262"/>
    </row>
    <row r="23" spans="1:20" ht="15" customHeight="1"/>
    <row r="24" spans="1:20" ht="15" customHeight="1">
      <c r="A24" s="71" t="s">
        <v>119</v>
      </c>
      <c r="C24" s="19" t="s">
        <v>110</v>
      </c>
      <c r="D24" s="19"/>
    </row>
    <row r="25" spans="1:20" ht="15" customHeight="1">
      <c r="A25" s="149"/>
      <c r="B25" s="146" t="s">
        <v>162</v>
      </c>
      <c r="C25" s="152" t="s">
        <v>106</v>
      </c>
      <c r="D25" s="150" t="s">
        <v>2</v>
      </c>
      <c r="E25" s="90">
        <f t="shared" ref="E25:T25" si="0">E13</f>
        <v>0</v>
      </c>
      <c r="F25" s="90">
        <f t="shared" si="0"/>
        <v>0</v>
      </c>
      <c r="G25" s="90">
        <f t="shared" si="0"/>
        <v>0</v>
      </c>
      <c r="H25" s="90">
        <f t="shared" si="0"/>
        <v>0</v>
      </c>
      <c r="I25" s="90">
        <f t="shared" si="0"/>
        <v>0</v>
      </c>
      <c r="J25" s="90">
        <f t="shared" si="0"/>
        <v>0</v>
      </c>
      <c r="K25" s="90">
        <f t="shared" si="0"/>
        <v>0</v>
      </c>
      <c r="L25" s="90">
        <f t="shared" si="0"/>
        <v>0</v>
      </c>
      <c r="M25" s="90">
        <f t="shared" si="0"/>
        <v>0</v>
      </c>
      <c r="N25" s="90">
        <f t="shared" si="0"/>
        <v>0</v>
      </c>
      <c r="O25" s="90">
        <f t="shared" si="0"/>
        <v>0</v>
      </c>
      <c r="P25" s="90">
        <f t="shared" si="0"/>
        <v>0</v>
      </c>
      <c r="Q25" s="90">
        <f t="shared" si="0"/>
        <v>0</v>
      </c>
      <c r="R25" s="90">
        <f t="shared" si="0"/>
        <v>0</v>
      </c>
      <c r="S25" s="90">
        <f t="shared" si="0"/>
        <v>0</v>
      </c>
      <c r="T25" s="90">
        <f t="shared" si="0"/>
        <v>0</v>
      </c>
    </row>
    <row r="26" spans="1:20" ht="15" customHeight="1">
      <c r="A26" s="151">
        <f>'Wksh 1 - Market Experience'!E14</f>
        <v>0</v>
      </c>
      <c r="B26" s="146" t="s">
        <v>163</v>
      </c>
      <c r="C26" s="200" t="s">
        <v>86</v>
      </c>
      <c r="D26" s="198">
        <f>SUM(E26:XFD26)</f>
        <v>46860265.476199999</v>
      </c>
      <c r="E26" s="187">
        <f>5216500.0982688</f>
        <v>0</v>
      </c>
      <c r="F26" s="187">
        <f>0</f>
        <v>0</v>
      </c>
      <c r="G26" s="187">
        <f>3299896.9646101</f>
        <v>0</v>
      </c>
      <c r="H26" s="187">
        <f>598292.4689741</f>
        <v>0</v>
      </c>
      <c r="I26" s="187">
        <f>0</f>
        <v>0</v>
      </c>
      <c r="J26" s="187">
        <f>11916407.8960018</f>
        <v>0</v>
      </c>
      <c r="K26" s="187">
        <f>5083642.3246271</f>
        <v>0</v>
      </c>
      <c r="L26" s="187">
        <f>2587827.8670823</f>
        <v>0</v>
      </c>
      <c r="M26" s="187">
        <f>0</f>
        <v>0</v>
      </c>
      <c r="N26" s="187">
        <f>0</f>
        <v>0</v>
      </c>
      <c r="O26" s="187">
        <f>0</f>
        <v>0</v>
      </c>
      <c r="P26" s="187">
        <f>1391321.6745805</f>
        <v>0</v>
      </c>
      <c r="Q26" s="187">
        <f>0</f>
        <v>0</v>
      </c>
      <c r="R26" s="187">
        <f>6072873.0392457</f>
        <v>0</v>
      </c>
      <c r="S26" s="187">
        <f>5306731.1255984</f>
        <v>0</v>
      </c>
      <c r="T26" s="187">
        <f>5386772.0172258</f>
        <v>0</v>
      </c>
    </row>
    <row r="27" spans="1:20" ht="15" customHeight="1">
      <c r="A27" s="153">
        <f>'Wksh 1 - Market Experience'!E15</f>
        <v>0</v>
      </c>
      <c r="B27" s="146" t="s">
        <v>164</v>
      </c>
      <c r="C27" s="200" t="s">
        <v>87</v>
      </c>
      <c r="D27" s="198">
        <f>SUM(E27:XFD27)</f>
        <v>2784368.71</v>
      </c>
      <c r="E27" s="187">
        <f>378408.62</f>
        <v>0</v>
      </c>
      <c r="F27" s="187">
        <f>0</f>
        <v>0</v>
      </c>
      <c r="G27" s="187">
        <f>314919.03</f>
        <v>0</v>
      </c>
      <c r="H27" s="187">
        <f>13990.25</f>
        <v>0</v>
      </c>
      <c r="I27" s="187">
        <f>0</f>
        <v>0</v>
      </c>
      <c r="J27" s="187">
        <f>576436.63</f>
        <v>0</v>
      </c>
      <c r="K27" s="187">
        <f>251692.22</f>
        <v>0</v>
      </c>
      <c r="L27" s="187">
        <f>207428.55</f>
        <v>0</v>
      </c>
      <c r="M27" s="187">
        <f>0</f>
        <v>0</v>
      </c>
      <c r="N27" s="187">
        <f>0</f>
        <v>0</v>
      </c>
      <c r="O27" s="187">
        <f>0</f>
        <v>0</v>
      </c>
      <c r="P27" s="187">
        <f>129482.41</f>
        <v>0</v>
      </c>
      <c r="Q27" s="187">
        <f>0</f>
        <v>0</v>
      </c>
      <c r="R27" s="187">
        <f>368096.37</f>
        <v>0</v>
      </c>
      <c r="S27" s="187">
        <f>257003.93</f>
        <v>0</v>
      </c>
      <c r="T27" s="187">
        <f>286910.7</f>
        <v>0</v>
      </c>
    </row>
    <row r="28" spans="1:20" ht="15" customHeight="1">
      <c r="A28" s="154"/>
      <c r="B28" s="146" t="s">
        <v>165</v>
      </c>
      <c r="C28" s="147" t="s">
        <v>111</v>
      </c>
      <c r="D28" s="201">
        <f>SUM(E28:XFD28)</f>
        <v>7624411.8700000001</v>
      </c>
      <c r="E28" s="187">
        <f>1371473.97</f>
        <v>0</v>
      </c>
      <c r="F28" s="187">
        <f>0</f>
        <v>0</v>
      </c>
      <c r="G28" s="187">
        <f>548551.01</f>
        <v>0</v>
      </c>
      <c r="H28" s="187">
        <f>229056.22</f>
        <v>0</v>
      </c>
      <c r="I28" s="187">
        <f>0</f>
        <v>0</v>
      </c>
      <c r="J28" s="187">
        <f>1718330.73</f>
        <v>0</v>
      </c>
      <c r="K28" s="187">
        <f>595296.73</f>
        <v>0</v>
      </c>
      <c r="L28" s="187">
        <f>289536.33</f>
        <v>0</v>
      </c>
      <c r="M28" s="187">
        <f>0</f>
        <v>0</v>
      </c>
      <c r="N28" s="187">
        <f>0</f>
        <v>0</v>
      </c>
      <c r="O28" s="187">
        <f>0</f>
        <v>0</v>
      </c>
      <c r="P28" s="187">
        <f>391331.38</f>
        <v>0</v>
      </c>
      <c r="Q28" s="187">
        <f>0</f>
        <v>0</v>
      </c>
      <c r="R28" s="187">
        <f>672768.800000001</f>
        <v>0</v>
      </c>
      <c r="S28" s="187">
        <f>867395.17</f>
        <v>0</v>
      </c>
      <c r="T28" s="187">
        <f>940671.53</f>
        <v>0</v>
      </c>
    </row>
    <row r="29" spans="1:20" ht="15" customHeight="1">
      <c r="A29" s="154"/>
      <c r="B29" s="146" t="s">
        <v>166</v>
      </c>
      <c r="C29" s="156" t="s">
        <v>112</v>
      </c>
      <c r="D29" s="201">
        <f>SUM(E29:XFD29)</f>
        <v>0</v>
      </c>
      <c r="E29" s="187">
        <f>0</f>
        <v>0</v>
      </c>
      <c r="F29" s="187">
        <f>0</f>
        <v>0</v>
      </c>
      <c r="G29" s="187">
        <f>0</f>
        <v>0</v>
      </c>
      <c r="H29" s="187">
        <f>0</f>
        <v>0</v>
      </c>
      <c r="I29" s="187">
        <f>0</f>
        <v>0</v>
      </c>
      <c r="J29" s="187">
        <f>0</f>
        <v>0</v>
      </c>
      <c r="K29" s="187">
        <f>0</f>
        <v>0</v>
      </c>
      <c r="L29" s="187">
        <f>0</f>
        <v>0</v>
      </c>
      <c r="M29" s="187">
        <f>0</f>
        <v>0</v>
      </c>
      <c r="N29" s="187">
        <f>0</f>
        <v>0</v>
      </c>
      <c r="O29" s="187">
        <f>0</f>
        <v>0</v>
      </c>
      <c r="P29" s="187">
        <f>0</f>
        <v>0</v>
      </c>
      <c r="Q29" s="187">
        <f>0</f>
        <v>0</v>
      </c>
      <c r="R29" s="187">
        <f>0</f>
        <v>0</v>
      </c>
      <c r="S29" s="187">
        <f>0</f>
        <v>0</v>
      </c>
      <c r="T29" s="187">
        <f>0</f>
        <v>0</v>
      </c>
    </row>
    <row r="30" spans="1:20" ht="15" customHeight="1">
      <c r="A30" s="153">
        <f>'Wksh 1 - Market Experience'!E16</f>
        <v>0</v>
      </c>
      <c r="B30" s="146" t="s">
        <v>167</v>
      </c>
      <c r="C30" s="147" t="s">
        <v>113</v>
      </c>
      <c r="D30" s="201">
        <f t="shared" ref="D30:T30" si="1">D26-D27-D28-D29</f>
        <v>36451484.896200001</v>
      </c>
      <c r="E30" s="217">
        <f t="shared" si="1"/>
        <v>0</v>
      </c>
      <c r="F30" s="217">
        <f t="shared" si="1"/>
        <v>0</v>
      </c>
      <c r="G30" s="217">
        <f t="shared" si="1"/>
        <v>0</v>
      </c>
      <c r="H30" s="217">
        <f t="shared" si="1"/>
        <v>0</v>
      </c>
      <c r="I30" s="217">
        <f t="shared" si="1"/>
        <v>0</v>
      </c>
      <c r="J30" s="217">
        <f t="shared" si="1"/>
        <v>0</v>
      </c>
      <c r="K30" s="217">
        <f t="shared" si="1"/>
        <v>0</v>
      </c>
      <c r="L30" s="217">
        <f t="shared" si="1"/>
        <v>0</v>
      </c>
      <c r="M30" s="217">
        <f t="shared" si="1"/>
        <v>0</v>
      </c>
      <c r="N30" s="217">
        <f t="shared" si="1"/>
        <v>0</v>
      </c>
      <c r="O30" s="217">
        <f t="shared" si="1"/>
        <v>0</v>
      </c>
      <c r="P30" s="217">
        <f t="shared" si="1"/>
        <v>0</v>
      </c>
      <c r="Q30" s="217">
        <f t="shared" si="1"/>
        <v>0</v>
      </c>
      <c r="R30" s="217">
        <f t="shared" si="1"/>
        <v>0</v>
      </c>
      <c r="S30" s="217">
        <f t="shared" si="1"/>
        <v>0</v>
      </c>
      <c r="T30" s="217">
        <f t="shared" si="1"/>
        <v>0</v>
      </c>
    </row>
    <row r="31" spans="1:20" ht="15" customHeight="1">
      <c r="A31" s="153">
        <f>'Wksh 1 - Market Experience'!E17</f>
        <v>0</v>
      </c>
      <c r="B31" s="146" t="s">
        <v>168</v>
      </c>
      <c r="C31" s="156" t="s">
        <v>114</v>
      </c>
      <c r="D31" s="201">
        <f>SUM(E31:XFD31)</f>
        <v>-458789.60110000003</v>
      </c>
      <c r="E31" s="187">
        <f>-62007.8937637988</f>
        <v>0</v>
      </c>
      <c r="F31" s="187">
        <f>0</f>
        <v>0</v>
      </c>
      <c r="G31" s="187">
        <f>-18146.1653760069</f>
        <v>0</v>
      </c>
      <c r="H31" s="187">
        <f>-9104.94042216075</f>
        <v>0</v>
      </c>
      <c r="I31" s="187">
        <f>0</f>
        <v>0</v>
      </c>
      <c r="J31" s="187">
        <f>-136911.798314479</f>
        <v>0</v>
      </c>
      <c r="K31" s="187">
        <f>-45384.5280805116</f>
        <v>0</v>
      </c>
      <c r="L31" s="187">
        <f>-17012.0300400064</f>
        <v>0</v>
      </c>
      <c r="M31" s="187">
        <f>0</f>
        <v>0</v>
      </c>
      <c r="N31" s="187">
        <f>0</f>
        <v>0</v>
      </c>
      <c r="O31" s="187">
        <f>0</f>
        <v>0</v>
      </c>
      <c r="P31" s="187">
        <f>-11723.6461698921</f>
        <v>0</v>
      </c>
      <c r="Q31" s="187">
        <f>0</f>
        <v>0</v>
      </c>
      <c r="R31" s="187">
        <f>-40083.4011167343</f>
        <v>0</v>
      </c>
      <c r="S31" s="187">
        <f>-69207.7416833521</f>
        <v>0</v>
      </c>
      <c r="T31" s="187">
        <f>-49207.4561793894</f>
        <v>0</v>
      </c>
    </row>
    <row r="32" spans="1:20" ht="15" customHeight="1">
      <c r="A32" s="153">
        <f>'Wksh 1 - Market Experience'!E18</f>
        <v>0</v>
      </c>
      <c r="B32" s="146" t="s">
        <v>169</v>
      </c>
      <c r="C32" s="156" t="s">
        <v>115</v>
      </c>
      <c r="D32" s="201">
        <f>SUM(E32:XFD32)</f>
        <v>43540586.100000001</v>
      </c>
      <c r="E32" s="187">
        <f>5582586.54</f>
        <v>0</v>
      </c>
      <c r="F32" s="187">
        <f>0</f>
        <v>0</v>
      </c>
      <c r="G32" s="187">
        <f>1635322.18</f>
        <v>0</v>
      </c>
      <c r="H32" s="187">
        <f>850322.9</f>
        <v>0</v>
      </c>
      <c r="I32" s="187">
        <f>0</f>
        <v>0</v>
      </c>
      <c r="J32" s="187">
        <f>12957090.18</f>
        <v>0</v>
      </c>
      <c r="K32" s="187">
        <f>4231368.87</f>
        <v>0</v>
      </c>
      <c r="L32" s="187">
        <f>1751220.29</f>
        <v>0</v>
      </c>
      <c r="M32" s="187">
        <f>0</f>
        <v>0</v>
      </c>
      <c r="N32" s="187">
        <f>0</f>
        <v>0</v>
      </c>
      <c r="O32" s="187">
        <f>0</f>
        <v>0</v>
      </c>
      <c r="P32" s="187">
        <f>1234562.84</f>
        <v>0</v>
      </c>
      <c r="Q32" s="187">
        <f>0</f>
        <v>0</v>
      </c>
      <c r="R32" s="187">
        <f>4286328.01</f>
        <v>0</v>
      </c>
      <c r="S32" s="187">
        <f>6185053.93</f>
        <v>0</v>
      </c>
      <c r="T32" s="187">
        <f>4826730.36</f>
        <v>0</v>
      </c>
    </row>
    <row r="33" spans="1:20" ht="15" customHeight="1">
      <c r="A33" s="157">
        <f>'Wksh 1 - Market Experience'!E19</f>
        <v>0</v>
      </c>
      <c r="B33" s="146" t="s">
        <v>170</v>
      </c>
      <c r="C33" s="156" t="s">
        <v>22</v>
      </c>
      <c r="D33" s="202">
        <f>SUM(E33:XFD33)</f>
        <v>72006</v>
      </c>
      <c r="E33" s="218">
        <f>9732</f>
        <v>0</v>
      </c>
      <c r="F33" s="218">
        <f>0</f>
        <v>0</v>
      </c>
      <c r="G33" s="218">
        <f>2848</f>
        <v>0</v>
      </c>
      <c r="H33" s="218">
        <f>1429</f>
        <v>0</v>
      </c>
      <c r="I33" s="218">
        <f>0</f>
        <v>0</v>
      </c>
      <c r="J33" s="218">
        <f>21488</f>
        <v>0</v>
      </c>
      <c r="K33" s="218">
        <f>7123</f>
        <v>0</v>
      </c>
      <c r="L33" s="218">
        <f>2670</f>
        <v>0</v>
      </c>
      <c r="M33" s="218">
        <f>0</f>
        <v>0</v>
      </c>
      <c r="N33" s="218">
        <f>0</f>
        <v>0</v>
      </c>
      <c r="O33" s="218">
        <f>0</f>
        <v>0</v>
      </c>
      <c r="P33" s="218">
        <f>1840</f>
        <v>0</v>
      </c>
      <c r="Q33" s="218">
        <f>0</f>
        <v>0</v>
      </c>
      <c r="R33" s="218">
        <f>6291</f>
        <v>0</v>
      </c>
      <c r="S33" s="218">
        <f>10862</f>
        <v>0</v>
      </c>
      <c r="T33" s="218">
        <f>7723</f>
        <v>0</v>
      </c>
    </row>
    <row r="34" spans="1:20" ht="15" customHeight="1">
      <c r="A34" s="154"/>
      <c r="B34" s="146" t="s">
        <v>171</v>
      </c>
      <c r="C34" s="156" t="s">
        <v>116</v>
      </c>
      <c r="D34" s="202">
        <f>SUM(E34:XFD34)</f>
        <v>4566</v>
      </c>
      <c r="E34" s="218">
        <f>513</f>
        <v>0</v>
      </c>
      <c r="F34" s="218">
        <f>127</f>
        <v>0</v>
      </c>
      <c r="G34" s="218">
        <f>518</f>
        <v>0</v>
      </c>
      <c r="H34" s="218">
        <f>432</f>
        <v>0</v>
      </c>
      <c r="I34" s="218">
        <f>0</f>
        <v>0</v>
      </c>
      <c r="J34" s="218">
        <f>559</f>
        <v>0</v>
      </c>
      <c r="K34" s="218">
        <f>504</f>
        <v>0</v>
      </c>
      <c r="L34" s="218">
        <f>250</f>
        <v>0</v>
      </c>
      <c r="M34" s="218">
        <f>40</f>
        <v>0</v>
      </c>
      <c r="N34" s="218">
        <f>0</f>
        <v>0</v>
      </c>
      <c r="O34" s="218">
        <f>29</f>
        <v>0</v>
      </c>
      <c r="P34" s="218">
        <f>137</f>
        <v>0</v>
      </c>
      <c r="Q34" s="218">
        <f>0</f>
        <v>0</v>
      </c>
      <c r="R34" s="218">
        <f>364</f>
        <v>0</v>
      </c>
      <c r="S34" s="218">
        <f>556</f>
        <v>0</v>
      </c>
      <c r="T34" s="218">
        <f>537</f>
        <v>0</v>
      </c>
    </row>
    <row r="35" spans="1:20" ht="15" customHeight="1">
      <c r="A35" s="149"/>
      <c r="B35" s="148" t="s">
        <v>172</v>
      </c>
      <c r="C35" s="138" t="s">
        <v>117</v>
      </c>
      <c r="D35" s="203">
        <f>SUMPRODUCT(E35:XFD35,E34:XFD34)/D34</f>
        <v>668.84760000000006</v>
      </c>
      <c r="E35" s="188">
        <f>624.94052631579</f>
        <v>0</v>
      </c>
      <c r="F35" s="188">
        <f>579.284645669291</f>
        <v>0</v>
      </c>
      <c r="G35" s="188">
        <f>625.562471042471</f>
        <v>0</v>
      </c>
      <c r="H35" s="188">
        <f>624.673148148148</f>
        <v>0</v>
      </c>
      <c r="I35" s="188">
        <f>0</f>
        <v>0</v>
      </c>
      <c r="J35" s="188">
        <f>625.677531305903</f>
        <v>0</v>
      </c>
      <c r="K35" s="188">
        <f>715.36507936508</f>
        <v>0</v>
      </c>
      <c r="L35" s="188">
        <f>747.270039999999</f>
        <v>0</v>
      </c>
      <c r="M35" s="188">
        <f>732.72275</f>
        <v>0</v>
      </c>
      <c r="N35" s="188">
        <f>0</f>
        <v>0</v>
      </c>
      <c r="O35" s="188">
        <f>696.927586206897</f>
        <v>0</v>
      </c>
      <c r="P35" s="188">
        <f>725.108540145985</f>
        <v>0</v>
      </c>
      <c r="Q35" s="188">
        <f>0</f>
        <v>0</v>
      </c>
      <c r="R35" s="188">
        <f>706.476236263736</f>
        <v>0</v>
      </c>
      <c r="S35" s="188">
        <f>703.506600719425</f>
        <v>0</v>
      </c>
      <c r="T35" s="188">
        <f>692.01540037244</f>
        <v>0</v>
      </c>
    </row>
    <row r="36" spans="1:20" ht="15" customHeight="1">
      <c r="A36" s="149"/>
      <c r="B36" s="204" t="s">
        <v>173</v>
      </c>
      <c r="C36" s="205" t="s">
        <v>118</v>
      </c>
      <c r="D36" s="158">
        <f t="shared" ref="D36:T36" si="2">D30/(D31+D32)</f>
        <v>0.84609946331241104</v>
      </c>
      <c r="E36" s="88">
        <f t="shared" si="2"/>
        <v>0</v>
      </c>
      <c r="F36" s="88">
        <f t="shared" si="2"/>
        <v>0</v>
      </c>
      <c r="G36" s="88">
        <f t="shared" si="2"/>
        <v>0</v>
      </c>
      <c r="H36" s="88">
        <f t="shared" si="2"/>
        <v>0</v>
      </c>
      <c r="I36" s="88">
        <f t="shared" si="2"/>
        <v>0</v>
      </c>
      <c r="J36" s="88">
        <f t="shared" si="2"/>
        <v>0</v>
      </c>
      <c r="K36" s="88">
        <f t="shared" si="2"/>
        <v>0</v>
      </c>
      <c r="L36" s="88">
        <f t="shared" si="2"/>
        <v>0</v>
      </c>
      <c r="M36" s="88">
        <f t="shared" si="2"/>
        <v>0</v>
      </c>
      <c r="N36" s="88">
        <f t="shared" si="2"/>
        <v>0</v>
      </c>
      <c r="O36" s="88">
        <f t="shared" si="2"/>
        <v>0</v>
      </c>
      <c r="P36" s="88">
        <f t="shared" si="2"/>
        <v>0</v>
      </c>
      <c r="Q36" s="88">
        <f t="shared" si="2"/>
        <v>0</v>
      </c>
      <c r="R36" s="88">
        <f t="shared" si="2"/>
        <v>0</v>
      </c>
      <c r="S36" s="88">
        <f t="shared" si="2"/>
        <v>0</v>
      </c>
      <c r="T36" s="88">
        <f t="shared" si="2"/>
        <v>0</v>
      </c>
    </row>
    <row r="37" spans="1:20" ht="15" customHeight="1">
      <c r="A37" s="72"/>
      <c r="C37" s="76" t="s">
        <v>120</v>
      </c>
      <c r="D37" s="25"/>
      <c r="F37" s="5"/>
      <c r="G37" s="5"/>
      <c r="H37" s="5"/>
    </row>
    <row r="38" spans="1:20" ht="15" customHeight="1">
      <c r="A38" s="149"/>
      <c r="B38" s="146" t="s">
        <v>174</v>
      </c>
      <c r="C38" s="156" t="s">
        <v>86</v>
      </c>
      <c r="D38" s="86">
        <f t="shared" ref="D38:T38" si="3">D26/D33</f>
        <v>650.78279999999995</v>
      </c>
      <c r="E38" s="86">
        <f t="shared" si="3"/>
        <v>0</v>
      </c>
      <c r="F38" s="86">
        <f t="shared" si="3"/>
        <v>0</v>
      </c>
      <c r="G38" s="86">
        <f t="shared" si="3"/>
        <v>0</v>
      </c>
      <c r="H38" s="86">
        <f t="shared" si="3"/>
        <v>0</v>
      </c>
      <c r="I38" s="86">
        <f t="shared" si="3"/>
        <v>0</v>
      </c>
      <c r="J38" s="86">
        <f t="shared" si="3"/>
        <v>0</v>
      </c>
      <c r="K38" s="86">
        <f t="shared" si="3"/>
        <v>0</v>
      </c>
      <c r="L38" s="86">
        <f t="shared" si="3"/>
        <v>0</v>
      </c>
      <c r="M38" s="86">
        <f t="shared" si="3"/>
        <v>0</v>
      </c>
      <c r="N38" s="86">
        <f t="shared" si="3"/>
        <v>0</v>
      </c>
      <c r="O38" s="86">
        <f t="shared" si="3"/>
        <v>0</v>
      </c>
      <c r="P38" s="86">
        <f t="shared" si="3"/>
        <v>0</v>
      </c>
      <c r="Q38" s="86">
        <f t="shared" si="3"/>
        <v>0</v>
      </c>
      <c r="R38" s="86">
        <f t="shared" si="3"/>
        <v>0</v>
      </c>
      <c r="S38" s="86">
        <f t="shared" si="3"/>
        <v>0</v>
      </c>
      <c r="T38" s="86">
        <f t="shared" si="3"/>
        <v>0</v>
      </c>
    </row>
    <row r="39" spans="1:20" ht="15" customHeight="1">
      <c r="A39" s="149"/>
      <c r="B39" s="146" t="s">
        <v>175</v>
      </c>
      <c r="C39" s="156" t="s">
        <v>87</v>
      </c>
      <c r="D39" s="86">
        <f t="shared" ref="D39:T39" si="4">D27/D33</f>
        <v>38.668599999999998</v>
      </c>
      <c r="E39" s="86">
        <f t="shared" si="4"/>
        <v>0</v>
      </c>
      <c r="F39" s="86">
        <f t="shared" si="4"/>
        <v>0</v>
      </c>
      <c r="G39" s="86">
        <f t="shared" si="4"/>
        <v>0</v>
      </c>
      <c r="H39" s="86">
        <f t="shared" si="4"/>
        <v>0</v>
      </c>
      <c r="I39" s="86">
        <f t="shared" si="4"/>
        <v>0</v>
      </c>
      <c r="J39" s="86">
        <f t="shared" si="4"/>
        <v>0</v>
      </c>
      <c r="K39" s="86">
        <f t="shared" si="4"/>
        <v>0</v>
      </c>
      <c r="L39" s="86">
        <f t="shared" si="4"/>
        <v>0</v>
      </c>
      <c r="M39" s="86">
        <f t="shared" si="4"/>
        <v>0</v>
      </c>
      <c r="N39" s="86">
        <f t="shared" si="4"/>
        <v>0</v>
      </c>
      <c r="O39" s="86">
        <f t="shared" si="4"/>
        <v>0</v>
      </c>
      <c r="P39" s="86">
        <f t="shared" si="4"/>
        <v>0</v>
      </c>
      <c r="Q39" s="86">
        <f t="shared" si="4"/>
        <v>0</v>
      </c>
      <c r="R39" s="86">
        <f t="shared" si="4"/>
        <v>0</v>
      </c>
      <c r="S39" s="86">
        <f t="shared" si="4"/>
        <v>0</v>
      </c>
      <c r="T39" s="86">
        <f t="shared" si="4"/>
        <v>0</v>
      </c>
    </row>
    <row r="40" spans="1:20" ht="15" customHeight="1">
      <c r="A40" s="149"/>
      <c r="B40" s="146" t="s">
        <v>176</v>
      </c>
      <c r="C40" s="156" t="s">
        <v>111</v>
      </c>
      <c r="D40" s="86">
        <f t="shared" ref="D40:T40" si="5">D28/D33</f>
        <v>105.8858</v>
      </c>
      <c r="E40" s="86">
        <f t="shared" si="5"/>
        <v>0</v>
      </c>
      <c r="F40" s="86">
        <f t="shared" si="5"/>
        <v>0</v>
      </c>
      <c r="G40" s="86">
        <f t="shared" si="5"/>
        <v>0</v>
      </c>
      <c r="H40" s="86">
        <f t="shared" si="5"/>
        <v>0</v>
      </c>
      <c r="I40" s="86">
        <f t="shared" si="5"/>
        <v>0</v>
      </c>
      <c r="J40" s="86">
        <f t="shared" si="5"/>
        <v>0</v>
      </c>
      <c r="K40" s="86">
        <f t="shared" si="5"/>
        <v>0</v>
      </c>
      <c r="L40" s="86">
        <f t="shared" si="5"/>
        <v>0</v>
      </c>
      <c r="M40" s="86">
        <f t="shared" si="5"/>
        <v>0</v>
      </c>
      <c r="N40" s="86">
        <f t="shared" si="5"/>
        <v>0</v>
      </c>
      <c r="O40" s="86">
        <f t="shared" si="5"/>
        <v>0</v>
      </c>
      <c r="P40" s="86">
        <f t="shared" si="5"/>
        <v>0</v>
      </c>
      <c r="Q40" s="86">
        <f t="shared" si="5"/>
        <v>0</v>
      </c>
      <c r="R40" s="86">
        <f t="shared" si="5"/>
        <v>0</v>
      </c>
      <c r="S40" s="86">
        <f t="shared" si="5"/>
        <v>0</v>
      </c>
      <c r="T40" s="86">
        <f t="shared" si="5"/>
        <v>0</v>
      </c>
    </row>
    <row r="41" spans="1:20" ht="15" customHeight="1">
      <c r="A41" s="149"/>
      <c r="B41" s="146" t="s">
        <v>177</v>
      </c>
      <c r="C41" s="156" t="s">
        <v>112</v>
      </c>
      <c r="D41" s="86">
        <f t="shared" ref="D41:T41" si="6">D29/D33</f>
        <v>0</v>
      </c>
      <c r="E41" s="86">
        <f t="shared" si="6"/>
        <v>0</v>
      </c>
      <c r="F41" s="86">
        <f t="shared" si="6"/>
        <v>0</v>
      </c>
      <c r="G41" s="86">
        <f t="shared" si="6"/>
        <v>0</v>
      </c>
      <c r="H41" s="86">
        <f t="shared" si="6"/>
        <v>0</v>
      </c>
      <c r="I41" s="86">
        <f t="shared" si="6"/>
        <v>0</v>
      </c>
      <c r="J41" s="86">
        <f t="shared" si="6"/>
        <v>0</v>
      </c>
      <c r="K41" s="86">
        <f t="shared" si="6"/>
        <v>0</v>
      </c>
      <c r="L41" s="86">
        <f t="shared" si="6"/>
        <v>0</v>
      </c>
      <c r="M41" s="86">
        <f t="shared" si="6"/>
        <v>0</v>
      </c>
      <c r="N41" s="86">
        <f t="shared" si="6"/>
        <v>0</v>
      </c>
      <c r="O41" s="86">
        <f t="shared" si="6"/>
        <v>0</v>
      </c>
      <c r="P41" s="86">
        <f t="shared" si="6"/>
        <v>0</v>
      </c>
      <c r="Q41" s="86">
        <f t="shared" si="6"/>
        <v>0</v>
      </c>
      <c r="R41" s="86">
        <f t="shared" si="6"/>
        <v>0</v>
      </c>
      <c r="S41" s="86">
        <f t="shared" si="6"/>
        <v>0</v>
      </c>
      <c r="T41" s="86">
        <f t="shared" si="6"/>
        <v>0</v>
      </c>
    </row>
    <row r="42" spans="1:20" ht="15" customHeight="1">
      <c r="A42" s="149"/>
      <c r="B42" s="146" t="s">
        <v>178</v>
      </c>
      <c r="C42" s="156" t="s">
        <v>113</v>
      </c>
      <c r="D42" s="86">
        <f t="shared" ref="D42:T42" si="7">D30/D33</f>
        <v>506.22840000000002</v>
      </c>
      <c r="E42" s="86">
        <f t="shared" si="7"/>
        <v>0</v>
      </c>
      <c r="F42" s="86">
        <f t="shared" si="7"/>
        <v>0</v>
      </c>
      <c r="G42" s="86">
        <f t="shared" si="7"/>
        <v>0</v>
      </c>
      <c r="H42" s="86">
        <f t="shared" si="7"/>
        <v>0</v>
      </c>
      <c r="I42" s="86">
        <f t="shared" si="7"/>
        <v>0</v>
      </c>
      <c r="J42" s="86">
        <f t="shared" si="7"/>
        <v>0</v>
      </c>
      <c r="K42" s="86">
        <f t="shared" si="7"/>
        <v>0</v>
      </c>
      <c r="L42" s="86">
        <f t="shared" si="7"/>
        <v>0</v>
      </c>
      <c r="M42" s="86">
        <f t="shared" si="7"/>
        <v>0</v>
      </c>
      <c r="N42" s="86">
        <f t="shared" si="7"/>
        <v>0</v>
      </c>
      <c r="O42" s="86">
        <f t="shared" si="7"/>
        <v>0</v>
      </c>
      <c r="P42" s="86">
        <f t="shared" si="7"/>
        <v>0</v>
      </c>
      <c r="Q42" s="86">
        <f t="shared" si="7"/>
        <v>0</v>
      </c>
      <c r="R42" s="86">
        <f t="shared" si="7"/>
        <v>0</v>
      </c>
      <c r="S42" s="86">
        <f t="shared" si="7"/>
        <v>0</v>
      </c>
      <c r="T42" s="86">
        <f t="shared" si="7"/>
        <v>0</v>
      </c>
    </row>
    <row r="43" spans="1:20" ht="15" customHeight="1">
      <c r="A43" s="149"/>
      <c r="B43" s="146" t="s">
        <v>179</v>
      </c>
      <c r="C43" s="156" t="s">
        <v>114</v>
      </c>
      <c r="D43" s="86">
        <f t="shared" ref="D43:T43" si="8">D31/D33</f>
        <v>-6.3715000000000002</v>
      </c>
      <c r="E43" s="86">
        <f t="shared" si="8"/>
        <v>0</v>
      </c>
      <c r="F43" s="86">
        <f t="shared" si="8"/>
        <v>0</v>
      </c>
      <c r="G43" s="86">
        <f t="shared" si="8"/>
        <v>0</v>
      </c>
      <c r="H43" s="86">
        <f t="shared" si="8"/>
        <v>0</v>
      </c>
      <c r="I43" s="86">
        <f t="shared" si="8"/>
        <v>0</v>
      </c>
      <c r="J43" s="86">
        <f t="shared" si="8"/>
        <v>0</v>
      </c>
      <c r="K43" s="86">
        <f t="shared" si="8"/>
        <v>0</v>
      </c>
      <c r="L43" s="86">
        <f t="shared" si="8"/>
        <v>0</v>
      </c>
      <c r="M43" s="86">
        <f t="shared" si="8"/>
        <v>0</v>
      </c>
      <c r="N43" s="86">
        <f t="shared" si="8"/>
        <v>0</v>
      </c>
      <c r="O43" s="86">
        <f t="shared" si="8"/>
        <v>0</v>
      </c>
      <c r="P43" s="86">
        <f t="shared" si="8"/>
        <v>0</v>
      </c>
      <c r="Q43" s="86">
        <f t="shared" si="8"/>
        <v>0</v>
      </c>
      <c r="R43" s="86">
        <f t="shared" si="8"/>
        <v>0</v>
      </c>
      <c r="S43" s="86">
        <f t="shared" si="8"/>
        <v>0</v>
      </c>
      <c r="T43" s="86">
        <f t="shared" si="8"/>
        <v>0</v>
      </c>
    </row>
    <row r="44" spans="1:20" ht="15" customHeight="1">
      <c r="A44" s="149"/>
      <c r="B44" s="148" t="s">
        <v>180</v>
      </c>
      <c r="C44" s="155" t="s">
        <v>115</v>
      </c>
      <c r="D44" s="86">
        <f t="shared" ref="D44:T44" si="9">D32/D33</f>
        <v>604.67999999999995</v>
      </c>
      <c r="E44" s="86">
        <f t="shared" si="9"/>
        <v>0</v>
      </c>
      <c r="F44" s="86">
        <f t="shared" si="9"/>
        <v>0</v>
      </c>
      <c r="G44" s="86">
        <f t="shared" si="9"/>
        <v>0</v>
      </c>
      <c r="H44" s="86">
        <f t="shared" si="9"/>
        <v>0</v>
      </c>
      <c r="I44" s="86">
        <f t="shared" si="9"/>
        <v>0</v>
      </c>
      <c r="J44" s="86">
        <f t="shared" si="9"/>
        <v>0</v>
      </c>
      <c r="K44" s="86">
        <f t="shared" si="9"/>
        <v>0</v>
      </c>
      <c r="L44" s="86">
        <f t="shared" si="9"/>
        <v>0</v>
      </c>
      <c r="M44" s="86">
        <f t="shared" si="9"/>
        <v>0</v>
      </c>
      <c r="N44" s="86">
        <f t="shared" si="9"/>
        <v>0</v>
      </c>
      <c r="O44" s="86">
        <f t="shared" si="9"/>
        <v>0</v>
      </c>
      <c r="P44" s="86">
        <f t="shared" si="9"/>
        <v>0</v>
      </c>
      <c r="Q44" s="86">
        <f t="shared" si="9"/>
        <v>0</v>
      </c>
      <c r="R44" s="86">
        <f t="shared" si="9"/>
        <v>0</v>
      </c>
      <c r="S44" s="86">
        <f t="shared" si="9"/>
        <v>0</v>
      </c>
      <c r="T44" s="86">
        <f t="shared" si="9"/>
        <v>0</v>
      </c>
    </row>
    <row r="45" spans="1:20" ht="15" customHeight="1"/>
    <row r="46" spans="1:20" ht="15" customHeight="1">
      <c r="C46" s="76" t="s">
        <v>121</v>
      </c>
    </row>
    <row r="47" spans="1:20" ht="15" customHeight="1">
      <c r="B47" s="146" t="s">
        <v>181</v>
      </c>
      <c r="C47" s="163" t="s">
        <v>106</v>
      </c>
      <c r="D47" s="165"/>
      <c r="E47" s="191">
        <f t="shared" ref="E47:T47" si="10">E13</f>
        <v>0</v>
      </c>
      <c r="F47" s="191">
        <f t="shared" si="10"/>
        <v>0</v>
      </c>
      <c r="G47" s="191">
        <f t="shared" si="10"/>
        <v>0</v>
      </c>
      <c r="H47" s="191">
        <f t="shared" si="10"/>
        <v>0</v>
      </c>
      <c r="I47" s="191">
        <f t="shared" si="10"/>
        <v>0</v>
      </c>
      <c r="J47" s="191">
        <f t="shared" si="10"/>
        <v>0</v>
      </c>
      <c r="K47" s="191">
        <f t="shared" si="10"/>
        <v>0</v>
      </c>
      <c r="L47" s="191">
        <f t="shared" si="10"/>
        <v>0</v>
      </c>
      <c r="M47" s="191">
        <f t="shared" si="10"/>
        <v>0</v>
      </c>
      <c r="N47" s="191">
        <f t="shared" si="10"/>
        <v>0</v>
      </c>
      <c r="O47" s="191">
        <f t="shared" si="10"/>
        <v>0</v>
      </c>
      <c r="P47" s="191">
        <f t="shared" si="10"/>
        <v>0</v>
      </c>
      <c r="Q47" s="191">
        <f t="shared" si="10"/>
        <v>0</v>
      </c>
      <c r="R47" s="191">
        <f t="shared" si="10"/>
        <v>0</v>
      </c>
      <c r="S47" s="191">
        <f t="shared" si="10"/>
        <v>0</v>
      </c>
      <c r="T47" s="191">
        <f t="shared" si="10"/>
        <v>0</v>
      </c>
    </row>
    <row r="48" spans="1:20" ht="15" customHeight="1">
      <c r="B48" s="146" t="s">
        <v>182</v>
      </c>
      <c r="C48" s="163" t="s">
        <v>122</v>
      </c>
      <c r="D48" s="166"/>
      <c r="E48" s="260">
        <f>'Wksh 1 - Market Experience'!F46</f>
        <v>0</v>
      </c>
      <c r="F48" s="260"/>
      <c r="G48" s="260"/>
      <c r="H48" s="260"/>
      <c r="I48" s="260"/>
      <c r="J48" s="260"/>
      <c r="K48" s="260"/>
      <c r="L48" s="260"/>
      <c r="M48" s="260"/>
      <c r="N48" s="260"/>
      <c r="O48" s="260"/>
      <c r="P48" s="260"/>
      <c r="Q48" s="260"/>
      <c r="R48" s="260"/>
      <c r="S48" s="260"/>
      <c r="T48" s="260"/>
    </row>
    <row r="49" spans="2:20" ht="15" customHeight="1">
      <c r="B49" s="146" t="s">
        <v>183</v>
      </c>
      <c r="C49" s="163" t="s">
        <v>123</v>
      </c>
      <c r="D49" s="166"/>
      <c r="E49" s="193">
        <v>0.73648465164070898</v>
      </c>
      <c r="F49" s="193">
        <v>0.72345621545289995</v>
      </c>
      <c r="G49" s="193">
        <v>0.75331888589664697</v>
      </c>
      <c r="H49" s="193">
        <v>0.73938297570557299</v>
      </c>
      <c r="I49" s="193">
        <v>0.77085831572598595</v>
      </c>
      <c r="J49" s="193">
        <v>0.85178116015937899</v>
      </c>
      <c r="K49" s="193">
        <v>0.856018525687958</v>
      </c>
      <c r="L49" s="193">
        <v>0.84313886101314295</v>
      </c>
      <c r="M49" s="193">
        <v>0.85328831631026003</v>
      </c>
      <c r="N49" s="193">
        <v>0.84630699229642403</v>
      </c>
      <c r="O49" s="193">
        <v>0.94194751806828703</v>
      </c>
      <c r="P49" s="193">
        <v>0.89468958087681705</v>
      </c>
      <c r="Q49" s="193">
        <v>0.91137967377470497</v>
      </c>
      <c r="R49" s="193">
        <v>0.94571684276777201</v>
      </c>
      <c r="S49" s="193">
        <v>0.84608832426405201</v>
      </c>
      <c r="T49" s="193">
        <v>0.92565726508875801</v>
      </c>
    </row>
    <row r="50" spans="2:20" ht="15" customHeight="1">
      <c r="B50" s="146" t="s">
        <v>184</v>
      </c>
      <c r="C50" s="163" t="s">
        <v>124</v>
      </c>
      <c r="D50" s="166"/>
      <c r="E50" s="193">
        <v>0.98759268207901696</v>
      </c>
      <c r="F50" s="193">
        <v>1</v>
      </c>
      <c r="G50" s="193">
        <v>1</v>
      </c>
      <c r="H50" s="193">
        <v>1</v>
      </c>
      <c r="I50" s="193">
        <v>1</v>
      </c>
      <c r="J50" s="193">
        <v>0.98759268207901696</v>
      </c>
      <c r="K50" s="193">
        <v>1</v>
      </c>
      <c r="L50" s="193">
        <v>1</v>
      </c>
      <c r="M50" s="193">
        <v>1</v>
      </c>
      <c r="N50" s="193">
        <v>1</v>
      </c>
      <c r="O50" s="193">
        <v>1</v>
      </c>
      <c r="P50" s="193">
        <v>1</v>
      </c>
      <c r="Q50" s="193">
        <v>0.98759268207901696</v>
      </c>
      <c r="R50" s="193">
        <v>1</v>
      </c>
      <c r="S50" s="193">
        <v>1</v>
      </c>
      <c r="T50" s="193">
        <v>1</v>
      </c>
    </row>
    <row r="51" spans="2:20" ht="15" customHeight="1">
      <c r="B51" s="148" t="s">
        <v>185</v>
      </c>
      <c r="C51" s="164" t="s">
        <v>125</v>
      </c>
      <c r="D51" s="167"/>
      <c r="E51" s="193">
        <v>1</v>
      </c>
      <c r="F51" s="193">
        <v>1</v>
      </c>
      <c r="G51" s="193">
        <v>1</v>
      </c>
      <c r="H51" s="193">
        <v>1</v>
      </c>
      <c r="I51" s="193">
        <v>1</v>
      </c>
      <c r="J51" s="193">
        <v>1</v>
      </c>
      <c r="K51" s="193">
        <v>1</v>
      </c>
      <c r="L51" s="193">
        <v>1</v>
      </c>
      <c r="M51" s="193">
        <v>1</v>
      </c>
      <c r="N51" s="193">
        <v>1</v>
      </c>
      <c r="O51" s="193">
        <v>1</v>
      </c>
      <c r="P51" s="193">
        <v>1</v>
      </c>
      <c r="Q51" s="193">
        <v>1</v>
      </c>
      <c r="R51" s="193">
        <v>1</v>
      </c>
      <c r="S51" s="193">
        <v>1.04867142026114</v>
      </c>
      <c r="T51" s="193">
        <v>1.0444876542986501</v>
      </c>
    </row>
    <row r="52" spans="2:20" ht="15" customHeight="1">
      <c r="C52" s="77" t="s">
        <v>133</v>
      </c>
    </row>
    <row r="53" spans="2:20" ht="15" customHeight="1">
      <c r="B53" s="146" t="s">
        <v>186</v>
      </c>
      <c r="C53" s="172" t="s">
        <v>134</v>
      </c>
      <c r="D53" s="165"/>
      <c r="E53" s="196">
        <v>0.101843136309543</v>
      </c>
      <c r="F53" s="196">
        <v>0.10231953189028101</v>
      </c>
      <c r="G53" s="196">
        <v>9.8700025610747602E-2</v>
      </c>
      <c r="H53" s="196">
        <v>0.100356729879578</v>
      </c>
      <c r="I53" s="196">
        <v>9.6691085827724302E-2</v>
      </c>
      <c r="J53" s="196">
        <v>8.9401370499821206E-2</v>
      </c>
      <c r="K53" s="196">
        <v>8.7994811858087094E-2</v>
      </c>
      <c r="L53" s="196">
        <v>8.9208264960605105E-2</v>
      </c>
      <c r="M53" s="196">
        <v>8.8249272638031201E-2</v>
      </c>
      <c r="N53" s="196">
        <v>8.8906687714963101E-2</v>
      </c>
      <c r="O53" s="196">
        <v>8.06735193990233E-2</v>
      </c>
      <c r="P53" s="196">
        <v>8.4541992380151004E-2</v>
      </c>
      <c r="Q53" s="196">
        <v>8.40909760920108E-2</v>
      </c>
      <c r="R53" s="196">
        <v>8.0380155718607099E-2</v>
      </c>
      <c r="S53" s="196">
        <v>8.5150822332596701E-2</v>
      </c>
      <c r="T53" s="196">
        <v>7.8747684476102794E-2</v>
      </c>
    </row>
    <row r="54" spans="2:20" ht="15" customHeight="1">
      <c r="B54" s="146" t="s">
        <v>187</v>
      </c>
      <c r="C54" s="172" t="s">
        <v>135</v>
      </c>
      <c r="D54" s="166"/>
      <c r="E54" s="196">
        <v>1.9097938590723E-2</v>
      </c>
      <c r="F54" s="196">
        <v>1.9112467920385501E-2</v>
      </c>
      <c r="G54" s="196">
        <v>1.90799092415147E-2</v>
      </c>
      <c r="H54" s="196">
        <v>1.9094775999685499E-2</v>
      </c>
      <c r="I54" s="196">
        <v>1.9061962265005599E-2</v>
      </c>
      <c r="J54" s="196">
        <v>1.8988730788876699E-2</v>
      </c>
      <c r="K54" s="196">
        <v>1.89852776505492E-2</v>
      </c>
      <c r="L54" s="196">
        <v>1.89958812063485E-2</v>
      </c>
      <c r="M54" s="196">
        <v>1.8987498638649399E-2</v>
      </c>
      <c r="N54" s="196">
        <v>1.8993243020573099E-2</v>
      </c>
      <c r="O54" s="196">
        <v>1.8921954999336299E-2</v>
      </c>
      <c r="P54" s="196">
        <v>1.8955274993385E-2</v>
      </c>
      <c r="Q54" s="196">
        <v>1.89431126775782E-2</v>
      </c>
      <c r="R54" s="196">
        <v>1.8919440769587001E-2</v>
      </c>
      <c r="S54" s="196">
        <v>1.89934244763948E-2</v>
      </c>
      <c r="T54" s="196">
        <v>1.89330564606249E-2</v>
      </c>
    </row>
    <row r="55" spans="2:20" ht="15" customHeight="1">
      <c r="B55" s="146" t="s">
        <v>188</v>
      </c>
      <c r="C55" s="172" t="s">
        <v>12</v>
      </c>
      <c r="D55" s="166"/>
      <c r="E55" s="196">
        <v>0.05</v>
      </c>
      <c r="F55" s="196">
        <v>0.05</v>
      </c>
      <c r="G55" s="196">
        <v>0.05</v>
      </c>
      <c r="H55" s="196">
        <v>0.05</v>
      </c>
      <c r="I55" s="196">
        <v>0.05</v>
      </c>
      <c r="J55" s="196">
        <v>0.05</v>
      </c>
      <c r="K55" s="196">
        <v>0.05</v>
      </c>
      <c r="L55" s="196">
        <v>0.05</v>
      </c>
      <c r="M55" s="196">
        <v>0.05</v>
      </c>
      <c r="N55" s="196">
        <v>0.05</v>
      </c>
      <c r="O55" s="196">
        <v>0.05</v>
      </c>
      <c r="P55" s="196">
        <v>0.05</v>
      </c>
      <c r="Q55" s="196">
        <v>0.05</v>
      </c>
      <c r="R55" s="196">
        <v>0.05</v>
      </c>
      <c r="S55" s="196">
        <v>0.05</v>
      </c>
      <c r="T55" s="196">
        <v>0.05</v>
      </c>
    </row>
    <row r="56" spans="2:20" ht="15" customHeight="1">
      <c r="B56" s="146" t="s">
        <v>189</v>
      </c>
      <c r="C56" s="163" t="s">
        <v>126</v>
      </c>
      <c r="D56" s="166"/>
      <c r="E56" s="193">
        <v>1</v>
      </c>
      <c r="F56" s="193">
        <v>1</v>
      </c>
      <c r="G56" s="193">
        <v>1</v>
      </c>
      <c r="H56" s="193">
        <v>1</v>
      </c>
      <c r="I56" s="193">
        <v>1</v>
      </c>
      <c r="J56" s="193">
        <v>1</v>
      </c>
      <c r="K56" s="193">
        <v>1</v>
      </c>
      <c r="L56" s="193">
        <v>1</v>
      </c>
      <c r="M56" s="193">
        <v>1</v>
      </c>
      <c r="N56" s="193">
        <v>1</v>
      </c>
      <c r="O56" s="193">
        <v>1</v>
      </c>
      <c r="P56" s="193">
        <v>1</v>
      </c>
      <c r="Q56" s="193">
        <v>1</v>
      </c>
      <c r="R56" s="193">
        <v>1</v>
      </c>
      <c r="S56" s="193">
        <v>1</v>
      </c>
      <c r="T56" s="193">
        <v>1</v>
      </c>
    </row>
    <row r="57" spans="2:20" ht="15" customHeight="1">
      <c r="B57" s="148" t="s">
        <v>190</v>
      </c>
      <c r="C57" s="173" t="s">
        <v>79</v>
      </c>
      <c r="D57" s="167"/>
      <c r="E57" s="195">
        <f t="shared" ref="E57:T57" si="11">($E$48*PRODUCT(E49:E51)*E56)/(1-SUM(E53:E55))</f>
        <v>0</v>
      </c>
      <c r="F57" s="195">
        <f t="shared" si="11"/>
        <v>0</v>
      </c>
      <c r="G57" s="195">
        <f t="shared" si="11"/>
        <v>0</v>
      </c>
      <c r="H57" s="195">
        <f t="shared" si="11"/>
        <v>0</v>
      </c>
      <c r="I57" s="195">
        <f t="shared" si="11"/>
        <v>0</v>
      </c>
      <c r="J57" s="195">
        <f t="shared" si="11"/>
        <v>0</v>
      </c>
      <c r="K57" s="195">
        <f t="shared" si="11"/>
        <v>0</v>
      </c>
      <c r="L57" s="195">
        <f t="shared" si="11"/>
        <v>0</v>
      </c>
      <c r="M57" s="195">
        <f t="shared" si="11"/>
        <v>0</v>
      </c>
      <c r="N57" s="195">
        <f t="shared" si="11"/>
        <v>0</v>
      </c>
      <c r="O57" s="195">
        <f t="shared" si="11"/>
        <v>0</v>
      </c>
      <c r="P57" s="195">
        <f t="shared" si="11"/>
        <v>0</v>
      </c>
      <c r="Q57" s="195">
        <f t="shared" si="11"/>
        <v>0</v>
      </c>
      <c r="R57" s="195">
        <f t="shared" si="11"/>
        <v>0</v>
      </c>
      <c r="S57" s="195">
        <f t="shared" si="11"/>
        <v>0</v>
      </c>
      <c r="T57" s="195">
        <f t="shared" si="11"/>
        <v>0</v>
      </c>
    </row>
    <row r="58" spans="2:20" ht="15" customHeight="1"/>
    <row r="59" spans="2:20" ht="15" customHeight="1">
      <c r="B59" s="146" t="s">
        <v>191</v>
      </c>
      <c r="C59" s="156" t="s">
        <v>127</v>
      </c>
      <c r="D59" s="208">
        <v>0.63222366327880297</v>
      </c>
      <c r="E59" s="261">
        <f>IF(D59&lt;&gt;"", D59, "")</f>
        <v>0</v>
      </c>
      <c r="F59" s="261"/>
      <c r="G59" s="261"/>
      <c r="H59" s="261"/>
      <c r="I59" s="261"/>
      <c r="J59" s="261"/>
      <c r="K59" s="261"/>
      <c r="L59" s="261"/>
      <c r="M59" s="261"/>
      <c r="N59" s="261"/>
      <c r="O59" s="261"/>
      <c r="P59" s="261"/>
      <c r="Q59" s="261"/>
      <c r="R59" s="261"/>
      <c r="S59" s="261"/>
      <c r="T59" s="261"/>
    </row>
    <row r="60" spans="2:20" ht="15" customHeight="1">
      <c r="B60" s="146" t="s">
        <v>192</v>
      </c>
      <c r="C60" s="156" t="s">
        <v>128</v>
      </c>
      <c r="D60" s="208">
        <v>1</v>
      </c>
      <c r="E60" s="261">
        <f>IF(D60&lt;&gt;"", D60, "")</f>
        <v>0</v>
      </c>
      <c r="F60" s="261"/>
      <c r="G60" s="261"/>
      <c r="H60" s="261"/>
      <c r="I60" s="261"/>
      <c r="J60" s="261"/>
      <c r="K60" s="261"/>
      <c r="L60" s="261"/>
      <c r="M60" s="261"/>
      <c r="N60" s="261"/>
      <c r="O60" s="261"/>
      <c r="P60" s="261"/>
      <c r="Q60" s="261"/>
      <c r="R60" s="261"/>
      <c r="S60" s="261"/>
      <c r="T60" s="261"/>
    </row>
    <row r="61" spans="2:20" ht="15" customHeight="1">
      <c r="B61" s="146" t="s">
        <v>193</v>
      </c>
      <c r="C61" s="156" t="s">
        <v>129</v>
      </c>
      <c r="D61" s="208">
        <v>0.99815529554927196</v>
      </c>
      <c r="E61" s="261">
        <f>IF(D61&lt;&gt;"", D61, "")</f>
        <v>0</v>
      </c>
      <c r="F61" s="261"/>
      <c r="G61" s="261"/>
      <c r="H61" s="261"/>
      <c r="I61" s="261"/>
      <c r="J61" s="261"/>
      <c r="K61" s="261"/>
      <c r="L61" s="261"/>
      <c r="M61" s="261"/>
      <c r="N61" s="261"/>
      <c r="O61" s="261"/>
      <c r="P61" s="261"/>
      <c r="Q61" s="261"/>
      <c r="R61" s="261"/>
      <c r="S61" s="261"/>
      <c r="T61" s="261"/>
    </row>
    <row r="62" spans="2:20" ht="15" customHeight="1">
      <c r="B62" s="148" t="s">
        <v>194</v>
      </c>
      <c r="C62" s="171" t="s">
        <v>136</v>
      </c>
      <c r="D62" s="170"/>
      <c r="E62" s="195">
        <f t="shared" ref="E62:T62" si="12">E57*(PRODUCT($E$59:$E$61))</f>
        <v>0</v>
      </c>
      <c r="F62" s="195">
        <f t="shared" si="12"/>
        <v>0</v>
      </c>
      <c r="G62" s="195">
        <f t="shared" si="12"/>
        <v>0</v>
      </c>
      <c r="H62" s="195">
        <f t="shared" si="12"/>
        <v>0</v>
      </c>
      <c r="I62" s="195">
        <f t="shared" si="12"/>
        <v>0</v>
      </c>
      <c r="J62" s="195">
        <f t="shared" si="12"/>
        <v>0</v>
      </c>
      <c r="K62" s="195">
        <f t="shared" si="12"/>
        <v>0</v>
      </c>
      <c r="L62" s="195">
        <f t="shared" si="12"/>
        <v>0</v>
      </c>
      <c r="M62" s="195">
        <f t="shared" si="12"/>
        <v>0</v>
      </c>
      <c r="N62" s="195">
        <f t="shared" si="12"/>
        <v>0</v>
      </c>
      <c r="O62" s="195">
        <f t="shared" si="12"/>
        <v>0</v>
      </c>
      <c r="P62" s="195">
        <f t="shared" si="12"/>
        <v>0</v>
      </c>
      <c r="Q62" s="195">
        <f t="shared" si="12"/>
        <v>0</v>
      </c>
      <c r="R62" s="195">
        <f t="shared" si="12"/>
        <v>0</v>
      </c>
      <c r="S62" s="195">
        <f t="shared" si="12"/>
        <v>0</v>
      </c>
      <c r="T62" s="195">
        <f t="shared" si="12"/>
        <v>0</v>
      </c>
    </row>
    <row r="63" spans="2:20" ht="15" customHeight="1"/>
    <row r="64" spans="2:20" ht="15" customHeight="1">
      <c r="C64" s="76" t="s">
        <v>130</v>
      </c>
    </row>
    <row r="65" spans="2:20" ht="15" customHeight="1">
      <c r="B65" s="146" t="s">
        <v>195</v>
      </c>
      <c r="C65" s="152" t="s">
        <v>106</v>
      </c>
      <c r="D65" s="174" t="s">
        <v>2</v>
      </c>
      <c r="E65" s="90">
        <f t="shared" ref="E65:T65" si="13">E13</f>
        <v>0</v>
      </c>
      <c r="F65" s="90">
        <f t="shared" si="13"/>
        <v>0</v>
      </c>
      <c r="G65" s="90">
        <f t="shared" si="13"/>
        <v>0</v>
      </c>
      <c r="H65" s="90">
        <f t="shared" si="13"/>
        <v>0</v>
      </c>
      <c r="I65" s="90">
        <f t="shared" si="13"/>
        <v>0</v>
      </c>
      <c r="J65" s="90">
        <f t="shared" si="13"/>
        <v>0</v>
      </c>
      <c r="K65" s="90">
        <f t="shared" si="13"/>
        <v>0</v>
      </c>
      <c r="L65" s="90">
        <f t="shared" si="13"/>
        <v>0</v>
      </c>
      <c r="M65" s="90">
        <f t="shared" si="13"/>
        <v>0</v>
      </c>
      <c r="N65" s="90">
        <f t="shared" si="13"/>
        <v>0</v>
      </c>
      <c r="O65" s="90">
        <f t="shared" si="13"/>
        <v>0</v>
      </c>
      <c r="P65" s="90">
        <f t="shared" si="13"/>
        <v>0</v>
      </c>
      <c r="Q65" s="90">
        <f t="shared" si="13"/>
        <v>0</v>
      </c>
      <c r="R65" s="90">
        <f t="shared" si="13"/>
        <v>0</v>
      </c>
      <c r="S65" s="90">
        <f t="shared" si="13"/>
        <v>0</v>
      </c>
      <c r="T65" s="90">
        <f t="shared" si="13"/>
        <v>0</v>
      </c>
    </row>
    <row r="66" spans="2:20" ht="15" customHeight="1">
      <c r="B66" s="146" t="s">
        <v>196</v>
      </c>
      <c r="C66" s="152" t="s">
        <v>86</v>
      </c>
      <c r="D66" s="159">
        <f>SUM(E66:XFD66)</f>
        <v>65587419.691699997</v>
      </c>
      <c r="E66" s="187">
        <f>9460427.62630808</f>
        <v>0</v>
      </c>
      <c r="F66" s="187">
        <f>1730772.77202189</f>
        <v>0</v>
      </c>
      <c r="G66" s="187">
        <f>1784600.63335271</f>
        <v>0</v>
      </c>
      <c r="H66" s="187">
        <f>6165360.42473825</f>
        <v>0</v>
      </c>
      <c r="I66" s="187">
        <f>4812210.80297569</f>
        <v>0</v>
      </c>
      <c r="J66" s="187">
        <f>7653597.32738169</f>
        <v>0</v>
      </c>
      <c r="K66" s="187">
        <f>5835813.72148064</f>
        <v>0</v>
      </c>
      <c r="L66" s="187">
        <f>595367.842118947</f>
        <v>0</v>
      </c>
      <c r="M66" s="187">
        <f>459370.111685685</f>
        <v>0</v>
      </c>
      <c r="N66" s="187">
        <f>5117292.37902491</f>
        <v>0</v>
      </c>
      <c r="O66" s="187">
        <f>348041.375513753</f>
        <v>0</v>
      </c>
      <c r="P66" s="187">
        <f>556325.203865248</f>
        <v>0</v>
      </c>
      <c r="Q66" s="187">
        <f>3099651.81308421</f>
        <v>0</v>
      </c>
      <c r="R66" s="187">
        <f>4703968.53900324</f>
        <v>0</v>
      </c>
      <c r="S66" s="187">
        <f>6082937.8366137</f>
        <v>0</v>
      </c>
      <c r="T66" s="187">
        <f>7181681.28257144</f>
        <v>0</v>
      </c>
    </row>
    <row r="67" spans="2:20" ht="15" customHeight="1">
      <c r="B67" s="146" t="s">
        <v>197</v>
      </c>
      <c r="C67" s="152" t="s">
        <v>87</v>
      </c>
      <c r="D67" s="159">
        <f>SUM(E67:XFD67)</f>
        <v>3029828.4065</v>
      </c>
      <c r="E67" s="187">
        <f>387442.267234473</f>
        <v>0</v>
      </c>
      <c r="F67" s="187">
        <f>68826.6642998176</f>
        <v>0</v>
      </c>
      <c r="G67" s="187">
        <f>73896.5756144615</f>
        <v>0</v>
      </c>
      <c r="H67" s="187">
        <f>250571.88056494</f>
        <v>0</v>
      </c>
      <c r="I67" s="187">
        <f>203903.002474236</f>
        <v>0</v>
      </c>
      <c r="J67" s="187">
        <f>397304.011314044</f>
        <v>0</v>
      </c>
      <c r="K67" s="187">
        <f>300970.280037518</f>
        <v>0</v>
      </c>
      <c r="L67" s="187">
        <f>30242.9051832758</f>
        <v>0</v>
      </c>
      <c r="M67" s="187">
        <f>23615.5226659629</f>
        <v>0</v>
      </c>
      <c r="N67" s="187">
        <f>260919.89092691</f>
        <v>0</v>
      </c>
      <c r="O67" s="187">
        <f>16550.5409986367</f>
        <v>0</v>
      </c>
      <c r="P67" s="187">
        <f>25127.8729434847</f>
        <v>0</v>
      </c>
      <c r="Q67" s="187">
        <f>144286.965444139</f>
        <v>0</v>
      </c>
      <c r="R67" s="187">
        <f>224584.68847656</f>
        <v>0</v>
      </c>
      <c r="S67" s="187">
        <f>297478.888889201</f>
        <v>0</v>
      </c>
      <c r="T67" s="187">
        <f>324106.449473532</f>
        <v>0</v>
      </c>
    </row>
    <row r="68" spans="2:20" ht="15" customHeight="1">
      <c r="B68" s="146" t="s">
        <v>198</v>
      </c>
      <c r="C68" s="152" t="s">
        <v>111</v>
      </c>
      <c r="D68" s="159">
        <f>SUM(E68:XFD68)</f>
        <v>11343952.173900001</v>
      </c>
      <c r="E68" s="187">
        <f>2628513.59600956</f>
        <v>0</v>
      </c>
      <c r="F68" s="187">
        <f>502655.181118281</f>
        <v>0</v>
      </c>
      <c r="G68" s="187">
        <f>466839.214576476</f>
        <v>0</v>
      </c>
      <c r="H68" s="187">
        <f>1695762.47817732</f>
        <v>0</v>
      </c>
      <c r="I68" s="187">
        <f>1177358.42507767</f>
        <v>0</v>
      </c>
      <c r="J68" s="187">
        <f>662102.338111579</f>
        <v>0</v>
      </c>
      <c r="K68" s="187">
        <f>478092.624854272</f>
        <v>0</v>
      </c>
      <c r="L68" s="187">
        <f>56888.7619571845</f>
        <v>0</v>
      </c>
      <c r="M68" s="187">
        <f>38960.4764483516</f>
        <v>0</v>
      </c>
      <c r="N68" s="187">
        <f>471814.303933593</f>
        <v>0</v>
      </c>
      <c r="O68" s="187">
        <f>53816.560685987</f>
        <v>0</v>
      </c>
      <c r="P68" s="187">
        <f>109333.748444163</f>
        <v>0</v>
      </c>
      <c r="Q68" s="187">
        <f>563199.265754853</f>
        <v>0</v>
      </c>
      <c r="R68" s="187">
        <f>711638.972636283</f>
        <v>0</v>
      </c>
      <c r="S68" s="187">
        <f>546907.754559194</f>
        <v>0</v>
      </c>
      <c r="T68" s="187">
        <f>1180068.47160329</f>
        <v>0</v>
      </c>
    </row>
    <row r="69" spans="2:20" ht="15" customHeight="1">
      <c r="B69" s="146" t="s">
        <v>199</v>
      </c>
      <c r="C69" s="152" t="s">
        <v>112</v>
      </c>
      <c r="D69" s="159">
        <f>SUM(E69:XFD69)</f>
        <v>0</v>
      </c>
      <c r="E69" s="187">
        <f>0</f>
        <v>0</v>
      </c>
      <c r="F69" s="187">
        <f>0</f>
        <v>0</v>
      </c>
      <c r="G69" s="187">
        <f>0</f>
        <v>0</v>
      </c>
      <c r="H69" s="187">
        <f>0</f>
        <v>0</v>
      </c>
      <c r="I69" s="187">
        <f>0</f>
        <v>0</v>
      </c>
      <c r="J69" s="187">
        <f>0</f>
        <v>0</v>
      </c>
      <c r="K69" s="187">
        <f>0</f>
        <v>0</v>
      </c>
      <c r="L69" s="187">
        <f>0</f>
        <v>0</v>
      </c>
      <c r="M69" s="187">
        <f>0</f>
        <v>0</v>
      </c>
      <c r="N69" s="187">
        <f>0</f>
        <v>0</v>
      </c>
      <c r="O69" s="187">
        <f>0</f>
        <v>0</v>
      </c>
      <c r="P69" s="187">
        <f>0</f>
        <v>0</v>
      </c>
      <c r="Q69" s="187">
        <f>0</f>
        <v>0</v>
      </c>
      <c r="R69" s="187">
        <f>0</f>
        <v>0</v>
      </c>
      <c r="S69" s="187">
        <f>0</f>
        <v>0</v>
      </c>
      <c r="T69" s="187">
        <f>0</f>
        <v>0</v>
      </c>
    </row>
    <row r="70" spans="2:20" ht="15" customHeight="1">
      <c r="B70" s="146" t="s">
        <v>200</v>
      </c>
      <c r="C70" s="152" t="s">
        <v>113</v>
      </c>
      <c r="D70" s="159">
        <f t="shared" ref="D70:T70" si="14">D66-D67-D68-D69</f>
        <v>51213639.111299999</v>
      </c>
      <c r="E70" s="159">
        <f t="shared" si="14"/>
        <v>0</v>
      </c>
      <c r="F70" s="159">
        <f t="shared" si="14"/>
        <v>0</v>
      </c>
      <c r="G70" s="159">
        <f t="shared" si="14"/>
        <v>0</v>
      </c>
      <c r="H70" s="159">
        <f t="shared" si="14"/>
        <v>0</v>
      </c>
      <c r="I70" s="159">
        <f t="shared" si="14"/>
        <v>0</v>
      </c>
      <c r="J70" s="159">
        <f t="shared" si="14"/>
        <v>0</v>
      </c>
      <c r="K70" s="159">
        <f t="shared" si="14"/>
        <v>0</v>
      </c>
      <c r="L70" s="159">
        <f t="shared" si="14"/>
        <v>0</v>
      </c>
      <c r="M70" s="159">
        <f t="shared" si="14"/>
        <v>0</v>
      </c>
      <c r="N70" s="159">
        <f t="shared" si="14"/>
        <v>0</v>
      </c>
      <c r="O70" s="159">
        <f t="shared" si="14"/>
        <v>0</v>
      </c>
      <c r="P70" s="159">
        <f t="shared" si="14"/>
        <v>0</v>
      </c>
      <c r="Q70" s="159">
        <f t="shared" si="14"/>
        <v>0</v>
      </c>
      <c r="R70" s="159">
        <f t="shared" si="14"/>
        <v>0</v>
      </c>
      <c r="S70" s="159">
        <f t="shared" si="14"/>
        <v>0</v>
      </c>
      <c r="T70" s="159">
        <f t="shared" si="14"/>
        <v>0</v>
      </c>
    </row>
    <row r="71" spans="2:20" ht="15" customHeight="1">
      <c r="B71" s="146" t="s">
        <v>201</v>
      </c>
      <c r="C71" s="152" t="s">
        <v>114</v>
      </c>
      <c r="D71" s="159">
        <f>SUM(E71:XFD71)</f>
        <v>938370.12670000002</v>
      </c>
      <c r="E71" s="187">
        <f>135032.667023838</f>
        <v>0</v>
      </c>
      <c r="F71" s="187">
        <f>24419.682796558</f>
        <v>0</v>
      </c>
      <c r="G71" s="187">
        <f>25179.1466155897</f>
        <v>0</v>
      </c>
      <c r="H71" s="187">
        <f>86987.8174260165</f>
        <v>0</v>
      </c>
      <c r="I71" s="187">
        <f>67896.0654214348</f>
        <v>0</v>
      </c>
      <c r="J71" s="187">
        <f>119726.55005566</f>
        <v>0</v>
      </c>
      <c r="K71" s="187">
        <f>90247.6698184757</f>
        <v>0</v>
      </c>
      <c r="L71" s="187">
        <f>9207.03829841518</f>
        <v>0</v>
      </c>
      <c r="M71" s="187">
        <f>7103.90772263506</f>
        <v>0</v>
      </c>
      <c r="N71" s="187">
        <f>79136.1299431041</f>
        <v>0</v>
      </c>
      <c r="O71" s="187">
        <f>4510.04667917292</f>
        <v>0</v>
      </c>
      <c r="P71" s="187">
        <f>7209.06425142407</f>
        <v>0</v>
      </c>
      <c r="Q71" s="187">
        <f>40637.1563475736</f>
        <v>0</v>
      </c>
      <c r="R71" s="187">
        <f>60955.7345213604</f>
        <v>0</v>
      </c>
      <c r="S71" s="187">
        <f>90247.6698184757</f>
        <v>0</v>
      </c>
      <c r="T71" s="187">
        <f>89873.779938337</f>
        <v>0</v>
      </c>
    </row>
    <row r="72" spans="2:20" ht="15" customHeight="1">
      <c r="B72" s="146" t="s">
        <v>202</v>
      </c>
      <c r="C72" s="152" t="s">
        <v>115</v>
      </c>
      <c r="D72" s="159">
        <f>SUM(E72:XFD72)</f>
        <v>61632127.128600001</v>
      </c>
      <c r="E72" s="187">
        <f>7849279.50750471</f>
        <v>0</v>
      </c>
      <c r="F72" s="187">
        <f>1412729.122435</f>
        <v>0</v>
      </c>
      <c r="G72" s="187">
        <f>1510137.40054632</f>
        <v>0</v>
      </c>
      <c r="H72" s="187">
        <f>5130948.66877525</f>
        <v>0</v>
      </c>
      <c r="I72" s="187">
        <f>4156801.87116762</f>
        <v>0</v>
      </c>
      <c r="J72" s="187">
        <f>7929034.56064266</f>
        <v>0</v>
      </c>
      <c r="K72" s="187">
        <f>6071781.19880749</f>
        <v>0</v>
      </c>
      <c r="L72" s="187">
        <f>611008.227346879</f>
        <v>0</v>
      </c>
      <c r="M72" s="187">
        <f>476565.189456898</f>
        <v>0</v>
      </c>
      <c r="N72" s="187">
        <f>5269553.49669324</f>
        <v>0</v>
      </c>
      <c r="O72" s="187">
        <f>330991.593950775</f>
        <v>0</v>
      </c>
      <c r="P72" s="187">
        <f>504844.577203029</f>
        <v>0</v>
      </c>
      <c r="Q72" s="187">
        <f>2861339.3296834</f>
        <v>0</v>
      </c>
      <c r="R72" s="187">
        <f>4489870.73645067</f>
        <v>0</v>
      </c>
      <c r="S72" s="187">
        <f>6272340.23358376</f>
        <v>0</v>
      </c>
      <c r="T72" s="187">
        <f>6754901.41433019</f>
        <v>0</v>
      </c>
    </row>
    <row r="73" spans="2:20" ht="15" customHeight="1">
      <c r="B73" s="146" t="s">
        <v>203</v>
      </c>
      <c r="C73" s="152" t="s">
        <v>4</v>
      </c>
      <c r="D73" s="176">
        <f>SUM(E73:XFD73)</f>
        <v>80312</v>
      </c>
      <c r="E73" s="218">
        <f>11557</f>
        <v>0</v>
      </c>
      <c r="F73" s="218">
        <f>2090</f>
        <v>0</v>
      </c>
      <c r="G73" s="218">
        <f>2155</f>
        <v>0</v>
      </c>
      <c r="H73" s="218">
        <f>7445</f>
        <v>0</v>
      </c>
      <c r="I73" s="218">
        <f>5811</f>
        <v>0</v>
      </c>
      <c r="J73" s="218">
        <f>10247</f>
        <v>0</v>
      </c>
      <c r="K73" s="218">
        <f>7724</f>
        <v>0</v>
      </c>
      <c r="L73" s="218">
        <f>788</f>
        <v>0</v>
      </c>
      <c r="M73" s="218">
        <f>608</f>
        <v>0</v>
      </c>
      <c r="N73" s="218">
        <f>6773</f>
        <v>0</v>
      </c>
      <c r="O73" s="218">
        <f>386</f>
        <v>0</v>
      </c>
      <c r="P73" s="218">
        <f>617</f>
        <v>0</v>
      </c>
      <c r="Q73" s="218">
        <f>3478</f>
        <v>0</v>
      </c>
      <c r="R73" s="218">
        <f>5217</f>
        <v>0</v>
      </c>
      <c r="S73" s="218">
        <f>7724</f>
        <v>0</v>
      </c>
      <c r="T73" s="218">
        <f>7692</f>
        <v>0</v>
      </c>
    </row>
    <row r="74" spans="2:20" ht="15" customHeight="1">
      <c r="B74" s="148" t="s">
        <v>204</v>
      </c>
      <c r="C74" s="170" t="s">
        <v>118</v>
      </c>
      <c r="D74" s="89">
        <f t="shared" ref="D74:T74" si="15">D70/(D71+D72)</f>
        <v>0.81849499936567705</v>
      </c>
      <c r="E74" s="89">
        <f t="shared" si="15"/>
        <v>0</v>
      </c>
      <c r="F74" s="89">
        <f t="shared" si="15"/>
        <v>0</v>
      </c>
      <c r="G74" s="89">
        <f t="shared" si="15"/>
        <v>0</v>
      </c>
      <c r="H74" s="89">
        <f t="shared" si="15"/>
        <v>0</v>
      </c>
      <c r="I74" s="89">
        <f t="shared" si="15"/>
        <v>0</v>
      </c>
      <c r="J74" s="89">
        <f t="shared" si="15"/>
        <v>0</v>
      </c>
      <c r="K74" s="89">
        <f t="shared" si="15"/>
        <v>0</v>
      </c>
      <c r="L74" s="89">
        <f t="shared" si="15"/>
        <v>0</v>
      </c>
      <c r="M74" s="89">
        <f t="shared" si="15"/>
        <v>0</v>
      </c>
      <c r="N74" s="89">
        <f t="shared" si="15"/>
        <v>0</v>
      </c>
      <c r="O74" s="89">
        <f t="shared" si="15"/>
        <v>0</v>
      </c>
      <c r="P74" s="89">
        <f t="shared" si="15"/>
        <v>0</v>
      </c>
      <c r="Q74" s="89">
        <f t="shared" si="15"/>
        <v>0</v>
      </c>
      <c r="R74" s="89">
        <f t="shared" si="15"/>
        <v>0</v>
      </c>
      <c r="S74" s="89">
        <f t="shared" si="15"/>
        <v>0</v>
      </c>
      <c r="T74" s="89">
        <f t="shared" si="15"/>
        <v>0</v>
      </c>
    </row>
    <row r="75" spans="2:20" ht="15" customHeight="1">
      <c r="C75" s="78" t="s">
        <v>120</v>
      </c>
    </row>
    <row r="76" spans="2:20" ht="15" customHeight="1">
      <c r="B76" s="146" t="s">
        <v>205</v>
      </c>
      <c r="C76" s="152" t="s">
        <v>86</v>
      </c>
      <c r="D76" s="107">
        <f t="shared" ref="D76:T76" si="16">D66/D73</f>
        <v>816.65779999999995</v>
      </c>
      <c r="E76" s="107">
        <f t="shared" si="16"/>
        <v>0</v>
      </c>
      <c r="F76" s="107">
        <f t="shared" si="16"/>
        <v>0</v>
      </c>
      <c r="G76" s="107">
        <f t="shared" si="16"/>
        <v>0</v>
      </c>
      <c r="H76" s="107">
        <f t="shared" si="16"/>
        <v>0</v>
      </c>
      <c r="I76" s="107">
        <f t="shared" si="16"/>
        <v>0</v>
      </c>
      <c r="J76" s="107">
        <f t="shared" si="16"/>
        <v>0</v>
      </c>
      <c r="K76" s="107">
        <f t="shared" si="16"/>
        <v>0</v>
      </c>
      <c r="L76" s="107">
        <f t="shared" si="16"/>
        <v>0</v>
      </c>
      <c r="M76" s="107">
        <f t="shared" si="16"/>
        <v>0</v>
      </c>
      <c r="N76" s="107">
        <f t="shared" si="16"/>
        <v>0</v>
      </c>
      <c r="O76" s="107">
        <f t="shared" si="16"/>
        <v>0</v>
      </c>
      <c r="P76" s="107">
        <f t="shared" si="16"/>
        <v>0</v>
      </c>
      <c r="Q76" s="107">
        <f t="shared" si="16"/>
        <v>0</v>
      </c>
      <c r="R76" s="107">
        <f t="shared" si="16"/>
        <v>0</v>
      </c>
      <c r="S76" s="107">
        <f t="shared" si="16"/>
        <v>0</v>
      </c>
      <c r="T76" s="107">
        <f t="shared" si="16"/>
        <v>0</v>
      </c>
    </row>
    <row r="77" spans="2:20" ht="15" customHeight="1">
      <c r="B77" s="146" t="s">
        <v>206</v>
      </c>
      <c r="C77" s="152" t="s">
        <v>87</v>
      </c>
      <c r="D77" s="86">
        <f t="shared" ref="D77:T77" si="17">D67/D73</f>
        <v>37.725700000000003</v>
      </c>
      <c r="E77" s="86">
        <f t="shared" si="17"/>
        <v>0</v>
      </c>
      <c r="F77" s="86">
        <f t="shared" si="17"/>
        <v>0</v>
      </c>
      <c r="G77" s="86">
        <f t="shared" si="17"/>
        <v>0</v>
      </c>
      <c r="H77" s="86">
        <f t="shared" si="17"/>
        <v>0</v>
      </c>
      <c r="I77" s="86">
        <f t="shared" si="17"/>
        <v>0</v>
      </c>
      <c r="J77" s="86">
        <f t="shared" si="17"/>
        <v>0</v>
      </c>
      <c r="K77" s="86">
        <f t="shared" si="17"/>
        <v>0</v>
      </c>
      <c r="L77" s="86">
        <f t="shared" si="17"/>
        <v>0</v>
      </c>
      <c r="M77" s="86">
        <f t="shared" si="17"/>
        <v>0</v>
      </c>
      <c r="N77" s="86">
        <f t="shared" si="17"/>
        <v>0</v>
      </c>
      <c r="O77" s="86">
        <f t="shared" si="17"/>
        <v>0</v>
      </c>
      <c r="P77" s="86">
        <f t="shared" si="17"/>
        <v>0</v>
      </c>
      <c r="Q77" s="86">
        <f t="shared" si="17"/>
        <v>0</v>
      </c>
      <c r="R77" s="86">
        <f t="shared" si="17"/>
        <v>0</v>
      </c>
      <c r="S77" s="86">
        <f t="shared" si="17"/>
        <v>0</v>
      </c>
      <c r="T77" s="86">
        <f t="shared" si="17"/>
        <v>0</v>
      </c>
    </row>
    <row r="78" spans="2:20" ht="15" customHeight="1">
      <c r="B78" s="146" t="s">
        <v>207</v>
      </c>
      <c r="C78" s="152" t="s">
        <v>111</v>
      </c>
      <c r="D78" s="107">
        <f t="shared" ref="D78:T78" si="18">D68/D73</f>
        <v>141.24850000000001</v>
      </c>
      <c r="E78" s="107">
        <f t="shared" si="18"/>
        <v>0</v>
      </c>
      <c r="F78" s="107">
        <f t="shared" si="18"/>
        <v>0</v>
      </c>
      <c r="G78" s="107">
        <f t="shared" si="18"/>
        <v>0</v>
      </c>
      <c r="H78" s="107">
        <f t="shared" si="18"/>
        <v>0</v>
      </c>
      <c r="I78" s="107">
        <f t="shared" si="18"/>
        <v>0</v>
      </c>
      <c r="J78" s="107">
        <f t="shared" si="18"/>
        <v>0</v>
      </c>
      <c r="K78" s="107">
        <f t="shared" si="18"/>
        <v>0</v>
      </c>
      <c r="L78" s="107">
        <f t="shared" si="18"/>
        <v>0</v>
      </c>
      <c r="M78" s="107">
        <f t="shared" si="18"/>
        <v>0</v>
      </c>
      <c r="N78" s="107">
        <f t="shared" si="18"/>
        <v>0</v>
      </c>
      <c r="O78" s="107">
        <f t="shared" si="18"/>
        <v>0</v>
      </c>
      <c r="P78" s="107">
        <f t="shared" si="18"/>
        <v>0</v>
      </c>
      <c r="Q78" s="107">
        <f t="shared" si="18"/>
        <v>0</v>
      </c>
      <c r="R78" s="107">
        <f t="shared" si="18"/>
        <v>0</v>
      </c>
      <c r="S78" s="107">
        <f t="shared" si="18"/>
        <v>0</v>
      </c>
      <c r="T78" s="107">
        <f t="shared" si="18"/>
        <v>0</v>
      </c>
    </row>
    <row r="79" spans="2:20" ht="15" customHeight="1">
      <c r="B79" s="146" t="s">
        <v>208</v>
      </c>
      <c r="C79" s="152" t="s">
        <v>112</v>
      </c>
      <c r="D79" s="107">
        <f t="shared" ref="D79:T79" si="19">D69/D73</f>
        <v>0</v>
      </c>
      <c r="E79" s="107">
        <f t="shared" si="19"/>
        <v>0</v>
      </c>
      <c r="F79" s="107">
        <f t="shared" si="19"/>
        <v>0</v>
      </c>
      <c r="G79" s="107">
        <f t="shared" si="19"/>
        <v>0</v>
      </c>
      <c r="H79" s="107">
        <f t="shared" si="19"/>
        <v>0</v>
      </c>
      <c r="I79" s="107">
        <f t="shared" si="19"/>
        <v>0</v>
      </c>
      <c r="J79" s="107">
        <f t="shared" si="19"/>
        <v>0</v>
      </c>
      <c r="K79" s="107">
        <f t="shared" si="19"/>
        <v>0</v>
      </c>
      <c r="L79" s="107">
        <f t="shared" si="19"/>
        <v>0</v>
      </c>
      <c r="M79" s="107">
        <f t="shared" si="19"/>
        <v>0</v>
      </c>
      <c r="N79" s="107">
        <f t="shared" si="19"/>
        <v>0</v>
      </c>
      <c r="O79" s="107">
        <f t="shared" si="19"/>
        <v>0</v>
      </c>
      <c r="P79" s="107">
        <f t="shared" si="19"/>
        <v>0</v>
      </c>
      <c r="Q79" s="107">
        <f t="shared" si="19"/>
        <v>0</v>
      </c>
      <c r="R79" s="107">
        <f t="shared" si="19"/>
        <v>0</v>
      </c>
      <c r="S79" s="107">
        <f t="shared" si="19"/>
        <v>0</v>
      </c>
      <c r="T79" s="107">
        <f t="shared" si="19"/>
        <v>0</v>
      </c>
    </row>
    <row r="80" spans="2:20" ht="15" customHeight="1">
      <c r="B80" s="146" t="s">
        <v>209</v>
      </c>
      <c r="C80" s="152" t="s">
        <v>113</v>
      </c>
      <c r="D80" s="107">
        <f t="shared" ref="D80:T80" si="20">D70/D73</f>
        <v>637.68349999999998</v>
      </c>
      <c r="E80" s="107">
        <f t="shared" si="20"/>
        <v>0</v>
      </c>
      <c r="F80" s="107">
        <f t="shared" si="20"/>
        <v>0</v>
      </c>
      <c r="G80" s="107">
        <f t="shared" si="20"/>
        <v>0</v>
      </c>
      <c r="H80" s="107">
        <f t="shared" si="20"/>
        <v>0</v>
      </c>
      <c r="I80" s="107">
        <f t="shared" si="20"/>
        <v>0</v>
      </c>
      <c r="J80" s="107">
        <f t="shared" si="20"/>
        <v>0</v>
      </c>
      <c r="K80" s="107">
        <f t="shared" si="20"/>
        <v>0</v>
      </c>
      <c r="L80" s="107">
        <f t="shared" si="20"/>
        <v>0</v>
      </c>
      <c r="M80" s="107">
        <f t="shared" si="20"/>
        <v>0</v>
      </c>
      <c r="N80" s="107">
        <f t="shared" si="20"/>
        <v>0</v>
      </c>
      <c r="O80" s="107">
        <f t="shared" si="20"/>
        <v>0</v>
      </c>
      <c r="P80" s="107">
        <f t="shared" si="20"/>
        <v>0</v>
      </c>
      <c r="Q80" s="107">
        <f t="shared" si="20"/>
        <v>0</v>
      </c>
      <c r="R80" s="107">
        <f t="shared" si="20"/>
        <v>0</v>
      </c>
      <c r="S80" s="107">
        <f t="shared" si="20"/>
        <v>0</v>
      </c>
      <c r="T80" s="107">
        <f t="shared" si="20"/>
        <v>0</v>
      </c>
    </row>
    <row r="81" spans="2:20" ht="15" customHeight="1">
      <c r="B81" s="146" t="s">
        <v>210</v>
      </c>
      <c r="C81" s="152" t="s">
        <v>114</v>
      </c>
      <c r="D81" s="107">
        <f t="shared" ref="D81:T81" si="21">D71/D73</f>
        <v>11.684100000000001</v>
      </c>
      <c r="E81" s="107">
        <f t="shared" si="21"/>
        <v>0</v>
      </c>
      <c r="F81" s="107">
        <f t="shared" si="21"/>
        <v>0</v>
      </c>
      <c r="G81" s="107">
        <f t="shared" si="21"/>
        <v>0</v>
      </c>
      <c r="H81" s="107">
        <f t="shared" si="21"/>
        <v>0</v>
      </c>
      <c r="I81" s="107">
        <f t="shared" si="21"/>
        <v>0</v>
      </c>
      <c r="J81" s="107">
        <f t="shared" si="21"/>
        <v>0</v>
      </c>
      <c r="K81" s="107">
        <f t="shared" si="21"/>
        <v>0</v>
      </c>
      <c r="L81" s="107">
        <f t="shared" si="21"/>
        <v>0</v>
      </c>
      <c r="M81" s="107">
        <f t="shared" si="21"/>
        <v>0</v>
      </c>
      <c r="N81" s="107">
        <f t="shared" si="21"/>
        <v>0</v>
      </c>
      <c r="O81" s="107">
        <f t="shared" si="21"/>
        <v>0</v>
      </c>
      <c r="P81" s="107">
        <f t="shared" si="21"/>
        <v>0</v>
      </c>
      <c r="Q81" s="107">
        <f t="shared" si="21"/>
        <v>0</v>
      </c>
      <c r="R81" s="107">
        <f t="shared" si="21"/>
        <v>0</v>
      </c>
      <c r="S81" s="107">
        <f t="shared" si="21"/>
        <v>0</v>
      </c>
      <c r="T81" s="107">
        <f t="shared" si="21"/>
        <v>0</v>
      </c>
    </row>
    <row r="82" spans="2:20" ht="15" customHeight="1">
      <c r="B82" s="148" t="s">
        <v>211</v>
      </c>
      <c r="C82" s="170" t="s">
        <v>115</v>
      </c>
      <c r="D82" s="107">
        <f t="shared" ref="D82:T82" si="22">D72/D73</f>
        <v>767.40869999999995</v>
      </c>
      <c r="E82" s="107">
        <f t="shared" si="22"/>
        <v>0</v>
      </c>
      <c r="F82" s="107">
        <f t="shared" si="22"/>
        <v>0</v>
      </c>
      <c r="G82" s="107">
        <f t="shared" si="22"/>
        <v>0</v>
      </c>
      <c r="H82" s="107">
        <f t="shared" si="22"/>
        <v>0</v>
      </c>
      <c r="I82" s="107">
        <f t="shared" si="22"/>
        <v>0</v>
      </c>
      <c r="J82" s="107">
        <f t="shared" si="22"/>
        <v>0</v>
      </c>
      <c r="K82" s="107">
        <f t="shared" si="22"/>
        <v>0</v>
      </c>
      <c r="L82" s="107">
        <f t="shared" si="22"/>
        <v>0</v>
      </c>
      <c r="M82" s="107">
        <f t="shared" si="22"/>
        <v>0</v>
      </c>
      <c r="N82" s="107">
        <f t="shared" si="22"/>
        <v>0</v>
      </c>
      <c r="O82" s="107">
        <f t="shared" si="22"/>
        <v>0</v>
      </c>
      <c r="P82" s="107">
        <f t="shared" si="22"/>
        <v>0</v>
      </c>
      <c r="Q82" s="107">
        <f t="shared" si="22"/>
        <v>0</v>
      </c>
      <c r="R82" s="107">
        <f t="shared" si="22"/>
        <v>0</v>
      </c>
      <c r="S82" s="107">
        <f t="shared" si="22"/>
        <v>0</v>
      </c>
      <c r="T82" s="107">
        <f t="shared" si="22"/>
        <v>0</v>
      </c>
    </row>
    <row r="83" spans="2:20" ht="15" customHeight="1"/>
  </sheetData>
  <sheetProtection password="BD7E" sheet="1" objects="1" scenarios="1"/>
  <mergeCells count="12">
    <mergeCell ref="C7:V8"/>
    <mergeCell ref="E11:R11"/>
    <mergeCell ref="E10:R10"/>
    <mergeCell ref="E21:R21"/>
    <mergeCell ref="S11:T11"/>
    <mergeCell ref="S10:T10"/>
    <mergeCell ref="S21:T21"/>
    <mergeCell ref="E48:T48"/>
    <mergeCell ref="E59:T59"/>
    <mergeCell ref="E60:T60"/>
    <mergeCell ref="E61:T61"/>
    <mergeCell ref="E22:T22"/>
  </mergeCells>
  <dataValidations xWindow="756" yWindow="613" count="3">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104775</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161925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47625</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11"/>
  <sheetViews>
    <sheetView zoomScaleNormal="100" workbookViewId="0"/>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232" t="s">
        <v>232</v>
      </c>
      <c r="B6" s="233">
        <v>1.0754999999999999</v>
      </c>
    </row>
    <row r="7" spans="1:3">
      <c r="A7" s="234" t="s">
        <v>233</v>
      </c>
      <c r="B7" s="235">
        <v>1.0587</v>
      </c>
    </row>
    <row r="8" spans="1:3">
      <c r="A8" s="236" t="s">
        <v>235</v>
      </c>
      <c r="B8" s="237">
        <v>0.8599</v>
      </c>
    </row>
    <row r="9" spans="1:3">
      <c r="A9" s="238" t="s">
        <v>238</v>
      </c>
      <c r="B9" s="239">
        <v>1.0749</v>
      </c>
    </row>
    <row r="10" spans="1:3">
      <c r="A10" s="240" t="s">
        <v>243</v>
      </c>
      <c r="B10" s="241">
        <v>0.81810000000000005</v>
      </c>
    </row>
    <row r="11" spans="1:3">
      <c r="A11" s="242" t="s">
        <v>244</v>
      </c>
      <c r="B11" s="243">
        <v>0.93679999999999997</v>
      </c>
    </row>
  </sheetData>
  <sheetProtection password="BD7E"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1:23" ht="18.75">
      <c r="A1" t="s">
        <v>282</v>
      </c>
      <c r="C1" s="16" t="s">
        <v>13</v>
      </c>
      <c r="D1" s="16"/>
      <c r="E1" s="3"/>
      <c r="F1" s="3"/>
      <c r="G1" s="3"/>
      <c r="H1" s="3"/>
      <c r="I1" s="4"/>
      <c r="J1" s="1"/>
      <c r="K1" s="1"/>
      <c r="L1" s="1"/>
      <c r="M1" s="1"/>
      <c r="N1" s="1"/>
      <c r="O1" s="1"/>
      <c r="P1" s="1"/>
      <c r="Q1" s="1"/>
      <c r="R1" s="1"/>
      <c r="S1" s="1"/>
      <c r="T1" s="1"/>
      <c r="U1" s="1"/>
      <c r="V1" s="1"/>
    </row>
    <row r="2" spans="1:23" ht="18.75">
      <c r="C2" s="3"/>
      <c r="D2" s="3"/>
      <c r="E2" s="3"/>
      <c r="F2" s="3"/>
      <c r="G2" s="3"/>
      <c r="H2" s="3"/>
      <c r="I2" s="4"/>
      <c r="J2" s="1"/>
      <c r="K2" s="1"/>
      <c r="L2" s="1"/>
      <c r="M2" s="1"/>
      <c r="N2" s="1"/>
      <c r="O2" s="1"/>
      <c r="P2" s="1"/>
      <c r="Q2" s="1"/>
      <c r="R2" s="1"/>
      <c r="S2" s="1"/>
      <c r="T2" s="1"/>
      <c r="U2" s="1"/>
      <c r="V2" s="1"/>
    </row>
    <row r="3" spans="1:23" ht="18.75">
      <c r="C3" s="6" t="s">
        <v>5</v>
      </c>
      <c r="D3" s="3" t="str">
        <f>IF('Wksh 1 - Market Experience'!C3&lt;&gt;"", 'Wksh 1 - Market Experience'!C3,"")</f>
        <v/>
      </c>
      <c r="F3" s="3"/>
      <c r="G3" s="21"/>
      <c r="J3" s="1"/>
      <c r="K3" s="1"/>
      <c r="N3" s="6" t="s">
        <v>7</v>
      </c>
      <c r="O3" s="74" t="str">
        <f>IF('Wksh 1 - Market Experience'!E4="","",'Wksh 1 - Market Experience'!E4)</f>
        <v/>
      </c>
      <c r="P3" s="1"/>
    </row>
    <row r="4" spans="1:23" ht="18.75">
      <c r="C4" s="7" t="s">
        <v>6</v>
      </c>
      <c r="D4" s="4" t="str">
        <f>IF('Wksh 1 - Market Experience'!C4&lt;&gt;"", 'Wksh 1 - Market Experience'!C4,"")</f>
        <v/>
      </c>
      <c r="F4" s="3"/>
      <c r="G4" s="68"/>
      <c r="J4" s="1"/>
      <c r="K4" s="1"/>
      <c r="N4" s="6" t="s">
        <v>9</v>
      </c>
      <c r="O4" s="74" t="str">
        <f>IF('Wksh 1 - Market Experience'!E5="","",'Wksh 1 - Market Experience'!E5)</f>
        <v/>
      </c>
      <c r="P4" s="1"/>
    </row>
    <row r="5" spans="1:23" ht="18.75">
      <c r="C5" s="6" t="s">
        <v>14</v>
      </c>
      <c r="D5" s="83" t="e">
        <f>IF('Wksh 1 - Market Experience'!#REF!&lt;&gt;"", 'Wksh 1 - Market Experience'!#REF!,"")</f>
        <v>#REF!</v>
      </c>
      <c r="F5" s="3"/>
      <c r="G5" s="270"/>
      <c r="H5" s="270"/>
      <c r="I5" s="271"/>
      <c r="J5" s="1"/>
      <c r="K5" s="1"/>
      <c r="L5" s="1"/>
      <c r="M5" s="1"/>
      <c r="N5" s="1"/>
      <c r="O5" s="1"/>
      <c r="P5" s="1"/>
      <c r="Q5" s="1"/>
      <c r="R5" s="1"/>
      <c r="S5" s="1"/>
      <c r="T5" s="1"/>
      <c r="U5" s="1"/>
      <c r="V5" s="1"/>
    </row>
    <row r="6" spans="1:23">
      <c r="C6" s="1"/>
      <c r="D6" s="1"/>
      <c r="E6" s="1"/>
      <c r="F6" s="1"/>
      <c r="G6" s="1"/>
      <c r="H6" s="1"/>
      <c r="I6" s="2"/>
      <c r="J6" s="1"/>
      <c r="K6" s="1"/>
      <c r="L6" s="1"/>
      <c r="M6" s="1"/>
      <c r="N6" s="1"/>
      <c r="O6" s="1"/>
      <c r="P6" s="1"/>
      <c r="Q6" s="1"/>
      <c r="R6" s="1"/>
      <c r="S6" s="1"/>
      <c r="T6" s="1"/>
      <c r="U6" s="1"/>
      <c r="V6" s="1"/>
    </row>
    <row r="7" spans="1:23">
      <c r="C7" s="15" t="s">
        <v>15</v>
      </c>
      <c r="D7" s="23"/>
      <c r="E7" s="8"/>
      <c r="F7" s="8"/>
      <c r="G7" s="8"/>
      <c r="H7" s="8"/>
      <c r="I7" s="9"/>
      <c r="J7" s="8"/>
      <c r="K7" s="8"/>
      <c r="L7" s="8"/>
      <c r="M7" s="8"/>
      <c r="N7" s="8"/>
      <c r="O7" s="8"/>
      <c r="P7" s="8"/>
      <c r="Q7" s="8"/>
      <c r="R7" s="8"/>
      <c r="S7" s="8"/>
      <c r="T7" s="8"/>
      <c r="U7" s="8"/>
      <c r="V7" s="8"/>
      <c r="W7" s="10"/>
    </row>
    <row r="8" spans="1:23">
      <c r="C8" s="11"/>
      <c r="D8" s="12"/>
      <c r="E8" s="12"/>
      <c r="F8" s="12"/>
      <c r="G8" s="12"/>
      <c r="H8" s="12"/>
      <c r="I8" s="13"/>
      <c r="J8" s="12"/>
      <c r="K8" s="12"/>
      <c r="L8" s="12"/>
      <c r="M8" s="12"/>
      <c r="N8" s="12"/>
      <c r="O8" s="12"/>
      <c r="P8" s="12"/>
      <c r="Q8" s="12"/>
      <c r="R8" s="12"/>
      <c r="S8" s="12"/>
      <c r="T8" s="12"/>
      <c r="U8" s="12"/>
      <c r="V8" s="12"/>
      <c r="W8" s="14"/>
    </row>
    <row r="9" spans="1:23">
      <c r="B9" s="75" t="s">
        <v>103</v>
      </c>
      <c r="C9" s="19" t="s">
        <v>77</v>
      </c>
      <c r="D9" s="19"/>
      <c r="E9" s="17"/>
      <c r="F9" s="17"/>
      <c r="G9" s="17"/>
      <c r="H9" s="17"/>
      <c r="I9" s="18"/>
      <c r="J9" s="17"/>
      <c r="K9" s="17"/>
      <c r="L9" s="17"/>
      <c r="M9" s="17"/>
      <c r="N9" s="17"/>
      <c r="O9" s="17"/>
      <c r="P9" s="17"/>
      <c r="Q9" s="17"/>
      <c r="R9" s="17"/>
      <c r="S9" s="17"/>
      <c r="T9" s="17"/>
      <c r="U9" s="17"/>
      <c r="V9" s="17"/>
    </row>
    <row r="10" spans="1:23">
      <c r="B10" s="146" t="s">
        <v>155</v>
      </c>
      <c r="C10" s="147" t="s">
        <v>104</v>
      </c>
      <c r="D10" s="272"/>
      <c r="E10" s="177"/>
      <c r="I10" s="70"/>
      <c r="J10" s="70"/>
      <c r="K10" s="70" t="s">
        <v>231</v>
      </c>
      <c r="L10" s="67" t="s">
        <v>27</v>
      </c>
      <c r="M10" s="70" t="s">
        <v>81</v>
      </c>
      <c r="N10" s="70" t="s">
        <v>139</v>
      </c>
      <c r="O10" s="70" t="s">
        <v>145</v>
      </c>
    </row>
    <row r="11" spans="1:23">
      <c r="B11" s="146" t="s">
        <v>156</v>
      </c>
      <c r="C11" s="147" t="s">
        <v>105</v>
      </c>
      <c r="D11" s="273"/>
      <c r="E11" s="177"/>
      <c r="I11" s="70"/>
      <c r="J11" s="70"/>
      <c r="K11" s="70" t="s">
        <v>232</v>
      </c>
      <c r="L11" s="67" t="s">
        <v>28</v>
      </c>
      <c r="M11" s="70" t="s">
        <v>82</v>
      </c>
      <c r="N11" s="70" t="s">
        <v>140</v>
      </c>
      <c r="O11" s="70" t="s">
        <v>146</v>
      </c>
    </row>
    <row r="12" spans="1:23">
      <c r="B12" s="146" t="s">
        <v>157</v>
      </c>
      <c r="C12" s="147" t="s">
        <v>10</v>
      </c>
      <c r="D12" s="273"/>
      <c r="E12" s="179"/>
      <c r="I12" s="70"/>
      <c r="J12" s="70"/>
      <c r="K12" s="70" t="s">
        <v>233</v>
      </c>
      <c r="L12" s="67" t="s">
        <v>29</v>
      </c>
      <c r="M12" s="70" t="s">
        <v>83</v>
      </c>
      <c r="N12" s="70" t="s">
        <v>141</v>
      </c>
    </row>
    <row r="13" spans="1:23">
      <c r="B13" s="146" t="s">
        <v>158</v>
      </c>
      <c r="C13" s="147" t="s">
        <v>106</v>
      </c>
      <c r="D13" s="273"/>
      <c r="E13" s="180"/>
      <c r="I13" s="70"/>
      <c r="K13" s="70" t="s">
        <v>234</v>
      </c>
      <c r="L13" s="67" t="s">
        <v>30</v>
      </c>
      <c r="N13" s="70" t="s">
        <v>142</v>
      </c>
    </row>
    <row r="14" spans="1:23">
      <c r="B14" s="146" t="s">
        <v>159</v>
      </c>
      <c r="C14" s="147" t="s">
        <v>107</v>
      </c>
      <c r="D14" s="273"/>
      <c r="E14" s="181"/>
      <c r="K14" s="70" t="s">
        <v>235</v>
      </c>
      <c r="L14" s="67" t="s">
        <v>31</v>
      </c>
      <c r="N14" s="70" t="s">
        <v>143</v>
      </c>
    </row>
    <row r="15" spans="1:23">
      <c r="B15" s="146" t="s">
        <v>160</v>
      </c>
      <c r="C15" s="147" t="s">
        <v>26</v>
      </c>
      <c r="D15" s="273"/>
      <c r="E15" s="182"/>
      <c r="K15" s="70" t="s">
        <v>236</v>
      </c>
      <c r="L15" s="67" t="s">
        <v>32</v>
      </c>
      <c r="N15" s="70" t="s">
        <v>144</v>
      </c>
    </row>
    <row r="16" spans="1:23">
      <c r="B16" s="146" t="s">
        <v>161</v>
      </c>
      <c r="C16" s="147" t="s">
        <v>80</v>
      </c>
      <c r="D16" s="273"/>
      <c r="E16" s="179"/>
      <c r="K16" t="s">
        <v>237</v>
      </c>
      <c r="L16" s="67" t="s">
        <v>33</v>
      </c>
    </row>
    <row r="17" spans="1:12">
      <c r="B17" s="146" t="s">
        <v>154</v>
      </c>
      <c r="C17" s="147" t="s">
        <v>108</v>
      </c>
      <c r="D17" s="273"/>
      <c r="E17" s="179"/>
      <c r="K17" t="s">
        <v>238</v>
      </c>
      <c r="L17" s="67" t="s">
        <v>35</v>
      </c>
    </row>
    <row r="18" spans="1:12">
      <c r="B18" s="146" t="s">
        <v>153</v>
      </c>
      <c r="C18" s="147" t="s">
        <v>16</v>
      </c>
      <c r="D18" s="273"/>
      <c r="E18" s="183"/>
      <c r="K18" t="s">
        <v>239</v>
      </c>
      <c r="L18" s="67" t="s">
        <v>34</v>
      </c>
    </row>
    <row r="19" spans="1:12">
      <c r="B19" s="146" t="s">
        <v>149</v>
      </c>
      <c r="C19" s="147" t="s">
        <v>25</v>
      </c>
      <c r="D19" s="273"/>
      <c r="E19" s="184"/>
      <c r="K19" t="s">
        <v>240</v>
      </c>
      <c r="L19" s="67" t="s">
        <v>36</v>
      </c>
    </row>
    <row r="20" spans="1:12">
      <c r="B20" s="146" t="s">
        <v>150</v>
      </c>
      <c r="C20" s="147" t="s">
        <v>109</v>
      </c>
      <c r="D20" s="273"/>
      <c r="E20" s="185"/>
      <c r="K20" t="s">
        <v>241</v>
      </c>
      <c r="L20" s="67" t="s">
        <v>37</v>
      </c>
    </row>
    <row r="21" spans="1:12">
      <c r="B21" s="146" t="s">
        <v>151</v>
      </c>
      <c r="C21" s="147" t="s">
        <v>84</v>
      </c>
      <c r="D21" s="273"/>
      <c r="E21" s="178"/>
      <c r="K21" t="s">
        <v>242</v>
      </c>
      <c r="L21" s="67" t="s">
        <v>38</v>
      </c>
    </row>
    <row r="22" spans="1:12">
      <c r="B22" s="148" t="s">
        <v>152</v>
      </c>
      <c r="C22" s="138" t="s">
        <v>212</v>
      </c>
      <c r="D22" s="274"/>
      <c r="E22" s="178"/>
      <c r="K22" t="s">
        <v>243</v>
      </c>
      <c r="L22" s="67" t="s">
        <v>39</v>
      </c>
    </row>
    <row r="23" spans="1:12">
      <c r="E23" s="73"/>
      <c r="K23" t="s">
        <v>244</v>
      </c>
      <c r="L23" s="67" t="s">
        <v>40</v>
      </c>
    </row>
    <row r="24" spans="1:12" ht="18.75">
      <c r="A24" s="6"/>
      <c r="B24" s="75"/>
      <c r="C24" s="78" t="s">
        <v>110</v>
      </c>
      <c r="D24" s="1"/>
      <c r="E24" s="17"/>
      <c r="L24" s="67" t="s">
        <v>41</v>
      </c>
    </row>
    <row r="25" spans="1:12" ht="18.75">
      <c r="A25" s="6"/>
      <c r="B25" s="146" t="s">
        <v>162</v>
      </c>
      <c r="C25" s="147" t="s">
        <v>106</v>
      </c>
      <c r="D25" s="186" t="s">
        <v>2</v>
      </c>
      <c r="E25" s="90" t="str">
        <f>IF(E13&lt;&gt;"",E13,"")</f>
        <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75"/>
      <c r="E47" s="191" t="str">
        <f>IF(E13&lt;&gt;"",E13,"")</f>
        <v/>
      </c>
      <c r="L47" s="67" t="s">
        <v>64</v>
      </c>
    </row>
    <row r="48" spans="1:12" ht="18.75">
      <c r="A48" s="6"/>
      <c r="B48" s="146" t="s">
        <v>182</v>
      </c>
      <c r="C48" s="189" t="s">
        <v>122</v>
      </c>
      <c r="D48" s="276"/>
      <c r="E48" s="192">
        <f>'Wksh 1 - Market Experience'!F46</f>
        <v>0</v>
      </c>
      <c r="L48" s="67" t="s">
        <v>65</v>
      </c>
    </row>
    <row r="49" spans="1:12" ht="18.75">
      <c r="A49" s="6"/>
      <c r="B49" s="146" t="s">
        <v>183</v>
      </c>
      <c r="C49" s="189" t="s">
        <v>123</v>
      </c>
      <c r="D49" s="276"/>
      <c r="E49" s="193"/>
      <c r="L49" s="67" t="s">
        <v>66</v>
      </c>
    </row>
    <row r="50" spans="1:12" ht="18.75">
      <c r="A50" s="6"/>
      <c r="B50" s="146" t="s">
        <v>184</v>
      </c>
      <c r="C50" s="189" t="s">
        <v>124</v>
      </c>
      <c r="D50" s="276"/>
      <c r="E50" s="193"/>
      <c r="L50" s="67" t="s">
        <v>67</v>
      </c>
    </row>
    <row r="51" spans="1:12" ht="18.75">
      <c r="A51" s="6"/>
      <c r="B51" s="148" t="s">
        <v>185</v>
      </c>
      <c r="C51" s="190" t="s">
        <v>125</v>
      </c>
      <c r="D51" s="277"/>
      <c r="E51" s="193"/>
      <c r="L51" s="67" t="s">
        <v>68</v>
      </c>
    </row>
    <row r="52" spans="1:12" ht="18.75">
      <c r="A52" s="6"/>
      <c r="C52" s="82" t="s">
        <v>133</v>
      </c>
      <c r="D52" s="6"/>
      <c r="L52" s="67" t="s">
        <v>69</v>
      </c>
    </row>
    <row r="53" spans="1:12" ht="18.75">
      <c r="A53" s="6"/>
      <c r="B53" s="146" t="s">
        <v>186</v>
      </c>
      <c r="C53" s="172" t="s">
        <v>134</v>
      </c>
      <c r="D53" s="275"/>
      <c r="E53" s="196"/>
      <c r="F53" s="5"/>
      <c r="L53" s="67" t="s">
        <v>70</v>
      </c>
    </row>
    <row r="54" spans="1:12" ht="18.75">
      <c r="A54" s="6"/>
      <c r="B54" s="146" t="s">
        <v>187</v>
      </c>
      <c r="C54" s="172" t="s">
        <v>135</v>
      </c>
      <c r="D54" s="276"/>
      <c r="E54" s="196"/>
      <c r="F54" s="5"/>
      <c r="L54" s="67" t="s">
        <v>71</v>
      </c>
    </row>
    <row r="55" spans="1:12" ht="18.75">
      <c r="A55" s="6"/>
      <c r="B55" s="146" t="s">
        <v>188</v>
      </c>
      <c r="C55" s="172" t="s">
        <v>12</v>
      </c>
      <c r="D55" s="276"/>
      <c r="E55" s="196"/>
      <c r="F55" s="5"/>
      <c r="L55" s="67" t="s">
        <v>72</v>
      </c>
    </row>
    <row r="56" spans="1:12" ht="18.75">
      <c r="A56" s="6"/>
      <c r="B56" s="146" t="s">
        <v>189</v>
      </c>
      <c r="C56" s="189" t="s">
        <v>126</v>
      </c>
      <c r="D56" s="276"/>
      <c r="E56" s="193"/>
      <c r="F56" s="5"/>
      <c r="L56" s="67" t="s">
        <v>73</v>
      </c>
    </row>
    <row r="57" spans="1:12" ht="18.75">
      <c r="A57" s="6"/>
      <c r="B57" s="148" t="s">
        <v>190</v>
      </c>
      <c r="C57" s="194" t="s">
        <v>79</v>
      </c>
      <c r="D57" s="277"/>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L0+pNcsHkujgSOAqtEn+jDj6NQzhnwgSSkQHLLsPtbUDdQKq09DGj4vv1PnJdpXuqfRMu83vIJeuX5Bz2HWS1w==" saltValue="Ldg0GiIgdMBdiu1fL+1E0g==" spinCount="100000" sheet="1" objects="1" scenario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4" ma:contentTypeDescription="Create a new document." ma:contentTypeScope="" ma:versionID="6a3aa85f312e47e514348805f98d0cd9">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b414e923fa279b771d39f2abf309a6fa"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be616c46-e0d1-41bc-b79c-3bf75d8f213d" xsi:nil="true"/>
    <lcf76f155ced4ddcb4097134ff3c332f xmlns="9843cd8e-b180-420a-af90-bd892b9b7a1b">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2.xml><?xml version="1.0" encoding="utf-8"?>
<ds:datastoreItem xmlns:ds="http://schemas.openxmlformats.org/officeDocument/2006/customXml" ds:itemID="{D0134506-12DB-47B5-B01F-7589F0D944C8}"/>
</file>

<file path=customXml/itemProps3.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Dawson, Michael</cp:lastModifiedBy>
  <dcterms:created xsi:type="dcterms:W3CDTF">2013-12-09T20:12:41Z</dcterms:created>
  <dcterms:modified xsi:type="dcterms:W3CDTF">2023-06-26T14:16:22Z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Order">
    <vt:r8>14997100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ies>
</file>