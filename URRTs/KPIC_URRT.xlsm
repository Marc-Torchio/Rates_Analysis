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36DB6429-D38F-4FB5-B5B3-31445D5646DE}"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1080" yWindow="1080" windowWidth="15375" windowHeight="787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PlanTemplate!$K$10:$K$22</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Y82" i="13"/>
  <c r="X82" i="13"/>
  <c r="W82" i="13"/>
  <c r="V82" i="13"/>
  <c r="U82" i="13"/>
  <c r="T82" i="13"/>
  <c r="S82" i="13"/>
  <c r="R82" i="13"/>
  <c r="Q82" i="13"/>
  <c r="P82" i="13"/>
  <c r="O82" i="13"/>
  <c r="N82" i="13"/>
  <c r="M82" i="13"/>
  <c r="L82" i="13"/>
  <c r="K82" i="13"/>
  <c r="J82" i="13"/>
  <c r="I82" i="13"/>
  <c r="H82" i="13"/>
  <c r="G82" i="13"/>
  <c r="F82" i="13"/>
  <c r="E82" i="13"/>
  <c r="Y81" i="13"/>
  <c r="X81" i="13"/>
  <c r="W81" i="13"/>
  <c r="V81" i="13"/>
  <c r="U81" i="13"/>
  <c r="T81" i="13"/>
  <c r="S81" i="13"/>
  <c r="R81" i="13"/>
  <c r="Q81" i="13"/>
  <c r="P81" i="13"/>
  <c r="O81" i="13"/>
  <c r="N81" i="13"/>
  <c r="M81" i="13"/>
  <c r="L81" i="13"/>
  <c r="K81" i="13"/>
  <c r="J81" i="13"/>
  <c r="I81" i="13"/>
  <c r="H81" i="13"/>
  <c r="G81" i="13"/>
  <c r="F81" i="13"/>
  <c r="E81" i="13"/>
  <c r="Y80" i="13"/>
  <c r="X80" i="13"/>
  <c r="W80" i="13"/>
  <c r="V80" i="13"/>
  <c r="U80" i="13"/>
  <c r="T80" i="13"/>
  <c r="S80" i="13"/>
  <c r="R80" i="13"/>
  <c r="Q80" i="13"/>
  <c r="P80" i="13"/>
  <c r="O80" i="13"/>
  <c r="N80" i="13"/>
  <c r="M80" i="13"/>
  <c r="L80" i="13"/>
  <c r="K80" i="13"/>
  <c r="J80" i="13"/>
  <c r="I80" i="13"/>
  <c r="H80" i="13"/>
  <c r="G80" i="13"/>
  <c r="F80" i="13"/>
  <c r="E80" i="13"/>
  <c r="Y79" i="13"/>
  <c r="X79" i="13"/>
  <c r="W79" i="13"/>
  <c r="V79" i="13"/>
  <c r="U79" i="13"/>
  <c r="T79" i="13"/>
  <c r="S79" i="13"/>
  <c r="R79" i="13"/>
  <c r="Q79" i="13"/>
  <c r="P79" i="13"/>
  <c r="O79" i="13"/>
  <c r="N79" i="13"/>
  <c r="M79" i="13"/>
  <c r="L79" i="13"/>
  <c r="K79" i="13"/>
  <c r="J79" i="13"/>
  <c r="I79" i="13"/>
  <c r="H79" i="13"/>
  <c r="G79" i="13"/>
  <c r="F79" i="13"/>
  <c r="E79" i="13"/>
  <c r="Y78" i="13"/>
  <c r="X78" i="13"/>
  <c r="W78" i="13"/>
  <c r="V78" i="13"/>
  <c r="U78" i="13"/>
  <c r="T78" i="13"/>
  <c r="S78" i="13"/>
  <c r="R78" i="13"/>
  <c r="Q78" i="13"/>
  <c r="P78" i="13"/>
  <c r="O78" i="13"/>
  <c r="N78" i="13"/>
  <c r="M78" i="13"/>
  <c r="L78" i="13"/>
  <c r="K78" i="13"/>
  <c r="J78" i="13"/>
  <c r="I78" i="13"/>
  <c r="H78" i="13"/>
  <c r="G78" i="13"/>
  <c r="F78" i="13"/>
  <c r="E78" i="13"/>
  <c r="Y77" i="13"/>
  <c r="X77" i="13"/>
  <c r="W77" i="13"/>
  <c r="V77" i="13"/>
  <c r="U77" i="13"/>
  <c r="T77" i="13"/>
  <c r="S77" i="13"/>
  <c r="R77" i="13"/>
  <c r="Q77" i="13"/>
  <c r="P77" i="13"/>
  <c r="O77" i="13"/>
  <c r="N77" i="13"/>
  <c r="M77" i="13"/>
  <c r="L77" i="13"/>
  <c r="K77" i="13"/>
  <c r="J77" i="13"/>
  <c r="I77" i="13"/>
  <c r="H77" i="13"/>
  <c r="G77" i="13"/>
  <c r="F77" i="13"/>
  <c r="E77" i="13"/>
  <c r="Y76" i="13"/>
  <c r="X76" i="13"/>
  <c r="W76" i="13"/>
  <c r="V76" i="13"/>
  <c r="U76" i="13"/>
  <c r="T76" i="13"/>
  <c r="S76" i="13"/>
  <c r="R76" i="13"/>
  <c r="Q76" i="13"/>
  <c r="P76" i="13"/>
  <c r="O76" i="13"/>
  <c r="N76" i="13"/>
  <c r="M76" i="13"/>
  <c r="L76" i="13"/>
  <c r="K76" i="13"/>
  <c r="J76" i="13"/>
  <c r="I76" i="13"/>
  <c r="H76" i="13"/>
  <c r="G76" i="13"/>
  <c r="F76" i="13"/>
  <c r="E76" i="13"/>
  <c r="Y74" i="13"/>
  <c r="X74" i="13"/>
  <c r="W74" i="13"/>
  <c r="V74" i="13"/>
  <c r="U74" i="13"/>
  <c r="T74" i="13"/>
  <c r="S74" i="13"/>
  <c r="R74" i="13"/>
  <c r="Q74" i="13"/>
  <c r="P74" i="13"/>
  <c r="O74" i="13"/>
  <c r="N74" i="13"/>
  <c r="M74" i="13"/>
  <c r="L74" i="13"/>
  <c r="K74" i="13"/>
  <c r="J74" i="13"/>
  <c r="I74" i="13"/>
  <c r="H74" i="13"/>
  <c r="G74" i="13"/>
  <c r="F74" i="13"/>
  <c r="E74" i="13"/>
  <c r="Y73" i="13"/>
  <c r="X73" i="13"/>
  <c r="W73" i="13"/>
  <c r="V73" i="13"/>
  <c r="U73" i="13"/>
  <c r="T73" i="13"/>
  <c r="S73" i="13"/>
  <c r="R73" i="13"/>
  <c r="Q73" i="13"/>
  <c r="P73" i="13"/>
  <c r="O73" i="13"/>
  <c r="N73" i="13"/>
  <c r="M73" i="13"/>
  <c r="L73" i="13"/>
  <c r="K73" i="13"/>
  <c r="J73" i="13"/>
  <c r="I73" i="13"/>
  <c r="H73" i="13"/>
  <c r="G73" i="13"/>
  <c r="F73" i="13"/>
  <c r="E73" i="13"/>
  <c r="Y72" i="13"/>
  <c r="X72" i="13"/>
  <c r="W72" i="13"/>
  <c r="V72" i="13"/>
  <c r="U72" i="13"/>
  <c r="T72" i="13"/>
  <c r="S72" i="13"/>
  <c r="R72" i="13"/>
  <c r="Q72" i="13"/>
  <c r="P72" i="13"/>
  <c r="O72" i="13"/>
  <c r="N72" i="13"/>
  <c r="M72" i="13"/>
  <c r="L72" i="13"/>
  <c r="K72" i="13"/>
  <c r="J72" i="13"/>
  <c r="I72" i="13"/>
  <c r="H72" i="13"/>
  <c r="G72" i="13"/>
  <c r="F72" i="13"/>
  <c r="E72" i="13"/>
  <c r="Y71" i="13"/>
  <c r="X71" i="13"/>
  <c r="W71" i="13"/>
  <c r="V71" i="13"/>
  <c r="U71" i="13"/>
  <c r="T71" i="13"/>
  <c r="S71" i="13"/>
  <c r="R71" i="13"/>
  <c r="Q71" i="13"/>
  <c r="P71" i="13"/>
  <c r="O71" i="13"/>
  <c r="N71" i="13"/>
  <c r="M71" i="13"/>
  <c r="L71" i="13"/>
  <c r="K71" i="13"/>
  <c r="J71" i="13"/>
  <c r="I71" i="13"/>
  <c r="H71" i="13"/>
  <c r="G71" i="13"/>
  <c r="F71" i="13"/>
  <c r="E71" i="13"/>
  <c r="Y70" i="13"/>
  <c r="X70" i="13"/>
  <c r="W70" i="13"/>
  <c r="V70" i="13"/>
  <c r="U70" i="13"/>
  <c r="T70" i="13"/>
  <c r="S70" i="13"/>
  <c r="R70" i="13"/>
  <c r="Q70" i="13"/>
  <c r="P70" i="13"/>
  <c r="O70" i="13"/>
  <c r="N70" i="13"/>
  <c r="M70" i="13"/>
  <c r="L70" i="13"/>
  <c r="K70" i="13"/>
  <c r="J70" i="13"/>
  <c r="I70" i="13"/>
  <c r="H70" i="13"/>
  <c r="G70" i="13"/>
  <c r="F70" i="13"/>
  <c r="E70" i="13"/>
  <c r="Y69" i="13"/>
  <c r="X69" i="13"/>
  <c r="W69" i="13"/>
  <c r="V69" i="13"/>
  <c r="U69" i="13"/>
  <c r="T69" i="13"/>
  <c r="S69" i="13"/>
  <c r="R69" i="13"/>
  <c r="Q69" i="13"/>
  <c r="P69" i="13"/>
  <c r="O69" i="13"/>
  <c r="N69" i="13"/>
  <c r="M69" i="13"/>
  <c r="L69" i="13"/>
  <c r="K69" i="13"/>
  <c r="J69" i="13"/>
  <c r="I69" i="13"/>
  <c r="H69" i="13"/>
  <c r="G69" i="13"/>
  <c r="F69" i="13"/>
  <c r="E69" i="13"/>
  <c r="Y68" i="13"/>
  <c r="X68" i="13"/>
  <c r="W68" i="13"/>
  <c r="V68" i="13"/>
  <c r="U68" i="13"/>
  <c r="T68" i="13"/>
  <c r="S68" i="13"/>
  <c r="R68" i="13"/>
  <c r="Q68" i="13"/>
  <c r="P68" i="13"/>
  <c r="O68" i="13"/>
  <c r="N68" i="13"/>
  <c r="M68" i="13"/>
  <c r="L68" i="13"/>
  <c r="K68" i="13"/>
  <c r="J68" i="13"/>
  <c r="I68" i="13"/>
  <c r="H68" i="13"/>
  <c r="G68" i="13"/>
  <c r="F68" i="13"/>
  <c r="E68" i="13"/>
  <c r="Y67" i="13"/>
  <c r="X67" i="13"/>
  <c r="W67" i="13"/>
  <c r="V67" i="13"/>
  <c r="U67" i="13"/>
  <c r="T67" i="13"/>
  <c r="S67" i="13"/>
  <c r="R67" i="13"/>
  <c r="Q67" i="13"/>
  <c r="P67" i="13"/>
  <c r="O67" i="13"/>
  <c r="N67" i="13"/>
  <c r="M67" i="13"/>
  <c r="L67" i="13"/>
  <c r="K67" i="13"/>
  <c r="J67" i="13"/>
  <c r="I67" i="13"/>
  <c r="H67" i="13"/>
  <c r="G67" i="13"/>
  <c r="F67" i="13"/>
  <c r="E67" i="13"/>
  <c r="Y66" i="13"/>
  <c r="X66" i="13"/>
  <c r="W66" i="13"/>
  <c r="V66" i="13"/>
  <c r="U66" i="13"/>
  <c r="T66" i="13"/>
  <c r="S66" i="13"/>
  <c r="R66" i="13"/>
  <c r="Q66" i="13"/>
  <c r="P66" i="13"/>
  <c r="O66" i="13"/>
  <c r="N66" i="13"/>
  <c r="M66" i="13"/>
  <c r="L66" i="13"/>
  <c r="K66" i="13"/>
  <c r="J66" i="13"/>
  <c r="I66" i="13"/>
  <c r="H66" i="13"/>
  <c r="G66" i="13"/>
  <c r="F66" i="13"/>
  <c r="E66" i="13"/>
  <c r="Y65" i="13"/>
  <c r="X65" i="13"/>
  <c r="W65" i="13"/>
  <c r="V65" i="13"/>
  <c r="U65" i="13"/>
  <c r="T65" i="13"/>
  <c r="S65" i="13"/>
  <c r="R65" i="13"/>
  <c r="Q65" i="13"/>
  <c r="P65" i="13"/>
  <c r="O65" i="13"/>
  <c r="N65" i="13"/>
  <c r="M65" i="13"/>
  <c r="L65" i="13"/>
  <c r="K65" i="13"/>
  <c r="J65" i="13"/>
  <c r="I65" i="13"/>
  <c r="H65" i="13"/>
  <c r="G65" i="13"/>
  <c r="F65" i="13"/>
  <c r="E65" i="13"/>
  <c r="Y62" i="13"/>
  <c r="X62" i="13"/>
  <c r="W62" i="13"/>
  <c r="V62" i="13"/>
  <c r="U62" i="13"/>
  <c r="T62" i="13"/>
  <c r="S62" i="13"/>
  <c r="R62" i="13"/>
  <c r="Q62" i="13"/>
  <c r="P62" i="13"/>
  <c r="O62" i="13"/>
  <c r="N62" i="13"/>
  <c r="M62" i="13"/>
  <c r="L62" i="13"/>
  <c r="K62" i="13"/>
  <c r="J62" i="13"/>
  <c r="I62" i="13"/>
  <c r="H62" i="13"/>
  <c r="G62" i="13"/>
  <c r="F62" i="13"/>
  <c r="E62" i="13"/>
  <c r="E61" i="13"/>
  <c r="E60" i="13"/>
  <c r="E59" i="13"/>
  <c r="Y57" i="13"/>
  <c r="X57" i="13"/>
  <c r="W57" i="13"/>
  <c r="V57" i="13"/>
  <c r="U57" i="13"/>
  <c r="T57" i="13"/>
  <c r="S57" i="13"/>
  <c r="R57" i="13"/>
  <c r="Q57" i="13"/>
  <c r="P57" i="13"/>
  <c r="O57" i="13"/>
  <c r="N57" i="13"/>
  <c r="M57" i="13"/>
  <c r="L57" i="13"/>
  <c r="K57" i="13"/>
  <c r="J57" i="13"/>
  <c r="I57" i="13"/>
  <c r="H57" i="13"/>
  <c r="G57" i="13"/>
  <c r="F57" i="13"/>
  <c r="E57" i="13"/>
  <c r="E48" i="13"/>
  <c r="Y47" i="13"/>
  <c r="X47" i="13"/>
  <c r="W47" i="13"/>
  <c r="V47" i="13"/>
  <c r="U47" i="13"/>
  <c r="T47" i="13"/>
  <c r="S47" i="13"/>
  <c r="R47" i="13"/>
  <c r="Q47" i="13"/>
  <c r="P47" i="13"/>
  <c r="O47" i="13"/>
  <c r="N47" i="13"/>
  <c r="M47" i="13"/>
  <c r="L47" i="13"/>
  <c r="K47" i="13"/>
  <c r="J47" i="13"/>
  <c r="I47" i="13"/>
  <c r="H47" i="13"/>
  <c r="G47" i="13"/>
  <c r="F47" i="13"/>
  <c r="E47" i="13"/>
  <c r="Y44" i="13"/>
  <c r="X44" i="13"/>
  <c r="W44" i="13"/>
  <c r="V44" i="13"/>
  <c r="U44" i="13"/>
  <c r="T44" i="13"/>
  <c r="S44" i="13"/>
  <c r="R44" i="13"/>
  <c r="Q44" i="13"/>
  <c r="P44" i="13"/>
  <c r="O44" i="13"/>
  <c r="N44" i="13"/>
  <c r="M44" i="13"/>
  <c r="L44" i="13"/>
  <c r="K44" i="13"/>
  <c r="J44" i="13"/>
  <c r="I44" i="13"/>
  <c r="H44" i="13"/>
  <c r="G44" i="13"/>
  <c r="F44" i="13"/>
  <c r="E44" i="13"/>
  <c r="Y43" i="13"/>
  <c r="X43" i="13"/>
  <c r="W43" i="13"/>
  <c r="V43" i="13"/>
  <c r="U43" i="13"/>
  <c r="T43" i="13"/>
  <c r="S43" i="13"/>
  <c r="R43" i="13"/>
  <c r="Q43" i="13"/>
  <c r="P43" i="13"/>
  <c r="O43" i="13"/>
  <c r="N43" i="13"/>
  <c r="M43" i="13"/>
  <c r="L43" i="13"/>
  <c r="K43" i="13"/>
  <c r="J43" i="13"/>
  <c r="I43" i="13"/>
  <c r="H43" i="13"/>
  <c r="G43" i="13"/>
  <c r="F43" i="13"/>
  <c r="E43" i="13"/>
  <c r="Y42" i="13"/>
  <c r="X42" i="13"/>
  <c r="W42" i="13"/>
  <c r="V42" i="13"/>
  <c r="U42" i="13"/>
  <c r="T42" i="13"/>
  <c r="S42" i="13"/>
  <c r="R42" i="13"/>
  <c r="Q42" i="13"/>
  <c r="P42" i="13"/>
  <c r="O42" i="13"/>
  <c r="N42" i="13"/>
  <c r="M42" i="13"/>
  <c r="L42" i="13"/>
  <c r="K42" i="13"/>
  <c r="J42" i="13"/>
  <c r="I42" i="13"/>
  <c r="H42" i="13"/>
  <c r="G42" i="13"/>
  <c r="F42" i="13"/>
  <c r="E42" i="13"/>
  <c r="Y41" i="13"/>
  <c r="X41" i="13"/>
  <c r="W41" i="13"/>
  <c r="V41" i="13"/>
  <c r="U41" i="13"/>
  <c r="T41" i="13"/>
  <c r="S41" i="13"/>
  <c r="R41" i="13"/>
  <c r="Q41" i="13"/>
  <c r="P41" i="13"/>
  <c r="O41" i="13"/>
  <c r="N41" i="13"/>
  <c r="M41" i="13"/>
  <c r="L41" i="13"/>
  <c r="K41" i="13"/>
  <c r="J41" i="13"/>
  <c r="I41" i="13"/>
  <c r="H41" i="13"/>
  <c r="G41" i="13"/>
  <c r="F41" i="13"/>
  <c r="E41" i="13"/>
  <c r="Y40" i="13"/>
  <c r="X40" i="13"/>
  <c r="W40" i="13"/>
  <c r="V40" i="13"/>
  <c r="U40" i="13"/>
  <c r="T40" i="13"/>
  <c r="S40" i="13"/>
  <c r="R40" i="13"/>
  <c r="Q40" i="13"/>
  <c r="P40" i="13"/>
  <c r="O40" i="13"/>
  <c r="N40" i="13"/>
  <c r="M40" i="13"/>
  <c r="L40" i="13"/>
  <c r="K40" i="13"/>
  <c r="J40" i="13"/>
  <c r="I40" i="13"/>
  <c r="H40" i="13"/>
  <c r="G40" i="13"/>
  <c r="F40" i="13"/>
  <c r="E40" i="13"/>
  <c r="Y39" i="13"/>
  <c r="X39" i="13"/>
  <c r="W39" i="13"/>
  <c r="V39" i="13"/>
  <c r="U39" i="13"/>
  <c r="T39" i="13"/>
  <c r="S39" i="13"/>
  <c r="R39" i="13"/>
  <c r="Q39" i="13"/>
  <c r="P39" i="13"/>
  <c r="O39" i="13"/>
  <c r="N39" i="13"/>
  <c r="M39" i="13"/>
  <c r="L39" i="13"/>
  <c r="K39" i="13"/>
  <c r="J39" i="13"/>
  <c r="I39" i="13"/>
  <c r="H39" i="13"/>
  <c r="G39" i="13"/>
  <c r="F39" i="13"/>
  <c r="E39" i="13"/>
  <c r="Y38" i="13"/>
  <c r="X38" i="13"/>
  <c r="W38" i="13"/>
  <c r="V38" i="13"/>
  <c r="U38" i="13"/>
  <c r="T38" i="13"/>
  <c r="S38" i="13"/>
  <c r="R38" i="13"/>
  <c r="Q38" i="13"/>
  <c r="P38" i="13"/>
  <c r="O38" i="13"/>
  <c r="N38" i="13"/>
  <c r="M38" i="13"/>
  <c r="L38" i="13"/>
  <c r="K38" i="13"/>
  <c r="J38" i="13"/>
  <c r="I38" i="13"/>
  <c r="H38" i="13"/>
  <c r="G38" i="13"/>
  <c r="F38" i="13"/>
  <c r="E38" i="13"/>
  <c r="Y36" i="13"/>
  <c r="X36" i="13"/>
  <c r="W36" i="13"/>
  <c r="V36" i="13"/>
  <c r="U36" i="13"/>
  <c r="T36" i="13"/>
  <c r="S36" i="13"/>
  <c r="R36" i="13"/>
  <c r="Q36" i="13"/>
  <c r="P36" i="13"/>
  <c r="O36" i="13"/>
  <c r="N36" i="13"/>
  <c r="M36" i="13"/>
  <c r="L36" i="13"/>
  <c r="K36" i="13"/>
  <c r="J36" i="13"/>
  <c r="I36" i="13"/>
  <c r="H36" i="13"/>
  <c r="G36" i="13"/>
  <c r="F36" i="13"/>
  <c r="E36" i="13"/>
  <c r="Y35" i="13"/>
  <c r="X35" i="13"/>
  <c r="W35" i="13"/>
  <c r="V35" i="13"/>
  <c r="U35" i="13"/>
  <c r="T35" i="13"/>
  <c r="S35" i="13"/>
  <c r="R35" i="13"/>
  <c r="Q35" i="13"/>
  <c r="P35" i="13"/>
  <c r="O35" i="13"/>
  <c r="N35" i="13"/>
  <c r="M35" i="13"/>
  <c r="L35" i="13"/>
  <c r="K35" i="13"/>
  <c r="J35" i="13"/>
  <c r="I35" i="13"/>
  <c r="H35" i="13"/>
  <c r="G35" i="13"/>
  <c r="F35" i="13"/>
  <c r="E35" i="13"/>
  <c r="Y34" i="13"/>
  <c r="X34" i="13"/>
  <c r="W34" i="13"/>
  <c r="V34" i="13"/>
  <c r="U34" i="13"/>
  <c r="T34" i="13"/>
  <c r="S34" i="13"/>
  <c r="R34" i="13"/>
  <c r="Q34" i="13"/>
  <c r="P34" i="13"/>
  <c r="O34" i="13"/>
  <c r="N34" i="13"/>
  <c r="M34" i="13"/>
  <c r="L34" i="13"/>
  <c r="K34" i="13"/>
  <c r="J34" i="13"/>
  <c r="I34" i="13"/>
  <c r="H34" i="13"/>
  <c r="G34" i="13"/>
  <c r="F34" i="13"/>
  <c r="E34" i="13"/>
  <c r="Y33" i="13"/>
  <c r="X33" i="13"/>
  <c r="W33" i="13"/>
  <c r="V33" i="13"/>
  <c r="U33" i="13"/>
  <c r="T33" i="13"/>
  <c r="S33" i="13"/>
  <c r="R33" i="13"/>
  <c r="Q33" i="13"/>
  <c r="P33" i="13"/>
  <c r="O33" i="13"/>
  <c r="N33" i="13"/>
  <c r="M33" i="13"/>
  <c r="L33" i="13"/>
  <c r="K33" i="13"/>
  <c r="J33" i="13"/>
  <c r="I33" i="13"/>
  <c r="H33" i="13"/>
  <c r="G33" i="13"/>
  <c r="F33" i="13"/>
  <c r="E33" i="13"/>
  <c r="Y32" i="13"/>
  <c r="X32" i="13"/>
  <c r="W32" i="13"/>
  <c r="V32" i="13"/>
  <c r="U32" i="13"/>
  <c r="T32" i="13"/>
  <c r="S32" i="13"/>
  <c r="R32" i="13"/>
  <c r="Q32" i="13"/>
  <c r="P32" i="13"/>
  <c r="O32" i="13"/>
  <c r="N32" i="13"/>
  <c r="M32" i="13"/>
  <c r="L32" i="13"/>
  <c r="K32" i="13"/>
  <c r="J32" i="13"/>
  <c r="I32" i="13"/>
  <c r="H32" i="13"/>
  <c r="G32" i="13"/>
  <c r="F32" i="13"/>
  <c r="E32" i="13"/>
  <c r="Y31" i="13"/>
  <c r="X31" i="13"/>
  <c r="W31" i="13"/>
  <c r="V31" i="13"/>
  <c r="U31" i="13"/>
  <c r="T31" i="13"/>
  <c r="S31" i="13"/>
  <c r="R31" i="13"/>
  <c r="Q31" i="13"/>
  <c r="P31" i="13"/>
  <c r="O31" i="13"/>
  <c r="N31" i="13"/>
  <c r="M31" i="13"/>
  <c r="L31" i="13"/>
  <c r="K31" i="13"/>
  <c r="J31" i="13"/>
  <c r="I31" i="13"/>
  <c r="H31" i="13"/>
  <c r="G31" i="13"/>
  <c r="F31" i="13"/>
  <c r="E31" i="13"/>
  <c r="Y30" i="13"/>
  <c r="X30" i="13"/>
  <c r="W30" i="13"/>
  <c r="V30" i="13"/>
  <c r="U30" i="13"/>
  <c r="T30" i="13"/>
  <c r="S30" i="13"/>
  <c r="R30" i="13"/>
  <c r="Q30" i="13"/>
  <c r="P30" i="13"/>
  <c r="O30" i="13"/>
  <c r="N30" i="13"/>
  <c r="M30" i="13"/>
  <c r="L30" i="13"/>
  <c r="K30" i="13"/>
  <c r="J30" i="13"/>
  <c r="I30" i="13"/>
  <c r="H30" i="13"/>
  <c r="G30" i="13"/>
  <c r="F30" i="13"/>
  <c r="E30" i="13"/>
  <c r="Y29" i="13"/>
  <c r="X29" i="13"/>
  <c r="W29" i="13"/>
  <c r="V29" i="13"/>
  <c r="U29" i="13"/>
  <c r="T29" i="13"/>
  <c r="S29" i="13"/>
  <c r="R29" i="13"/>
  <c r="Q29" i="13"/>
  <c r="P29" i="13"/>
  <c r="O29" i="13"/>
  <c r="N29" i="13"/>
  <c r="M29" i="13"/>
  <c r="L29" i="13"/>
  <c r="K29" i="13"/>
  <c r="J29" i="13"/>
  <c r="I29" i="13"/>
  <c r="H29" i="13"/>
  <c r="G29" i="13"/>
  <c r="F29" i="13"/>
  <c r="E29" i="13"/>
  <c r="Y28" i="13"/>
  <c r="X28" i="13"/>
  <c r="W28" i="13"/>
  <c r="V28" i="13"/>
  <c r="U28" i="13"/>
  <c r="T28" i="13"/>
  <c r="S28" i="13"/>
  <c r="R28" i="13"/>
  <c r="Q28" i="13"/>
  <c r="P28" i="13"/>
  <c r="O28" i="13"/>
  <c r="N28" i="13"/>
  <c r="M28" i="13"/>
  <c r="L28" i="13"/>
  <c r="K28" i="13"/>
  <c r="J28" i="13"/>
  <c r="I28" i="13"/>
  <c r="H28" i="13"/>
  <c r="G28" i="13"/>
  <c r="F28" i="13"/>
  <c r="E28" i="13"/>
  <c r="Y27" i="13"/>
  <c r="X27" i="13"/>
  <c r="W27" i="13"/>
  <c r="V27" i="13"/>
  <c r="U27" i="13"/>
  <c r="T27" i="13"/>
  <c r="S27" i="13"/>
  <c r="R27" i="13"/>
  <c r="Q27" i="13"/>
  <c r="P27" i="13"/>
  <c r="O27" i="13"/>
  <c r="N27" i="13"/>
  <c r="M27" i="13"/>
  <c r="L27" i="13"/>
  <c r="K27" i="13"/>
  <c r="J27" i="13"/>
  <c r="I27" i="13"/>
  <c r="H27" i="13"/>
  <c r="G27" i="13"/>
  <c r="F27" i="13"/>
  <c r="E27" i="13"/>
  <c r="Y26" i="13"/>
  <c r="X26" i="13"/>
  <c r="W26" i="13"/>
  <c r="V26" i="13"/>
  <c r="U26" i="13"/>
  <c r="T26" i="13"/>
  <c r="S26" i="13"/>
  <c r="R26" i="13"/>
  <c r="Q26" i="13"/>
  <c r="P26" i="13"/>
  <c r="O26" i="13"/>
  <c r="N26" i="13"/>
  <c r="M26" i="13"/>
  <c r="L26" i="13"/>
  <c r="K26" i="13"/>
  <c r="J26" i="13"/>
  <c r="I26" i="13"/>
  <c r="H26" i="13"/>
  <c r="G26" i="13"/>
  <c r="F26" i="13"/>
  <c r="E26" i="13"/>
  <c r="Y25" i="13"/>
  <c r="X25" i="13"/>
  <c r="W25" i="13"/>
  <c r="V25" i="13"/>
  <c r="U25" i="13"/>
  <c r="T25" i="13"/>
  <c r="S25" i="13"/>
  <c r="R25" i="13"/>
  <c r="Q25" i="13"/>
  <c r="P25" i="13"/>
  <c r="O25" i="13"/>
  <c r="N25" i="13"/>
  <c r="M25" i="13"/>
  <c r="L25" i="13"/>
  <c r="K25" i="13"/>
  <c r="J25" i="13"/>
  <c r="I25" i="13"/>
  <c r="H25" i="13"/>
  <c r="G25" i="13"/>
  <c r="F25" i="13"/>
  <c r="E25" i="13"/>
  <c r="E22" i="13"/>
  <c r="Q21" i="13"/>
  <c r="E21" i="13"/>
</calcChain>
</file>

<file path=xl/sharedStrings.xml><?xml version="1.0" encoding="utf-8"?>
<sst xmlns="http://schemas.openxmlformats.org/spreadsheetml/2006/main" count="572" uniqueCount="282">
  <si>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</si>
  <si>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</si>
  <si>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</si>
  <si>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</si>
  <si>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</si>
  <si>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</si>
  <si>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</si>
  <si>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</si>
  <si>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</si>
  <si>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</si>
  <si>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</si>
  <si>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</si>
  <si>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</si>
  <si>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</si>
  <si>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</si>
  <si>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</si>
  <si>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</si>
  <si>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</si>
  <si>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</si>
  <si>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</si>
  <si>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</si>
  <si>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</si>
  <si>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</si>
  <si>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</si>
  <si>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</si>
  <si>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</si>
  <si>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</si>
  <si>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</si>
  <si>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</si>
  <si>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</si>
  <si>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</si>
  <si>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</si>
  <si>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</si>
  <si>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</si>
  <si>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</si>
  <si>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</si>
  <si>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</si>
  <si>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</si>
  <si>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</si>
  <si>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</si>
  <si>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</si>
  <si>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</si>
  <si>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</si>
  <si>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</si>
  <si>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</si>
  <si>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</si>
  <si>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</si>
  <si>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</si>
  <si>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</si>
  <si>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</si>
  <si>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</si>
  <si>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</si>
  <si>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</si>
  <si>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</si>
  <si>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</si>
  <si>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</si>
  <si>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</si>
  <si>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</si>
  <si>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</si>
  <si>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</si>
  <si>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</si>
  <si>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</si>
  <si>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</si>
  <si>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</si>
  <si>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</si>
  <si>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</si>
  <si>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</si>
  <si>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</si>
  <si>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</si>
  <si>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</si>
  <si>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</si>
  <si>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</si>
  <si>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</si>
  <si>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</si>
  <si>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</si>
  <si>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</si>
  <si>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</si>
  <si>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</si>
  <si>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</si>
  <si>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</si>
  <si>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</si>
  <si>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</si>
  <si>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</si>
  <si>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</si>
  <si>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</si>
  <si>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</si>
  <si>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</si>
  <si>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</si>
  <si>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</si>
  <si>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</si>
  <si>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</si>
  <si>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</si>
  <si>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</si>
  <si>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</si>
  <si>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</si>
  <si>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</si>
  <si>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</si>
  <si>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</si>
  <si>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</si>
  <si>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</si>
  <si>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</si>
  <si>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</si>
  <si>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</si>
  <si>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</si>
  <si>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</si>
  <si>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</si>
  <si>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</si>
  <si>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</si>
  <si>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</si>
  <si>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</si>
  <si>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</si>
  <si>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</si>
  <si>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</si>
  <si>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</si>
  <si>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</si>
  <si>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</si>
  <si>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</si>
  <si>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</si>
  <si>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</si>
  <si>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</si>
  <si>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</si>
  <si>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</si>
  <si>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</si>
  <si>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</si>
  <si>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</si>
  <si>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</si>
  <si>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</si>
  <si>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</si>
  <si>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</si>
  <si>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</si>
  <si>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</si>
  <si>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</si>
  <si>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</si>
  <si>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</si>
  <si>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</si>
  <si>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</si>
  <si>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</si>
  <si>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</si>
  <si>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</si>
  <si>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</si>
  <si>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</si>
  <si>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</si>
  <si>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</si>
  <si>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</si>
  <si>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</si>
  <si>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</si>
  <si>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</si>
  <si>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</si>
  <si>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</si>
  <si>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</si>
  <si>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</si>
  <si>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</si>
  <si>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</si>
  <si>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</si>
  <si>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</si>
  <si>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</si>
  <si>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</si>
  <si>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</si>
  <si>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</si>
  <si>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</si>
  <si>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</si>
  <si>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</si>
  <si>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</si>
  <si>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</si>
  <si>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</si>
  <si>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</si>
  <si>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</si>
  <si>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</si>
  <si>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</si>
  <si>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</si>
  <si>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</si>
  <si>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</si>
  <si>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</si>
  <si>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</si>
  <si>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</si>
  <si>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</si>
  <si>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</si>
  <si>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</si>
  <si>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</si>
  <si>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</si>
  <si>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</si>
  <si>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</si>
  <si>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</si>
  <si>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</si>
  <si>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</si>
  <si>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</si>
  <si>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</si>
  <si>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</si>
  <si>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</si>
  <si>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</si>
  <si>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</si>
  <si>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</si>
  <si>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</si>
  <si>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</si>
  <si>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</si>
  <si>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</si>
  <si>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</si>
  <si>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</si>
  <si>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</si>
  <si>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</si>
  <si>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</si>
  <si>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</si>
  <si>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</si>
  <si>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</si>
  <si>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</si>
  <si>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</si>
  <si>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</si>
  <si>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</si>
  <si>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</si>
  <si>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</si>
  <si>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</si>
  <si>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</si>
  <si>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</si>
  <si>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</si>
  <si>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</si>
  <si>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</si>
  <si>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</si>
  <si>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</si>
  <si>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</si>
  <si>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</si>
  <si>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</si>
  <si>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</si>
  <si>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</si>
  <si>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</si>
  <si>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</si>
  <si>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</si>
  <si>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</si>
  <si>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</si>
  <si>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</si>
  <si>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Kaiser Permanente Insurance Company</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</si>
  <si>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</si>
  <si>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</si>
  <si>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</si>
  <si>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</si>
  <si>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</si>
  <si>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</si>
  <si>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</si>
  <si>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</si>
  <si>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</si>
  <si>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</si>
  <si>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</si>
  <si>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</si>
  <si>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</si>
  <si>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</si>
  <si>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82302GA003</t>
  </si>
  <si>
    <t>PPO</t>
  </si>
  <si>
    <t>82302GA0030001</t>
  </si>
  <si>
    <t>PPO 0/0/20/S11</t>
  </si>
  <si>
    <t>82302GA0030004</t>
  </si>
  <si>
    <t>PPO/1000/20/30/S11</t>
  </si>
  <si>
    <t>82302GA0030005</t>
  </si>
  <si>
    <t>PPO/2500/10/30/S11</t>
  </si>
  <si>
    <t>82302GA0030008</t>
  </si>
  <si>
    <t>PPO/3850/30/50/S11</t>
  </si>
  <si>
    <t>82302GA0030009</t>
  </si>
  <si>
    <t>PPO/4850/30/50/S11</t>
  </si>
  <si>
    <t>82302GA0030010</t>
  </si>
  <si>
    <t>PPOHDHP/3800/20/S11</t>
  </si>
  <si>
    <t>82302GA0030011</t>
  </si>
  <si>
    <t>PPOHDHP/5000/20/S11</t>
  </si>
  <si>
    <t>82302GA0030013</t>
  </si>
  <si>
    <t>PPO/6500/20/60/S11</t>
  </si>
  <si>
    <t>82302GA0030016</t>
  </si>
  <si>
    <t>PPOHDHP/7250/10/S11</t>
  </si>
  <si>
    <t>82302GA0030003</t>
  </si>
  <si>
    <t>PPO/0/0/30/S8</t>
  </si>
  <si>
    <t>82302GA0030006</t>
  </si>
  <si>
    <t>PPO/2250/20/30/S8</t>
  </si>
  <si>
    <t>82302GA0030007</t>
  </si>
  <si>
    <t>PPO/2500/35/50/S8</t>
  </si>
  <si>
    <t>82302GA002</t>
  </si>
  <si>
    <t>PPO OOA</t>
  </si>
  <si>
    <t>82302GA0020017</t>
  </si>
  <si>
    <t>82302GA0020020</t>
  </si>
  <si>
    <t>82302GA0020021</t>
  </si>
  <si>
    <t>82302GA0020024</t>
  </si>
  <si>
    <t>82302GA0020025</t>
  </si>
  <si>
    <t>82302GA0020026</t>
  </si>
  <si>
    <t>82302GA0020027</t>
  </si>
  <si>
    <t>82302GA0020029</t>
  </si>
  <si>
    <t>82302GA0020032</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</si>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</sst>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82302</v>
      </c>
      <c r="D4" s="207" t="s">
        <v>7</v>
      </c>
      <c r="E4" s="213" t="s">
        <v>37</v>
      </c>
      <c r="F4" s="4"/>
      <c r="G4" s="4"/>
      <c r="H4" s="4"/>
      <c r="K4" s="98" t="s">
        <v>216</v>
      </c>
    </row>
    <row r="5" spans="1:29" ht="15.75">
      <c r="B5" s="96" t="s">
        <v>14</v>
      </c>
      <c r="C5" s="219">
        <f>MAX('Wksh 2 - Plan Product Info'!E19:Y19)</f>
        <v>0</v>
      </c>
      <c r="D5" s="207" t="s">
        <v>9</v>
      </c>
      <c r="E5" s="213" t="s">
        <v>230</v>
      </c>
    </row>
    <row r="6" spans="1:29" ht="18.75">
      <c r="B6" s="3"/>
      <c r="C6" s="3"/>
      <c r="D6" s="3"/>
      <c r="E6" s="3"/>
      <c r="F6" s="4"/>
    </row>
    <row r="7" spans="1:29">
      <c r="F7" s="2"/>
    </row>
    <row r="8" spans="1:29">
      <c r="B8" s="247" t="s">
        <v>3</v>
      </c>
      <c r="C8" s="248"/>
      <c r="D8" s="248"/>
      <c r="E8" s="248"/>
      <c r="F8" s="248"/>
      <c r="G8" s="248"/>
      <c r="H8" s="248"/>
      <c r="I8" s="248"/>
      <c r="J8" s="248"/>
      <c r="K8" s="248"/>
      <c r="L8" s="248"/>
      <c r="M8" s="248"/>
      <c r="N8" s="248"/>
      <c r="O8" s="248"/>
      <c r="P8" s="248"/>
      <c r="Q8" s="249"/>
      <c r="R8"/>
      <c r="S8"/>
      <c r="T8"/>
      <c r="U8"/>
      <c r="V8"/>
      <c r="W8"/>
      <c r="X8"/>
      <c r="Y8"/>
    </row>
    <row r="9" spans="1:29">
      <c r="B9" s="250"/>
      <c r="C9" s="251"/>
      <c r="D9" s="251"/>
      <c r="E9" s="251"/>
      <c r="F9" s="251"/>
      <c r="G9" s="251"/>
      <c r="H9" s="251"/>
      <c r="I9" s="251"/>
      <c r="J9" s="251"/>
      <c r="K9" s="251"/>
      <c r="L9" s="251"/>
      <c r="M9" s="251"/>
      <c r="N9" s="251"/>
      <c r="O9" s="251"/>
      <c r="P9" s="251"/>
      <c r="Q9" s="25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56" t="s">
        <v>86</v>
      </c>
      <c r="C14" s="257"/>
      <c r="D14" s="258"/>
      <c r="E14" s="102">
        <v>5128547.7300000004</v>
      </c>
      <c r="F14" s="103">
        <f>E14/E19</f>
        <v>795.86400000000003</v>
      </c>
      <c r="G14" s="36"/>
      <c r="J14"/>
      <c r="P14"/>
      <c r="Q14"/>
      <c r="U14"/>
      <c r="V14"/>
      <c r="W14"/>
      <c r="X14"/>
      <c r="Y14"/>
      <c r="AC14" s="35"/>
    </row>
    <row r="15" spans="1:29">
      <c r="B15" s="259" t="s">
        <v>87</v>
      </c>
      <c r="C15" s="259"/>
      <c r="D15" s="259"/>
      <c r="E15" s="102">
        <v>0</v>
      </c>
      <c r="F15" s="104">
        <f>E15/E19</f>
        <v>0</v>
      </c>
      <c r="G15" s="36"/>
      <c r="J15"/>
      <c r="P15"/>
      <c r="Q15"/>
      <c r="U15"/>
      <c r="V15"/>
      <c r="W15"/>
      <c r="X15"/>
      <c r="Y15"/>
      <c r="AC15" s="35"/>
    </row>
    <row r="16" spans="1:29">
      <c r="B16" s="259" t="s">
        <v>88</v>
      </c>
      <c r="C16" s="259"/>
      <c r="D16" s="259"/>
      <c r="E16" s="102">
        <v>3981557.08</v>
      </c>
      <c r="F16" s="104">
        <f>E16/E19</f>
        <v>617.87040000000002</v>
      </c>
      <c r="G16" s="36"/>
      <c r="J16"/>
      <c r="P16"/>
      <c r="Q16"/>
      <c r="U16"/>
      <c r="V16"/>
      <c r="W16"/>
      <c r="X16"/>
      <c r="Y16"/>
      <c r="AC16" s="35"/>
    </row>
    <row r="17" spans="2:31">
      <c r="B17" s="259" t="s">
        <v>89</v>
      </c>
      <c r="C17" s="259"/>
      <c r="D17" s="259"/>
      <c r="E17" s="105">
        <v>-200956.94</v>
      </c>
      <c r="F17" s="106">
        <f>E17/E19</f>
        <v>-31.185099999999998</v>
      </c>
      <c r="G17" s="37"/>
      <c r="H17" s="38"/>
      <c r="I17" s="32"/>
      <c r="J17"/>
      <c r="O17" s="39"/>
      <c r="P17"/>
      <c r="Q17"/>
      <c r="U17"/>
      <c r="V17"/>
      <c r="W17"/>
      <c r="X17"/>
      <c r="Y17"/>
      <c r="AC17" s="35"/>
    </row>
    <row r="18" spans="2:31">
      <c r="B18" s="259" t="s">
        <v>90</v>
      </c>
      <c r="C18" s="259"/>
      <c r="D18" s="259"/>
      <c r="E18" s="105">
        <v>4126238.42</v>
      </c>
      <c r="F18" s="107">
        <f>E18/E19</f>
        <v>640.32249999999999</v>
      </c>
      <c r="G18" s="40"/>
      <c r="H18" s="38"/>
      <c r="I18" s="32"/>
      <c r="J18"/>
      <c r="P18"/>
      <c r="Q18"/>
      <c r="U18"/>
      <c r="V18"/>
      <c r="W18"/>
      <c r="X18"/>
      <c r="Y18"/>
      <c r="AC18" s="35"/>
    </row>
    <row r="19" spans="2:31">
      <c r="B19" s="259" t="s">
        <v>22</v>
      </c>
      <c r="C19" s="259"/>
      <c r="D19" s="259"/>
      <c r="E19" s="215">
        <f>'Wksh 2 - Plan Product Info'!D33</f>
        <v>6444</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53" t="s">
        <v>92</v>
      </c>
      <c r="E22" s="254"/>
      <c r="F22" s="255" t="s">
        <v>93</v>
      </c>
      <c r="G22" s="25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77.03</v>
      </c>
      <c r="D24" s="122">
        <v>1.0409999999999999</v>
      </c>
      <c r="E24" s="125">
        <v>0.96499999999999997</v>
      </c>
      <c r="F24" s="122">
        <v>1.091</v>
      </c>
      <c r="G24" s="127">
        <v>1.0049999999999999</v>
      </c>
      <c r="H24" s="131">
        <f t="shared" ref="H24:H29" si="0">PRODUCT(C24:G24)</f>
        <v>84.845500000000001</v>
      </c>
      <c r="I24" s="38"/>
      <c r="J24" s="32"/>
      <c r="K24" s="38"/>
      <c r="L24"/>
      <c r="R24"/>
      <c r="S24"/>
      <c r="W24"/>
      <c r="X24"/>
      <c r="Y24"/>
      <c r="Z24"/>
      <c r="AA24"/>
      <c r="AE24" s="35"/>
    </row>
    <row r="25" spans="2:31">
      <c r="B25" s="111" t="s">
        <v>19</v>
      </c>
      <c r="C25" s="130">
        <v>262.94</v>
      </c>
      <c r="D25" s="123">
        <v>1.0049999999999999</v>
      </c>
      <c r="E25" s="124">
        <v>1</v>
      </c>
      <c r="F25" s="123">
        <v>1.091</v>
      </c>
      <c r="G25" s="126">
        <v>1.0049999999999999</v>
      </c>
      <c r="H25" s="132">
        <f t="shared" si="0"/>
        <v>289.74340000000001</v>
      </c>
      <c r="I25" s="38"/>
      <c r="J25" s="32"/>
      <c r="K25" s="38"/>
      <c r="L25"/>
      <c r="R25"/>
      <c r="S25"/>
      <c r="W25"/>
      <c r="X25"/>
      <c r="Y25"/>
      <c r="Z25"/>
      <c r="AA25"/>
      <c r="AE25" s="35"/>
    </row>
    <row r="26" spans="2:31">
      <c r="B26" s="111" t="s">
        <v>0</v>
      </c>
      <c r="C26" s="130">
        <v>256.70999999999998</v>
      </c>
      <c r="D26" s="123">
        <v>1.008</v>
      </c>
      <c r="E26" s="124">
        <v>1.004</v>
      </c>
      <c r="F26" s="123">
        <v>1.091</v>
      </c>
      <c r="G26" s="128">
        <v>1.0049999999999999</v>
      </c>
      <c r="H26" s="132">
        <f t="shared" si="0"/>
        <v>284.85759999999999</v>
      </c>
      <c r="I26" s="38"/>
      <c r="J26" s="32"/>
      <c r="K26" s="38"/>
      <c r="L26"/>
      <c r="R26"/>
      <c r="S26"/>
      <c r="W26"/>
      <c r="X26"/>
      <c r="Y26"/>
      <c r="Z26"/>
      <c r="AA26"/>
      <c r="AE26" s="35"/>
    </row>
    <row r="27" spans="2:31">
      <c r="B27" s="111" t="s">
        <v>18</v>
      </c>
      <c r="C27" s="130">
        <v>0.77</v>
      </c>
      <c r="D27" s="123">
        <v>1.0660000000000001</v>
      </c>
      <c r="E27" s="124">
        <v>0.94299999999999995</v>
      </c>
      <c r="F27" s="123">
        <v>1.0860000000000001</v>
      </c>
      <c r="G27" s="126">
        <v>1.0089999999999999</v>
      </c>
      <c r="H27" s="132">
        <f t="shared" si="0"/>
        <v>0.84819999999999995</v>
      </c>
      <c r="I27" s="38"/>
      <c r="J27" s="32"/>
      <c r="K27" s="38"/>
      <c r="L27"/>
      <c r="R27"/>
      <c r="S27"/>
      <c r="W27"/>
      <c r="X27"/>
      <c r="Y27"/>
      <c r="Z27"/>
      <c r="AA27"/>
      <c r="AE27" s="35"/>
    </row>
    <row r="28" spans="2:31">
      <c r="B28" s="111" t="s">
        <v>1</v>
      </c>
      <c r="C28" s="130">
        <v>0</v>
      </c>
      <c r="D28" s="120">
        <v>0</v>
      </c>
      <c r="E28" s="121">
        <v>0</v>
      </c>
      <c r="F28" s="123">
        <v>0</v>
      </c>
      <c r="G28" s="126">
        <v>0</v>
      </c>
      <c r="H28" s="132">
        <f t="shared" si="0"/>
        <v>0</v>
      </c>
      <c r="I28" s="38"/>
      <c r="J28" s="32"/>
      <c r="K28" s="38"/>
      <c r="L28"/>
      <c r="R28"/>
      <c r="S28"/>
      <c r="W28"/>
      <c r="X28"/>
      <c r="Y28"/>
      <c r="Z28"/>
      <c r="AA28"/>
      <c r="AE28" s="35"/>
    </row>
    <row r="29" spans="2:31" ht="15.75" thickBot="1">
      <c r="B29" s="111" t="s">
        <v>20</v>
      </c>
      <c r="C29" s="114">
        <v>196.47</v>
      </c>
      <c r="D29" s="119">
        <v>1.0049999999999999</v>
      </c>
      <c r="E29" s="118">
        <v>1</v>
      </c>
      <c r="F29" s="119">
        <v>1.0860000000000001</v>
      </c>
      <c r="G29" s="85">
        <v>1.0089999999999999</v>
      </c>
      <c r="H29" s="116">
        <f t="shared" si="0"/>
        <v>216.36320000000001</v>
      </c>
      <c r="I29" s="38"/>
      <c r="J29" s="32"/>
      <c r="K29" s="38"/>
      <c r="L29"/>
      <c r="R29"/>
      <c r="S29"/>
      <c r="W29"/>
      <c r="X29"/>
      <c r="Y29"/>
      <c r="Z29"/>
      <c r="AA29"/>
      <c r="AE29" s="35"/>
    </row>
    <row r="30" spans="2:31" ht="15.75" thickBot="1">
      <c r="B30" s="112" t="s">
        <v>2</v>
      </c>
      <c r="C30" s="113">
        <f>SUM(C24:C29)</f>
        <v>793.92</v>
      </c>
      <c r="D30" s="244"/>
      <c r="E30" s="245"/>
      <c r="F30" s="245"/>
      <c r="G30" s="245"/>
      <c r="H30" s="144">
        <f>SUM(H24:H29)</f>
        <v>876.65779999999995</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1.03</v>
      </c>
      <c r="G32" s="40"/>
      <c r="H32" s="38"/>
      <c r="I32" s="38"/>
      <c r="J32" s="32"/>
      <c r="K32" s="38"/>
      <c r="L32"/>
      <c r="R32"/>
      <c r="S32"/>
      <c r="W32"/>
      <c r="X32"/>
      <c r="Y32"/>
      <c r="Z32"/>
      <c r="AA32"/>
      <c r="AE32" s="35"/>
    </row>
    <row r="33" spans="2:31">
      <c r="B33" s="223" t="s">
        <v>99</v>
      </c>
      <c r="C33" s="224"/>
      <c r="D33" s="224"/>
      <c r="E33" s="225"/>
      <c r="F33" s="136">
        <v>1</v>
      </c>
      <c r="G33" s="40"/>
      <c r="H33" s="38"/>
      <c r="I33" s="38"/>
      <c r="J33" s="32"/>
      <c r="K33" s="38"/>
      <c r="L33"/>
      <c r="R33"/>
      <c r="S33"/>
      <c r="W33"/>
      <c r="X33"/>
      <c r="Y33"/>
      <c r="Z33"/>
      <c r="AA33"/>
      <c r="AE33" s="35"/>
    </row>
    <row r="34" spans="2:31">
      <c r="B34" s="223" t="s">
        <v>100</v>
      </c>
      <c r="C34" s="224"/>
      <c r="D34" s="224"/>
      <c r="E34" s="225"/>
      <c r="F34" s="136">
        <v>1.006</v>
      </c>
      <c r="G34" s="40"/>
      <c r="H34" s="38"/>
      <c r="I34" s="38"/>
      <c r="J34" s="32"/>
      <c r="K34" s="38"/>
      <c r="L34"/>
      <c r="R34"/>
      <c r="S34"/>
      <c r="W34"/>
      <c r="X34"/>
      <c r="Y34"/>
      <c r="Z34"/>
      <c r="AA34"/>
      <c r="AE34" s="35"/>
    </row>
    <row r="35" spans="2:31">
      <c r="B35" s="223" t="s">
        <v>17</v>
      </c>
      <c r="C35" s="224"/>
      <c r="D35" s="224"/>
      <c r="E35" s="225"/>
      <c r="F35" s="136">
        <v>1.002</v>
      </c>
      <c r="G35" s="40"/>
      <c r="H35" s="38"/>
      <c r="I35" s="38"/>
      <c r="J35" s="32"/>
      <c r="K35" s="38"/>
      <c r="L35"/>
      <c r="R35"/>
      <c r="S35"/>
      <c r="W35"/>
      <c r="X35"/>
      <c r="Y35"/>
      <c r="Z35"/>
      <c r="AA35"/>
      <c r="AE35" s="35"/>
    </row>
    <row r="36" spans="2:31">
      <c r="B36" s="223" t="s">
        <v>220</v>
      </c>
      <c r="C36" s="224"/>
      <c r="D36" s="137" t="str">
        <f>IF(C5&lt;&gt;"",C5,"")</f>
        <v>1/1/2024</v>
      </c>
      <c r="E36" s="138"/>
      <c r="F36" s="135">
        <f>H30*PRODUCT(F32:F35)</f>
        <v>910.19200000000001</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978.03</v>
      </c>
      <c r="G38" s="40"/>
      <c r="H38" s="38"/>
      <c r="I38" s="38"/>
      <c r="J38" s="32"/>
      <c r="K38" s="38"/>
      <c r="L38"/>
      <c r="R38"/>
      <c r="S38"/>
      <c r="W38"/>
      <c r="X38"/>
      <c r="Y38"/>
      <c r="Z38"/>
      <c r="AA38"/>
      <c r="AE38" s="35"/>
    </row>
    <row r="39" spans="2:31">
      <c r="B39" s="223" t="s">
        <v>219</v>
      </c>
      <c r="C39" s="224"/>
      <c r="D39" s="224"/>
      <c r="E39" s="225"/>
      <c r="F39" s="134">
        <v>0.5</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944.11</v>
      </c>
      <c r="G42" s="140">
        <f>F42*F48</f>
        <v>7119533.5099999998</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-56.64</v>
      </c>
      <c r="G44" s="140">
        <f>F44*F48</f>
        <v>-427122.24</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1000.75</v>
      </c>
      <c r="G46" s="143">
        <f>F46*F48</f>
        <v>7546655.75</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7541</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46" t="s">
        <v>148</v>
      </c>
      <c r="C50" s="246"/>
      <c r="D50" s="246"/>
      <c r="E50" s="246"/>
      <c r="F50" s="246"/>
      <c r="G50" s="246"/>
      <c r="H50" s="246"/>
      <c r="I50" s="246"/>
      <c r="J50" s="246"/>
      <c r="K50" s="246"/>
      <c r="L50" s="246"/>
      <c r="M50" s="246"/>
      <c r="N50" s="246"/>
      <c r="O50" s="246"/>
      <c r="P50" s="246"/>
      <c r="Q50" s="24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46"/>
      <c r="B112" s="246"/>
      <c r="C112" s="246"/>
      <c r="D112" s="246"/>
      <c r="E112" s="246"/>
      <c r="F112" s="246"/>
      <c r="G112" s="246"/>
      <c r="H112" s="246"/>
      <c r="I112" s="246"/>
      <c r="J112" s="246"/>
      <c r="K112" s="246"/>
      <c r="L112" s="246"/>
      <c r="M112" s="246"/>
      <c r="N112" s="246"/>
      <c r="O112" s="24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Y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25" ht="18.600000000000001" customHeight="1">
      <c r="A1" s="100" t="s">
        <v>226</v>
      </c>
      <c r="C1" s="16" t="s">
        <v>221</v>
      </c>
      <c r="D1" s="16"/>
      <c r="E1" s="3"/>
      <c r="F1" s="3"/>
      <c r="G1" s="3"/>
      <c r="H1" s="4"/>
      <c r="I1" s="1"/>
      <c r="J1" s="1"/>
      <c r="K1" s="1"/>
      <c r="L1" s="1"/>
      <c r="M1" s="1"/>
      <c r="N1" s="1"/>
      <c r="O1" s="1"/>
      <c r="P1" s="98" t="s">
        <v>213</v>
      </c>
      <c r="Q1" s="1"/>
      <c r="S1" s="1"/>
      <c r="T1" s="1"/>
      <c r="U1" s="1"/>
    </row>
    <row r="2" spans="1:25" ht="18.75">
      <c r="C2" s="3"/>
      <c r="D2" s="3"/>
      <c r="E2" s="3"/>
      <c r="F2" s="3"/>
      <c r="G2" s="3"/>
      <c r="H2" s="4"/>
      <c r="I2" s="1"/>
      <c r="J2" s="1"/>
      <c r="K2" s="1"/>
      <c r="L2" s="1"/>
      <c r="M2" s="1"/>
      <c r="N2" s="1"/>
      <c r="O2" s="1"/>
      <c r="P2" s="98" t="s">
        <v>214</v>
      </c>
      <c r="Q2" s="1"/>
      <c r="S2" s="1"/>
      <c r="T2" s="1"/>
      <c r="U2" s="1"/>
    </row>
    <row r="3" spans="1:25" ht="18.75">
      <c r="C3" s="96" t="s">
        <v>5</v>
      </c>
      <c r="D3" s="93" t="str">
        <f>IF('Wksh 1 - Market Experience'!C3&lt;&gt;"", 'Wksh 1 - Market Experience'!C3,"")</f>
        <v/>
      </c>
      <c r="F3" s="6"/>
      <c r="G3" s="6"/>
      <c r="J3" s="1"/>
      <c r="K3" s="1"/>
      <c r="P3" s="99" t="s">
        <v>215</v>
      </c>
    </row>
    <row r="4" spans="1:25" ht="18.75">
      <c r="C4" s="97" t="s">
        <v>6</v>
      </c>
      <c r="D4" s="94" t="str">
        <f>IF('Wksh 1 - Market Experience'!C4&lt;&gt;"", 'Wksh 1 - Market Experience'!C4,"")</f>
        <v/>
      </c>
      <c r="E4" s="96" t="s">
        <v>7</v>
      </c>
      <c r="F4" s="101" t="str">
        <f>IF('Wksh 1 - Market Experience'!E4&lt;&gt;"",'Wksh 1 - Market Experience'!E4,"")</f>
        <v/>
      </c>
      <c r="G4" s="7"/>
      <c r="J4" s="1"/>
      <c r="K4" s="1"/>
      <c r="P4" s="99" t="s">
        <v>216</v>
      </c>
    </row>
    <row r="5" spans="1:25"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25">
      <c r="C6" s="1"/>
      <c r="D6" s="1"/>
      <c r="E6" s="1"/>
      <c r="F6" s="1"/>
      <c r="G6" s="1"/>
      <c r="H6" s="2"/>
      <c r="I6" s="1"/>
      <c r="J6" s="1"/>
      <c r="K6" s="1"/>
      <c r="L6" s="1"/>
      <c r="M6" s="1"/>
      <c r="N6" s="1"/>
      <c r="O6" s="1"/>
      <c r="P6" s="99" t="s">
        <v>224</v>
      </c>
      <c r="Q6" s="1"/>
      <c r="R6" s="1"/>
      <c r="S6" s="1"/>
      <c r="T6" s="1"/>
      <c r="U6" s="1"/>
    </row>
    <row r="7" spans="1:25">
      <c r="C7" s="260" t="s">
        <v>15</v>
      </c>
      <c r="D7" s="261"/>
      <c r="E7" s="261"/>
      <c r="F7" s="261"/>
      <c r="G7" s="261"/>
      <c r="H7" s="261"/>
      <c r="I7" s="261"/>
      <c r="J7" s="261"/>
      <c r="K7" s="261"/>
      <c r="L7" s="261"/>
      <c r="M7" s="261"/>
      <c r="N7" s="261"/>
      <c r="O7" s="261"/>
      <c r="P7" s="261"/>
      <c r="Q7" s="261"/>
      <c r="R7" s="261"/>
      <c r="S7" s="261"/>
      <c r="T7" s="261"/>
      <c r="U7" s="261"/>
      <c r="V7" s="262"/>
    </row>
    <row r="8" spans="1:25">
      <c r="C8" s="263"/>
      <c r="D8" s="264"/>
      <c r="E8" s="264"/>
      <c r="F8" s="264"/>
      <c r="G8" s="264"/>
      <c r="H8" s="264"/>
      <c r="I8" s="264"/>
      <c r="J8" s="264"/>
      <c r="K8" s="264"/>
      <c r="L8" s="264"/>
      <c r="M8" s="264"/>
      <c r="N8" s="264"/>
      <c r="O8" s="264"/>
      <c r="P8" s="264"/>
      <c r="Q8" s="264"/>
      <c r="R8" s="264"/>
      <c r="S8" s="264"/>
      <c r="T8" s="264"/>
      <c r="U8" s="264"/>
      <c r="V8" s="265"/>
    </row>
    <row r="9" spans="1:25">
      <c r="B9" t="s">
        <v>103</v>
      </c>
      <c r="C9" s="19" t="s">
        <v>77</v>
      </c>
      <c r="D9" s="19"/>
      <c r="E9" s="17"/>
      <c r="F9" s="17"/>
      <c r="G9" s="17"/>
      <c r="H9" s="18"/>
      <c r="I9" s="17"/>
      <c r="J9" s="17"/>
      <c r="K9" s="17"/>
      <c r="L9" s="17"/>
      <c r="M9" s="17"/>
      <c r="N9" s="17"/>
      <c r="O9" s="17"/>
      <c r="P9" s="17"/>
      <c r="Q9" s="17"/>
      <c r="R9" s="17"/>
      <c r="S9" s="17"/>
      <c r="T9" s="17"/>
      <c r="U9" s="17"/>
    </row>
    <row r="10" spans="1:25" ht="15" customHeight="1">
      <c r="B10" s="146" t="s">
        <v>155</v>
      </c>
      <c r="C10" s="168" t="s">
        <v>104</v>
      </c>
      <c r="D10" s="220"/>
      <c r="E10" s="266" t="s">
        <v>245</v>
      </c>
      <c r="F10" s="266"/>
      <c r="G10" s="266"/>
      <c r="H10" s="266"/>
      <c r="I10" s="266"/>
      <c r="J10" s="266"/>
      <c r="K10" s="266"/>
      <c r="L10" s="266"/>
      <c r="M10" s="266"/>
      <c r="N10" s="266"/>
      <c r="O10" s="266"/>
      <c r="P10" s="266"/>
      <c r="Q10" s="266" t="s">
        <v>271</v>
      </c>
      <c r="R10" s="266"/>
      <c r="S10" s="266"/>
      <c r="T10" s="266"/>
      <c r="U10" s="266"/>
      <c r="V10" s="266"/>
      <c r="W10" s="266"/>
      <c r="X10" s="266"/>
      <c r="Y10" s="266"/>
    </row>
    <row r="11" spans="1:25" ht="15" customHeight="1">
      <c r="B11" s="146" t="s">
        <v>156</v>
      </c>
      <c r="C11" s="168" t="s">
        <v>105</v>
      </c>
      <c r="D11" s="221"/>
      <c r="E11" s="266" t="s">
        <v>244</v>
      </c>
      <c r="F11" s="266"/>
      <c r="G11" s="266"/>
      <c r="H11" s="266"/>
      <c r="I11" s="266"/>
      <c r="J11" s="266"/>
      <c r="K11" s="266"/>
      <c r="L11" s="266"/>
      <c r="M11" s="266"/>
      <c r="N11" s="266"/>
      <c r="O11" s="266"/>
      <c r="P11" s="266"/>
      <c r="Q11" s="266" t="s">
        <v>270</v>
      </c>
      <c r="R11" s="266"/>
      <c r="S11" s="266"/>
      <c r="T11" s="266"/>
      <c r="U11" s="266"/>
      <c r="V11" s="266"/>
      <c r="W11" s="266"/>
      <c r="X11" s="266"/>
      <c r="Y11" s="266"/>
    </row>
    <row r="12" spans="1:25" ht="15" customHeight="1">
      <c r="B12" s="146" t="s">
        <v>157</v>
      </c>
      <c r="C12" s="168" t="s">
        <v>10</v>
      </c>
      <c r="D12" s="221"/>
      <c r="E12" s="179" t="s">
        <v>247</v>
      </c>
      <c r="F12" s="179" t="s">
        <v>249</v>
      </c>
      <c r="G12" s="179" t="s">
        <v>251</v>
      </c>
      <c r="H12" s="179" t="s">
        <v>253</v>
      </c>
      <c r="I12" s="179" t="s">
        <v>255</v>
      </c>
      <c r="J12" s="179" t="s">
        <v>257</v>
      </c>
      <c r="K12" s="179" t="s">
        <v>259</v>
      </c>
      <c r="L12" s="179" t="s">
        <v>261</v>
      </c>
      <c r="M12" s="179" t="s">
        <v>263</v>
      </c>
      <c r="N12" s="179" t="s">
        <v>265</v>
      </c>
      <c r="O12" s="179" t="s">
        <v>267</v>
      </c>
      <c r="P12" s="179" t="s">
        <v>269</v>
      </c>
      <c r="Q12" s="179" t="s">
        <v>247</v>
      </c>
      <c r="R12" s="179" t="s">
        <v>249</v>
      </c>
      <c r="S12" s="179" t="s">
        <v>251</v>
      </c>
      <c r="T12" s="179" t="s">
        <v>253</v>
      </c>
      <c r="U12" s="179" t="s">
        <v>255</v>
      </c>
      <c r="V12" s="179" t="s">
        <v>257</v>
      </c>
      <c r="W12" s="179" t="s">
        <v>259</v>
      </c>
      <c r="X12" s="179" t="s">
        <v>261</v>
      </c>
      <c r="Y12" s="179" t="s">
        <v>263</v>
      </c>
    </row>
    <row r="13" spans="1:25" ht="15" customHeight="1">
      <c r="B13" s="146" t="s">
        <v>158</v>
      </c>
      <c r="C13" s="168" t="s">
        <v>106</v>
      </c>
      <c r="D13" s="221"/>
      <c r="E13" s="180" t="s">
        <v>246</v>
      </c>
      <c r="F13" s="180" t="s">
        <v>248</v>
      </c>
      <c r="G13" s="180" t="s">
        <v>250</v>
      </c>
      <c r="H13" s="180" t="s">
        <v>252</v>
      </c>
      <c r="I13" s="180" t="s">
        <v>254</v>
      </c>
      <c r="J13" s="180" t="s">
        <v>256</v>
      </c>
      <c r="K13" s="180" t="s">
        <v>258</v>
      </c>
      <c r="L13" s="180" t="s">
        <v>260</v>
      </c>
      <c r="M13" s="180" t="s">
        <v>262</v>
      </c>
      <c r="N13" s="180" t="s">
        <v>264</v>
      </c>
      <c r="O13" s="180" t="s">
        <v>266</v>
      </c>
      <c r="P13" s="180" t="s">
        <v>268</v>
      </c>
      <c r="Q13" s="180" t="s">
        <v>272</v>
      </c>
      <c r="R13" s="180" t="s">
        <v>273</v>
      </c>
      <c r="S13" s="180" t="s">
        <v>274</v>
      </c>
      <c r="T13" s="180" t="s">
        <v>275</v>
      </c>
      <c r="U13" s="180" t="s">
        <v>276</v>
      </c>
      <c r="V13" s="180" t="s">
        <v>277</v>
      </c>
      <c r="W13" s="180" t="s">
        <v>278</v>
      </c>
      <c r="X13" s="180" t="s">
        <v>279</v>
      </c>
      <c r="Y13" s="180" t="s">
        <v>280</v>
      </c>
    </row>
    <row r="14" spans="1:25" ht="15" customHeight="1">
      <c r="B14" s="146" t="s">
        <v>159</v>
      </c>
      <c r="C14" s="168" t="s">
        <v>107</v>
      </c>
      <c r="D14" s="221"/>
      <c r="E14" s="181" t="s">
        <v>139</v>
      </c>
      <c r="F14" s="181" t="s">
        <v>140</v>
      </c>
      <c r="G14" s="181" t="s">
        <v>140</v>
      </c>
      <c r="H14" s="181" t="s">
        <v>141</v>
      </c>
      <c r="I14" s="181" t="s">
        <v>141</v>
      </c>
      <c r="J14" s="181" t="s">
        <v>141</v>
      </c>
      <c r="K14" s="181" t="s">
        <v>141</v>
      </c>
      <c r="L14" s="181" t="s">
        <v>142</v>
      </c>
      <c r="M14" s="181" t="s">
        <v>142</v>
      </c>
      <c r="N14" s="181" t="s">
        <v>140</v>
      </c>
      <c r="O14" s="181" t="s">
        <v>140</v>
      </c>
      <c r="P14" s="181" t="s">
        <v>141</v>
      </c>
      <c r="Q14" s="181" t="s">
        <v>139</v>
      </c>
      <c r="R14" s="181" t="s">
        <v>140</v>
      </c>
      <c r="S14" s="181" t="s">
        <v>140</v>
      </c>
      <c r="T14" s="181" t="s">
        <v>141</v>
      </c>
      <c r="U14" s="181" t="s">
        <v>141</v>
      </c>
      <c r="V14" s="181" t="s">
        <v>141</v>
      </c>
      <c r="W14" s="181" t="s">
        <v>141</v>
      </c>
      <c r="X14" s="181" t="s">
        <v>142</v>
      </c>
      <c r="Y14" s="181" t="s">
        <v>142</v>
      </c>
    </row>
    <row r="15" spans="1:25" ht="15" customHeight="1">
      <c r="B15" s="146" t="s">
        <v>160</v>
      </c>
      <c r="C15" s="168" t="s">
        <v>26</v>
      </c>
      <c r="D15" s="221"/>
      <c r="E15" s="182">
        <v>0.9</v>
      </c>
      <c r="F15" s="182">
        <v>0.79200000000000004</v>
      </c>
      <c r="G15" s="182">
        <v>0.78700000000000003</v>
      </c>
      <c r="H15" s="182">
        <v>0.71299999999999997</v>
      </c>
      <c r="I15" s="182">
        <v>0.70399999999999996</v>
      </c>
      <c r="J15" s="182">
        <v>0.70399999999999996</v>
      </c>
      <c r="K15" s="182">
        <v>0.68400000000000005</v>
      </c>
      <c r="L15" s="182">
        <v>0.629</v>
      </c>
      <c r="M15" s="182">
        <v>0.64400000000000002</v>
      </c>
      <c r="N15" s="182">
        <v>0.80500000000000005</v>
      </c>
      <c r="O15" s="182">
        <v>0.78800000000000003</v>
      </c>
      <c r="P15" s="182">
        <v>0.70799999999999996</v>
      </c>
      <c r="Q15" s="182">
        <v>0.9</v>
      </c>
      <c r="R15" s="182">
        <v>0.79200000000000004</v>
      </c>
      <c r="S15" s="182">
        <v>0.78700000000000003</v>
      </c>
      <c r="T15" s="182">
        <v>0.71299999999999997</v>
      </c>
      <c r="U15" s="182">
        <v>0.70399999999999996</v>
      </c>
      <c r="V15" s="182">
        <v>0.70399999999999996</v>
      </c>
      <c r="W15" s="182">
        <v>0.68400000000000005</v>
      </c>
      <c r="X15" s="182">
        <v>0.629</v>
      </c>
      <c r="Y15" s="182">
        <v>0.64400000000000002</v>
      </c>
    </row>
    <row r="16" spans="1:25" ht="15" customHeight="1">
      <c r="B16" s="146" t="s">
        <v>161</v>
      </c>
      <c r="C16" s="168" t="s">
        <v>80</v>
      </c>
      <c r="D16" s="221"/>
      <c r="E16" s="179" t="s">
        <v>82</v>
      </c>
      <c r="F16" s="179" t="s">
        <v>82</v>
      </c>
      <c r="G16" s="179" t="s">
        <v>82</v>
      </c>
      <c r="H16" s="179" t="s">
        <v>82</v>
      </c>
      <c r="I16" s="179" t="s">
        <v>82</v>
      </c>
      <c r="J16" s="179" t="s">
        <v>82</v>
      </c>
      <c r="K16" s="179" t="s">
        <v>82</v>
      </c>
      <c r="L16" s="179" t="s">
        <v>82</v>
      </c>
      <c r="M16" s="179" t="s">
        <v>82</v>
      </c>
      <c r="N16" s="179" t="s">
        <v>83</v>
      </c>
      <c r="O16" s="179" t="s">
        <v>83</v>
      </c>
      <c r="P16" s="179" t="s">
        <v>83</v>
      </c>
      <c r="Q16" s="179" t="s">
        <v>82</v>
      </c>
      <c r="R16" s="179" t="s">
        <v>82</v>
      </c>
      <c r="S16" s="179" t="s">
        <v>82</v>
      </c>
      <c r="T16" s="179" t="s">
        <v>82</v>
      </c>
      <c r="U16" s="179" t="s">
        <v>82</v>
      </c>
      <c r="V16" s="179" t="s">
        <v>82</v>
      </c>
      <c r="W16" s="179" t="s">
        <v>82</v>
      </c>
      <c r="X16" s="179" t="s">
        <v>82</v>
      </c>
      <c r="Y16" s="179" t="s">
        <v>82</v>
      </c>
    </row>
    <row r="17" spans="1:25" ht="15" customHeight="1">
      <c r="B17" s="146" t="s">
        <v>154</v>
      </c>
      <c r="C17" s="169" t="s">
        <v>108</v>
      </c>
      <c r="D17" s="221"/>
      <c r="E17" s="179" t="s">
        <v>245</v>
      </c>
      <c r="F17" s="179" t="s">
        <v>245</v>
      </c>
      <c r="G17" s="179" t="s">
        <v>245</v>
      </c>
      <c r="H17" s="179" t="s">
        <v>245</v>
      </c>
      <c r="I17" s="179" t="s">
        <v>245</v>
      </c>
      <c r="J17" s="179" t="s">
        <v>245</v>
      </c>
      <c r="K17" s="179" t="s">
        <v>245</v>
      </c>
      <c r="L17" s="179" t="s">
        <v>245</v>
      </c>
      <c r="M17" s="179" t="s">
        <v>245</v>
      </c>
      <c r="N17" s="179" t="s">
        <v>245</v>
      </c>
      <c r="O17" s="179" t="s">
        <v>245</v>
      </c>
      <c r="P17" s="179" t="s">
        <v>245</v>
      </c>
      <c r="Q17" s="179" t="s">
        <v>245</v>
      </c>
      <c r="R17" s="179" t="s">
        <v>245</v>
      </c>
      <c r="S17" s="179" t="s">
        <v>245</v>
      </c>
      <c r="T17" s="179" t="s">
        <v>245</v>
      </c>
      <c r="U17" s="179" t="s">
        <v>245</v>
      </c>
      <c r="V17" s="179" t="s">
        <v>245</v>
      </c>
      <c r="W17" s="179" t="s">
        <v>245</v>
      </c>
      <c r="X17" s="179" t="s">
        <v>245</v>
      </c>
      <c r="Y17" s="179" t="s">
        <v>245</v>
      </c>
    </row>
    <row r="18" spans="1:25"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row>
    <row r="19" spans="1:25"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row>
    <row r="20" spans="1:25" ht="15" customHeight="1">
      <c r="B20" s="146" t="s">
        <v>150</v>
      </c>
      <c r="C20" s="168" t="s">
        <v>109</v>
      </c>
      <c r="D20" s="221"/>
      <c r="E20" s="185">
        <v>0.13619999999999999</v>
      </c>
      <c r="F20" s="185">
        <v>0.13800000000000001</v>
      </c>
      <c r="G20" s="185">
        <v>0.13730000000000001</v>
      </c>
      <c r="H20" s="185">
        <v>0.13819999999999999</v>
      </c>
      <c r="I20" s="185">
        <v>0.13850000000000001</v>
      </c>
      <c r="J20" s="185">
        <v>0.11940000000000001</v>
      </c>
      <c r="K20" s="185">
        <v>0.1406</v>
      </c>
      <c r="L20" s="185">
        <v>0.14149999999999999</v>
      </c>
      <c r="M20" s="185">
        <v>0.1242</v>
      </c>
      <c r="N20" s="185">
        <v>0</v>
      </c>
      <c r="O20" s="185">
        <v>0</v>
      </c>
      <c r="P20" s="185">
        <v>0</v>
      </c>
      <c r="Q20" s="185">
        <v>0.1118</v>
      </c>
      <c r="R20" s="185">
        <v>0.11260000000000001</v>
      </c>
      <c r="S20" s="185">
        <v>0.1113</v>
      </c>
      <c r="T20" s="185">
        <v>0.1128</v>
      </c>
      <c r="U20" s="185">
        <v>0.11310000000000001</v>
      </c>
      <c r="V20" s="185">
        <v>9.7100000000000006E-2</v>
      </c>
      <c r="W20" s="185">
        <v>0.1149</v>
      </c>
      <c r="X20" s="185">
        <v>0.1158</v>
      </c>
      <c r="Y20" s="185">
        <v>8.4699999999999998E-2</v>
      </c>
    </row>
    <row r="21" spans="1:25" ht="15" customHeight="1">
      <c r="B21" s="146" t="s">
        <v>151</v>
      </c>
      <c r="C21" s="168" t="s">
        <v>84</v>
      </c>
      <c r="D21" s="221"/>
      <c r="E21" s="267">
        <f>IF(SUMPRODUCT((E16:P16="Renewing")*((E14:P14="Platinum")+(E14:P14="Gold")+(E14:P14="Silver")+(E14:P14="Bronze")+(E14:P14="Catastrophic")))=0, 0, ROUND(ROUND(SUMPRODUCT(1+E20:P20,E34:P34,E35:P35,--(E16:P16="Renewing")*((E14:P14="Platinum")+(E14:P14="Gold")+(E14:P14="Silver")+(E14:P14="Bronze")+(E14:P14="Catastrophic")))/SUMPRODUCT(E34:P34,E35:P35,--(E16:P16="Renewing")*((E14:P14="Platinum")+(E14:P14="Gold")+(E14:P14="Silver")+(E14:P14="Bronze")+(E14:P14="Catastrophic"))), 4)-1, 4))</f>
        <v>0</v>
      </c>
      <c r="F21" s="267"/>
      <c r="G21" s="267"/>
      <c r="H21" s="267"/>
      <c r="I21" s="267"/>
      <c r="J21" s="267"/>
      <c r="K21" s="267"/>
      <c r="L21" s="267"/>
      <c r="M21" s="267"/>
      <c r="N21" s="267"/>
      <c r="O21" s="267"/>
      <c r="P21" s="267"/>
      <c r="Q21" s="267">
        <f>IF(SUMPRODUCT((Q16:Y16="Renewing")*((Q14:Y14="Platinum")+(Q14:Y14="Gold")+(Q14:Y14="Silver")+(Q14:Y14="Bronze")+(Q14:Y14="Catastrophic")))=0, 0, ROUND(ROUND(SUMPRODUCT(1+Q20:Y20,Q34:Y34,Q35:Y35,--(Q16:Y16="Renewing")*((Q14:Y14="Platinum")+(Q14:Y14="Gold")+(Q14:Y14="Silver")+(Q14:Y14="Bronze")+(Q14:Y14="Catastrophic")))/SUMPRODUCT(Q34:Y34,Q35:Y35,--(Q16:Y16="Renewing")*((Q14:Y14="Platinum")+(Q14:Y14="Gold")+(Q14:Y14="Silver")+(Q14:Y14="Bronze")+(Q14:Y14="Catastrophic"))), 4)-1, 4))</f>
        <v>0</v>
      </c>
      <c r="R21" s="267"/>
      <c r="S21" s="267"/>
      <c r="T21" s="267"/>
      <c r="U21" s="267"/>
      <c r="V21" s="267"/>
      <c r="W21" s="267"/>
      <c r="X21" s="267"/>
      <c r="Y21" s="267"/>
    </row>
    <row r="22" spans="1:25" ht="15" customHeight="1">
      <c r="B22" s="148" t="s">
        <v>152</v>
      </c>
      <c r="C22" s="139" t="s">
        <v>212</v>
      </c>
      <c r="D22" s="222"/>
      <c r="E22" s="267">
        <f>IF(SUMPRODUCT((E16:Y16="Renewing")*((E14:Y14="Platinum")+(E14:Y14="Gold")+(E14:Y14="Silver")+(E14:Y14="Bronze")+(E14:Y14="Catastrophic")))=0, 0, ROUND(ROUND(SUMPRODUCT(1+E20:Y20,E34:Y34,E35:Y35,--(E16:Y16="Renewing")*((E14:Y14="Platinum")+(E14:Y14="Gold")+(E14:Y14="Silver")+(E14:Y14="Bronze")+(E14:Y14="Catastrophic")))/SUMPRODUCT(E34:Y34,E35:Y35,--(E16:Y16="Renewing")*((E14:Y14="Platinum")+(E14:Y14="Gold")+(E14:Y14="Silver")+(E14:Y14="Bronze")+(E14:Y14="Catastrophic"))), 4)-1, 4))</f>
        <v>0</v>
      </c>
      <c r="F22" s="267"/>
      <c r="G22" s="267"/>
      <c r="H22" s="267"/>
      <c r="I22" s="267"/>
      <c r="J22" s="267"/>
      <c r="K22" s="267"/>
      <c r="L22" s="267"/>
      <c r="M22" s="267"/>
      <c r="N22" s="267"/>
      <c r="O22" s="267"/>
      <c r="P22" s="267"/>
      <c r="Q22" s="267"/>
      <c r="R22" s="267"/>
      <c r="S22" s="267"/>
      <c r="T22" s="267"/>
      <c r="U22" s="267"/>
      <c r="V22" s="267"/>
      <c r="W22" s="267"/>
      <c r="X22" s="267"/>
      <c r="Y22" s="267"/>
    </row>
    <row r="23" spans="1:25" ht="15" customHeight="1"/>
    <row r="24" spans="1:25" ht="15" customHeight="1">
      <c r="A24" s="71" t="s">
        <v>119</v>
      </c>
      <c r="C24" s="19" t="s">
        <v>110</v>
      </c>
      <c r="D24" s="19"/>
    </row>
    <row r="25" spans="1:25" ht="15" customHeight="1">
      <c r="A25" s="149"/>
      <c r="B25" s="146" t="s">
        <v>162</v>
      </c>
      <c r="C25" s="152" t="s">
        <v>106</v>
      </c>
      <c r="D25" s="150" t="s">
        <v>2</v>
      </c>
      <c r="E25" s="90">
        <f t="shared" ref="E25:Y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row>
    <row r="26" spans="1:25" ht="15" customHeight="1">
      <c r="A26" s="151">
        <f>'Wksh 1 - Market Experience'!E14</f>
        <v>0</v>
      </c>
      <c r="B26" s="146" t="s">
        <v>163</v>
      </c>
      <c r="C26" s="200" t="s">
        <v>86</v>
      </c>
      <c r="D26" s="198">
        <f>SUM(E26:XFD26)</f>
        <v>5128546</v>
      </c>
      <c r="E26" s="187">
        <f>671556</f>
        <v>0</v>
      </c>
      <c r="F26" s="187">
        <f>746688</f>
        <v>0</v>
      </c>
      <c r="G26" s="187">
        <f>506245</f>
        <v>0</v>
      </c>
      <c r="H26" s="187">
        <f>1446462</f>
        <v>0</v>
      </c>
      <c r="I26" s="187">
        <f>301814</f>
        <v>0</v>
      </c>
      <c r="J26" s="187">
        <f>246877</f>
        <v>0</v>
      </c>
      <c r="K26" s="187">
        <f>83461</f>
        <v>0</v>
      </c>
      <c r="L26" s="187">
        <f>858943</f>
        <v>0</v>
      </c>
      <c r="M26" s="187">
        <f>85833</f>
        <v>0</v>
      </c>
      <c r="N26" s="187">
        <f>19456</f>
        <v>0</v>
      </c>
      <c r="O26" s="187">
        <f>748</f>
        <v>0</v>
      </c>
      <c r="P26" s="187">
        <f>29809</f>
        <v>0</v>
      </c>
      <c r="Q26" s="187">
        <f>17044</f>
        <v>0</v>
      </c>
      <c r="R26" s="187">
        <f>6741</f>
        <v>0</v>
      </c>
      <c r="S26" s="187">
        <f>613</f>
        <v>0</v>
      </c>
      <c r="T26" s="187">
        <f>9716</f>
        <v>0</v>
      </c>
      <c r="U26" s="187">
        <f>75555</f>
        <v>0</v>
      </c>
      <c r="V26" s="187">
        <f>3443</f>
        <v>0</v>
      </c>
      <c r="W26" s="187">
        <f>0</f>
        <v>0</v>
      </c>
      <c r="X26" s="187">
        <f>17542</f>
        <v>0</v>
      </c>
      <c r="Y26" s="187">
        <f>0</f>
        <v>0</v>
      </c>
    </row>
    <row r="27" spans="1:25"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row>
    <row r="28" spans="1:25" ht="15" customHeight="1">
      <c r="A28" s="154"/>
      <c r="B28" s="146" t="s">
        <v>165</v>
      </c>
      <c r="C28" s="147" t="s">
        <v>111</v>
      </c>
      <c r="D28" s="201">
        <f>SUM(E28:XFD28)</f>
        <v>1146990</v>
      </c>
      <c r="E28" s="187">
        <f>31843</f>
        <v>0</v>
      </c>
      <c r="F28" s="187">
        <f>97486</f>
        <v>0</v>
      </c>
      <c r="G28" s="187">
        <f>88094</f>
        <v>0</v>
      </c>
      <c r="H28" s="187">
        <f>359121</f>
        <v>0</v>
      </c>
      <c r="I28" s="187">
        <f>81516</f>
        <v>0</v>
      </c>
      <c r="J28" s="187">
        <f>57622</f>
        <v>0</v>
      </c>
      <c r="K28" s="187">
        <f>26263</f>
        <v>0</v>
      </c>
      <c r="L28" s="187">
        <f>328661</f>
        <v>0</v>
      </c>
      <c r="M28" s="187">
        <f>29322</f>
        <v>0</v>
      </c>
      <c r="N28" s="187">
        <f>1849</f>
        <v>0</v>
      </c>
      <c r="O28" s="187">
        <f>133</f>
        <v>0</v>
      </c>
      <c r="P28" s="187">
        <f>6744</f>
        <v>0</v>
      </c>
      <c r="Q28" s="187">
        <f>1644</f>
        <v>0</v>
      </c>
      <c r="R28" s="187">
        <f>1187</f>
        <v>0</v>
      </c>
      <c r="S28" s="187">
        <f>138</f>
        <v>0</v>
      </c>
      <c r="T28" s="187">
        <f>3031</f>
        <v>0</v>
      </c>
      <c r="U28" s="187">
        <f>24305</f>
        <v>0</v>
      </c>
      <c r="V28" s="187">
        <f>968</f>
        <v>0</v>
      </c>
      <c r="W28" s="187">
        <f>0</f>
        <v>0</v>
      </c>
      <c r="X28" s="187">
        <f>7063</f>
        <v>0</v>
      </c>
      <c r="Y28" s="187">
        <f>0</f>
        <v>0</v>
      </c>
    </row>
    <row r="29" spans="1:25"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row>
    <row r="30" spans="1:25" ht="15" customHeight="1">
      <c r="A30" s="153">
        <f>'Wksh 1 - Market Experience'!E16</f>
        <v>0</v>
      </c>
      <c r="B30" s="146" t="s">
        <v>167</v>
      </c>
      <c r="C30" s="147" t="s">
        <v>113</v>
      </c>
      <c r="D30" s="201">
        <f t="shared" ref="D30:Y30" si="1">D26-D27-D28-D29</f>
        <v>3981556</v>
      </c>
      <c r="E30" s="217">
        <f t="shared" si="1"/>
        <v>0</v>
      </c>
      <c r="F30" s="217">
        <f t="shared" si="1"/>
        <v>0</v>
      </c>
      <c r="G30" s="217">
        <f t="shared" si="1"/>
        <v>0</v>
      </c>
      <c r="H30" s="217">
        <f t="shared" si="1"/>
        <v>0</v>
      </c>
      <c r="I30" s="217">
        <f t="shared" si="1"/>
        <v>0</v>
      </c>
      <c r="J30" s="217">
        <f t="shared" si="1"/>
        <v>0</v>
      </c>
      <c r="K30" s="217">
        <f t="shared" si="1"/>
        <v>0</v>
      </c>
      <c r="L30" s="217">
        <f t="shared" si="1"/>
        <v>0</v>
      </c>
      <c r="M30" s="217">
        <f t="shared" si="1"/>
        <v>0</v>
      </c>
      <c r="N30" s="217">
        <f t="shared" si="1"/>
        <v>0</v>
      </c>
      <c r="O30" s="217">
        <f t="shared" si="1"/>
        <v>0</v>
      </c>
      <c r="P30" s="217">
        <f t="shared" si="1"/>
        <v>0</v>
      </c>
      <c r="Q30" s="217">
        <f t="shared" si="1"/>
        <v>0</v>
      </c>
      <c r="R30" s="217">
        <f t="shared" si="1"/>
        <v>0</v>
      </c>
      <c r="S30" s="217">
        <f t="shared" si="1"/>
        <v>0</v>
      </c>
      <c r="T30" s="217">
        <f t="shared" si="1"/>
        <v>0</v>
      </c>
      <c r="U30" s="217">
        <f t="shared" si="1"/>
        <v>0</v>
      </c>
      <c r="V30" s="217">
        <f t="shared" si="1"/>
        <v>0</v>
      </c>
      <c r="W30" s="217">
        <f t="shared" si="1"/>
        <v>0</v>
      </c>
      <c r="X30" s="217">
        <f t="shared" si="1"/>
        <v>0</v>
      </c>
      <c r="Y30" s="217">
        <f t="shared" si="1"/>
        <v>0</v>
      </c>
    </row>
    <row r="31" spans="1:25" ht="15" customHeight="1">
      <c r="A31" s="153">
        <f>'Wksh 1 - Market Experience'!E17</f>
        <v>0</v>
      </c>
      <c r="B31" s="146" t="s">
        <v>168</v>
      </c>
      <c r="C31" s="156" t="s">
        <v>114</v>
      </c>
      <c r="D31" s="201">
        <f>SUM(E31:XFD31)</f>
        <v>-200953</v>
      </c>
      <c r="E31" s="187">
        <f>-32401</f>
        <v>0</v>
      </c>
      <c r="F31" s="187">
        <f>-41351</f>
        <v>0</v>
      </c>
      <c r="G31" s="187">
        <f>-25665</f>
        <v>0</v>
      </c>
      <c r="H31" s="187">
        <f>-32027</f>
        <v>0</v>
      </c>
      <c r="I31" s="187">
        <f>-15468</f>
        <v>0</v>
      </c>
      <c r="J31" s="187">
        <f>-6362</f>
        <v>0</v>
      </c>
      <c r="K31" s="187">
        <f>-8451</f>
        <v>0</v>
      </c>
      <c r="L31" s="187">
        <f>-13316</f>
        <v>0</v>
      </c>
      <c r="M31" s="187">
        <f>-3867</f>
        <v>0</v>
      </c>
      <c r="N31" s="187">
        <f>-1746</f>
        <v>0</v>
      </c>
      <c r="O31" s="187">
        <f>-748</f>
        <v>0</v>
      </c>
      <c r="P31" s="187">
        <f>-1746</f>
        <v>0</v>
      </c>
      <c r="Q31" s="187">
        <f>-1247</f>
        <v>0</v>
      </c>
      <c r="R31" s="187">
        <f>-2089</f>
        <v>0</v>
      </c>
      <c r="S31" s="187">
        <f>-1029</f>
        <v>0</v>
      </c>
      <c r="T31" s="187">
        <f>-2869</f>
        <v>0</v>
      </c>
      <c r="U31" s="187">
        <f>-5925</f>
        <v>0</v>
      </c>
      <c r="V31" s="187">
        <f>-2089</f>
        <v>0</v>
      </c>
      <c r="W31" s="187">
        <f>0</f>
        <v>0</v>
      </c>
      <c r="X31" s="187">
        <f>-2557</f>
        <v>0</v>
      </c>
      <c r="Y31" s="187">
        <f>0</f>
        <v>0</v>
      </c>
    </row>
    <row r="32" spans="1:25" ht="15" customHeight="1">
      <c r="A32" s="153">
        <f>'Wksh 1 - Market Experience'!E18</f>
        <v>0</v>
      </c>
      <c r="B32" s="146" t="s">
        <v>169</v>
      </c>
      <c r="C32" s="156" t="s">
        <v>115</v>
      </c>
      <c r="D32" s="201">
        <f>SUM(E32:XFD32)</f>
        <v>4126238.42</v>
      </c>
      <c r="E32" s="187">
        <f>831098.89</f>
        <v>0</v>
      </c>
      <c r="F32" s="187">
        <f>881107.98</f>
        <v>0</v>
      </c>
      <c r="G32" s="187">
        <f>612557.62</f>
        <v>0</v>
      </c>
      <c r="H32" s="187">
        <f>605702.87</f>
        <v>0</v>
      </c>
      <c r="I32" s="187">
        <f>302991.09</f>
        <v>0</v>
      </c>
      <c r="J32" s="187">
        <f>121991.12</f>
        <v>0</v>
      </c>
      <c r="K32" s="187">
        <f>134640.41</f>
        <v>0</v>
      </c>
      <c r="L32" s="187">
        <f>207859.4</f>
        <v>0</v>
      </c>
      <c r="M32" s="187">
        <f>22597.27</f>
        <v>0</v>
      </c>
      <c r="N32" s="187">
        <f>18326.64</f>
        <v>0</v>
      </c>
      <c r="O32" s="187">
        <f>15883.44</f>
        <v>0</v>
      </c>
      <c r="P32" s="187">
        <f>34016.16</f>
        <v>0</v>
      </c>
      <c r="Q32" s="187">
        <f>32811.51</f>
        <v>0</v>
      </c>
      <c r="R32" s="187">
        <f>75062.51</f>
        <v>0</v>
      </c>
      <c r="S32" s="187">
        <f>18053.6</f>
        <v>0</v>
      </c>
      <c r="T32" s="187">
        <f>36576.22</f>
        <v>0</v>
      </c>
      <c r="U32" s="187">
        <f>106324.68</f>
        <v>0</v>
      </c>
      <c r="V32" s="187">
        <f>30919.1</f>
        <v>0</v>
      </c>
      <c r="W32" s="187">
        <f>0</f>
        <v>0</v>
      </c>
      <c r="X32" s="187">
        <f>37717.91</f>
        <v>0</v>
      </c>
      <c r="Y32" s="187">
        <f>0</f>
        <v>0</v>
      </c>
    </row>
    <row r="33" spans="1:25" ht="15" customHeight="1">
      <c r="A33" s="157">
        <f>'Wksh 1 - Market Experience'!E19</f>
        <v>0</v>
      </c>
      <c r="B33" s="146" t="s">
        <v>170</v>
      </c>
      <c r="C33" s="156" t="s">
        <v>22</v>
      </c>
      <c r="D33" s="202">
        <f>SUM(E33:XFD33)</f>
        <v>6444</v>
      </c>
      <c r="E33" s="218">
        <f>1039</f>
        <v>0</v>
      </c>
      <c r="F33" s="218">
        <f>1326</f>
        <v>0</v>
      </c>
      <c r="G33" s="218">
        <f>823</f>
        <v>0</v>
      </c>
      <c r="H33" s="218">
        <f>1027</f>
        <v>0</v>
      </c>
      <c r="I33" s="218">
        <f>496</f>
        <v>0</v>
      </c>
      <c r="J33" s="218">
        <f>204</f>
        <v>0</v>
      </c>
      <c r="K33" s="218">
        <f>271</f>
        <v>0</v>
      </c>
      <c r="L33" s="218">
        <f>427</f>
        <v>0</v>
      </c>
      <c r="M33" s="218">
        <f>124</f>
        <v>0</v>
      </c>
      <c r="N33" s="218">
        <f>56</f>
        <v>0</v>
      </c>
      <c r="O33" s="218">
        <f>24</f>
        <v>0</v>
      </c>
      <c r="P33" s="218">
        <f>56</f>
        <v>0</v>
      </c>
      <c r="Q33" s="218">
        <f>40</f>
        <v>0</v>
      </c>
      <c r="R33" s="218">
        <f>67</f>
        <v>0</v>
      </c>
      <c r="S33" s="218">
        <f>33</f>
        <v>0</v>
      </c>
      <c r="T33" s="218">
        <f>92</f>
        <v>0</v>
      </c>
      <c r="U33" s="218">
        <f>190</f>
        <v>0</v>
      </c>
      <c r="V33" s="218">
        <f>67</f>
        <v>0</v>
      </c>
      <c r="W33" s="218">
        <f>0</f>
        <v>0</v>
      </c>
      <c r="X33" s="218">
        <f>82</f>
        <v>0</v>
      </c>
      <c r="Y33" s="218">
        <f>0</f>
        <v>0</v>
      </c>
    </row>
    <row r="34" spans="1:25" ht="15" customHeight="1">
      <c r="A34" s="154"/>
      <c r="B34" s="146" t="s">
        <v>171</v>
      </c>
      <c r="C34" s="156" t="s">
        <v>116</v>
      </c>
      <c r="D34" s="202">
        <f>SUM(E34:XFD34)</f>
        <v>517</v>
      </c>
      <c r="E34" s="218">
        <f>131</f>
        <v>0</v>
      </c>
      <c r="F34" s="218">
        <f>64</f>
        <v>0</v>
      </c>
      <c r="G34" s="218">
        <f>85</f>
        <v>0</v>
      </c>
      <c r="H34" s="218">
        <f>79</f>
        <v>0</v>
      </c>
      <c r="I34" s="218">
        <f>54</f>
        <v>0</v>
      </c>
      <c r="J34" s="218">
        <f>20</f>
        <v>0</v>
      </c>
      <c r="K34" s="218">
        <f>11</f>
        <v>0</v>
      </c>
      <c r="L34" s="218">
        <f>10</f>
        <v>0</v>
      </c>
      <c r="M34" s="218">
        <f>9</f>
        <v>0</v>
      </c>
      <c r="N34" s="218">
        <f>0</f>
        <v>0</v>
      </c>
      <c r="O34" s="218">
        <f>0</f>
        <v>0</v>
      </c>
      <c r="P34" s="218">
        <f>0</f>
        <v>0</v>
      </c>
      <c r="Q34" s="218">
        <f>4</f>
        <v>0</v>
      </c>
      <c r="R34" s="218">
        <f>4</f>
        <v>0</v>
      </c>
      <c r="S34" s="218">
        <f>6</f>
        <v>0</v>
      </c>
      <c r="T34" s="218">
        <f>11</f>
        <v>0</v>
      </c>
      <c r="U34" s="218">
        <f>11</f>
        <v>0</v>
      </c>
      <c r="V34" s="218">
        <f>10</f>
        <v>0</v>
      </c>
      <c r="W34" s="218">
        <f>0</f>
        <v>0</v>
      </c>
      <c r="X34" s="218">
        <f>8</f>
        <v>0</v>
      </c>
      <c r="Y34" s="218">
        <f>0</f>
        <v>0</v>
      </c>
    </row>
    <row r="35" spans="1:25" ht="15" customHeight="1">
      <c r="A35" s="149"/>
      <c r="B35" s="148" t="s">
        <v>172</v>
      </c>
      <c r="C35" s="138" t="s">
        <v>117</v>
      </c>
      <c r="D35" s="203">
        <f>SUMPRODUCT(E35:XFD35,E34:XFD34)/D34</f>
        <v>668.35199999999998</v>
      </c>
      <c r="E35" s="188">
        <f>805</f>
        <v>0</v>
      </c>
      <c r="F35" s="188">
        <f>717</f>
        <v>0</v>
      </c>
      <c r="G35" s="188">
        <f>715</f>
        <v>0</v>
      </c>
      <c r="H35" s="188">
        <f>617</f>
        <v>0</v>
      </c>
      <c r="I35" s="188">
        <f>632</f>
        <v>0</v>
      </c>
      <c r="J35" s="188">
        <f>472</f>
        <v>0</v>
      </c>
      <c r="K35" s="188">
        <f>567</f>
        <v>0</v>
      </c>
      <c r="L35" s="188">
        <f>571</f>
        <v>0</v>
      </c>
      <c r="M35" s="188">
        <f>80</f>
        <v>0</v>
      </c>
      <c r="N35" s="188">
        <f>0</f>
        <v>0</v>
      </c>
      <c r="O35" s="188">
        <f>0</f>
        <v>0</v>
      </c>
      <c r="P35" s="188">
        <f>0</f>
        <v>0</v>
      </c>
      <c r="Q35" s="188">
        <f>815</f>
        <v>0</v>
      </c>
      <c r="R35" s="188">
        <f>824</f>
        <v>0</v>
      </c>
      <c r="S35" s="188">
        <f>708</f>
        <v>0</v>
      </c>
      <c r="T35" s="188">
        <f>670</f>
        <v>0</v>
      </c>
      <c r="U35" s="188">
        <f>356</f>
        <v>0</v>
      </c>
      <c r="V35" s="188">
        <f>356</f>
        <v>0</v>
      </c>
      <c r="W35" s="188">
        <f>0</f>
        <v>0</v>
      </c>
      <c r="X35" s="188">
        <f>349</f>
        <v>0</v>
      </c>
      <c r="Y35" s="188">
        <f>0</f>
        <v>0</v>
      </c>
    </row>
    <row r="36" spans="1:25" ht="15" customHeight="1">
      <c r="A36" s="149"/>
      <c r="B36" s="204" t="s">
        <v>173</v>
      </c>
      <c r="C36" s="205" t="s">
        <v>118</v>
      </c>
      <c r="D36" s="158">
        <f t="shared" ref="D36:Y36" si="2">D30/(D31+D32)</f>
        <v>1.0143354110540099</v>
      </c>
      <c r="E36" s="88">
        <f t="shared" si="2"/>
        <v>0</v>
      </c>
      <c r="F36" s="88">
        <f t="shared" si="2"/>
        <v>0</v>
      </c>
      <c r="G36" s="88">
        <f t="shared" si="2"/>
        <v>0</v>
      </c>
      <c r="H36" s="88">
        <f t="shared" si="2"/>
        <v>0</v>
      </c>
      <c r="I36" s="88">
        <f t="shared" si="2"/>
        <v>0</v>
      </c>
      <c r="J36" s="88">
        <f t="shared" si="2"/>
        <v>0</v>
      </c>
      <c r="K36" s="88">
        <f t="shared" si="2"/>
        <v>0</v>
      </c>
      <c r="L36" s="88">
        <f t="shared" si="2"/>
        <v>0</v>
      </c>
      <c r="M36" s="88">
        <f t="shared" si="2"/>
        <v>0</v>
      </c>
      <c r="N36" s="88">
        <f t="shared" si="2"/>
        <v>0</v>
      </c>
      <c r="O36" s="88">
        <f t="shared" si="2"/>
        <v>0</v>
      </c>
      <c r="P36" s="88">
        <f t="shared" si="2"/>
        <v>0</v>
      </c>
      <c r="Q36" s="88">
        <f t="shared" si="2"/>
        <v>0</v>
      </c>
      <c r="R36" s="88">
        <f t="shared" si="2"/>
        <v>0</v>
      </c>
      <c r="S36" s="88">
        <f t="shared" si="2"/>
        <v>0</v>
      </c>
      <c r="T36" s="88">
        <f t="shared" si="2"/>
        <v>0</v>
      </c>
      <c r="U36" s="88">
        <f t="shared" si="2"/>
        <v>0</v>
      </c>
      <c r="V36" s="88">
        <f t="shared" si="2"/>
        <v>0</v>
      </c>
      <c r="W36" s="88">
        <f t="shared" si="2"/>
        <v>0</v>
      </c>
      <c r="X36" s="88">
        <f t="shared" si="2"/>
        <v>0</v>
      </c>
      <c r="Y36" s="88">
        <f t="shared" si="2"/>
        <v>0</v>
      </c>
    </row>
    <row r="37" spans="1:25" ht="15" customHeight="1">
      <c r="A37" s="72"/>
      <c r="C37" s="76" t="s">
        <v>120</v>
      </c>
      <c r="D37" s="25"/>
      <c r="F37" s="5"/>
      <c r="G37" s="5"/>
      <c r="H37" s="5"/>
    </row>
    <row r="38" spans="1:25" ht="15" customHeight="1">
      <c r="A38" s="149"/>
      <c r="B38" s="146" t="s">
        <v>174</v>
      </c>
      <c r="C38" s="156" t="s">
        <v>86</v>
      </c>
      <c r="D38" s="86">
        <f t="shared" ref="D38:Y38" si="3">D26/D33</f>
        <v>795.86369999999999</v>
      </c>
      <c r="E38" s="86">
        <f t="shared" si="3"/>
        <v>0</v>
      </c>
      <c r="F38" s="86">
        <f t="shared" si="3"/>
        <v>0</v>
      </c>
      <c r="G38" s="86">
        <f t="shared" si="3"/>
        <v>0</v>
      </c>
      <c r="H38" s="86">
        <f t="shared" si="3"/>
        <v>0</v>
      </c>
      <c r="I38" s="86">
        <f t="shared" si="3"/>
        <v>0</v>
      </c>
      <c r="J38" s="86">
        <f t="shared" si="3"/>
        <v>0</v>
      </c>
      <c r="K38" s="86">
        <f t="shared" si="3"/>
        <v>0</v>
      </c>
      <c r="L38" s="86">
        <f t="shared" si="3"/>
        <v>0</v>
      </c>
      <c r="M38" s="86">
        <f t="shared" si="3"/>
        <v>0</v>
      </c>
      <c r="N38" s="86">
        <f t="shared" si="3"/>
        <v>0</v>
      </c>
      <c r="O38" s="86">
        <f t="shared" si="3"/>
        <v>0</v>
      </c>
      <c r="P38" s="86">
        <f t="shared" si="3"/>
        <v>0</v>
      </c>
      <c r="Q38" s="86">
        <f t="shared" si="3"/>
        <v>0</v>
      </c>
      <c r="R38" s="86">
        <f t="shared" si="3"/>
        <v>0</v>
      </c>
      <c r="S38" s="86">
        <f t="shared" si="3"/>
        <v>0</v>
      </c>
      <c r="T38" s="86">
        <f t="shared" si="3"/>
        <v>0</v>
      </c>
      <c r="U38" s="86">
        <f t="shared" si="3"/>
        <v>0</v>
      </c>
      <c r="V38" s="86">
        <f t="shared" si="3"/>
        <v>0</v>
      </c>
      <c r="W38" s="86">
        <f t="shared" si="3"/>
        <v>0</v>
      </c>
      <c r="X38" s="86">
        <f t="shared" si="3"/>
        <v>0</v>
      </c>
      <c r="Y38" s="86">
        <f t="shared" si="3"/>
        <v>0</v>
      </c>
    </row>
    <row r="39" spans="1:25" ht="15" customHeight="1">
      <c r="A39" s="149"/>
      <c r="B39" s="146" t="s">
        <v>175</v>
      </c>
      <c r="C39" s="156" t="s">
        <v>87</v>
      </c>
      <c r="D39" s="86">
        <f t="shared" ref="D39:Y39" si="4">D27/D33</f>
        <v>0</v>
      </c>
      <c r="E39" s="86">
        <f t="shared" si="4"/>
        <v>0</v>
      </c>
      <c r="F39" s="86">
        <f t="shared" si="4"/>
        <v>0</v>
      </c>
      <c r="G39" s="86">
        <f t="shared" si="4"/>
        <v>0</v>
      </c>
      <c r="H39" s="86">
        <f t="shared" si="4"/>
        <v>0</v>
      </c>
      <c r="I39" s="86">
        <f t="shared" si="4"/>
        <v>0</v>
      </c>
      <c r="J39" s="86">
        <f t="shared" si="4"/>
        <v>0</v>
      </c>
      <c r="K39" s="86">
        <f t="shared" si="4"/>
        <v>0</v>
      </c>
      <c r="L39" s="86">
        <f t="shared" si="4"/>
        <v>0</v>
      </c>
      <c r="M39" s="86">
        <f t="shared" si="4"/>
        <v>0</v>
      </c>
      <c r="N39" s="86">
        <f t="shared" si="4"/>
        <v>0</v>
      </c>
      <c r="O39" s="86">
        <f t="shared" si="4"/>
        <v>0</v>
      </c>
      <c r="P39" s="86">
        <f t="shared" si="4"/>
        <v>0</v>
      </c>
      <c r="Q39" s="86">
        <f t="shared" si="4"/>
        <v>0</v>
      </c>
      <c r="R39" s="86">
        <f t="shared" si="4"/>
        <v>0</v>
      </c>
      <c r="S39" s="86">
        <f t="shared" si="4"/>
        <v>0</v>
      </c>
      <c r="T39" s="86">
        <f t="shared" si="4"/>
        <v>0</v>
      </c>
      <c r="U39" s="86">
        <f t="shared" si="4"/>
        <v>0</v>
      </c>
      <c r="V39" s="86">
        <f t="shared" si="4"/>
        <v>0</v>
      </c>
      <c r="W39" s="86">
        <f t="shared" si="4"/>
        <v>0</v>
      </c>
      <c r="X39" s="86">
        <f t="shared" si="4"/>
        <v>0</v>
      </c>
      <c r="Y39" s="86">
        <f t="shared" si="4"/>
        <v>0</v>
      </c>
    </row>
    <row r="40" spans="1:25" ht="15" customHeight="1">
      <c r="A40" s="149"/>
      <c r="B40" s="146" t="s">
        <v>176</v>
      </c>
      <c r="C40" s="156" t="s">
        <v>111</v>
      </c>
      <c r="D40" s="86">
        <f t="shared" ref="D40:Y40" si="5">D28/D33</f>
        <v>177.99350000000001</v>
      </c>
      <c r="E40" s="86">
        <f t="shared" si="5"/>
        <v>0</v>
      </c>
      <c r="F40" s="86">
        <f t="shared" si="5"/>
        <v>0</v>
      </c>
      <c r="G40" s="86">
        <f t="shared" si="5"/>
        <v>0</v>
      </c>
      <c r="H40" s="86">
        <f t="shared" si="5"/>
        <v>0</v>
      </c>
      <c r="I40" s="86">
        <f t="shared" si="5"/>
        <v>0</v>
      </c>
      <c r="J40" s="86">
        <f t="shared" si="5"/>
        <v>0</v>
      </c>
      <c r="K40" s="86">
        <f t="shared" si="5"/>
        <v>0</v>
      </c>
      <c r="L40" s="86">
        <f t="shared" si="5"/>
        <v>0</v>
      </c>
      <c r="M40" s="86">
        <f t="shared" si="5"/>
        <v>0</v>
      </c>
      <c r="N40" s="86">
        <f t="shared" si="5"/>
        <v>0</v>
      </c>
      <c r="O40" s="86">
        <f t="shared" si="5"/>
        <v>0</v>
      </c>
      <c r="P40" s="86">
        <f t="shared" si="5"/>
        <v>0</v>
      </c>
      <c r="Q40" s="86">
        <f t="shared" si="5"/>
        <v>0</v>
      </c>
      <c r="R40" s="86">
        <f t="shared" si="5"/>
        <v>0</v>
      </c>
      <c r="S40" s="86">
        <f t="shared" si="5"/>
        <v>0</v>
      </c>
      <c r="T40" s="86">
        <f t="shared" si="5"/>
        <v>0</v>
      </c>
      <c r="U40" s="86">
        <f t="shared" si="5"/>
        <v>0</v>
      </c>
      <c r="V40" s="86">
        <f t="shared" si="5"/>
        <v>0</v>
      </c>
      <c r="W40" s="86">
        <f t="shared" si="5"/>
        <v>0</v>
      </c>
      <c r="X40" s="86">
        <f t="shared" si="5"/>
        <v>0</v>
      </c>
      <c r="Y40" s="86">
        <f t="shared" si="5"/>
        <v>0</v>
      </c>
    </row>
    <row r="41" spans="1:25" ht="15" customHeight="1">
      <c r="A41" s="149"/>
      <c r="B41" s="146" t="s">
        <v>177</v>
      </c>
      <c r="C41" s="156" t="s">
        <v>112</v>
      </c>
      <c r="D41" s="86">
        <f t="shared" ref="D41:Y41" si="6">D29/D33</f>
        <v>0</v>
      </c>
      <c r="E41" s="86">
        <f t="shared" si="6"/>
        <v>0</v>
      </c>
      <c r="F41" s="86">
        <f t="shared" si="6"/>
        <v>0</v>
      </c>
      <c r="G41" s="86">
        <f t="shared" si="6"/>
        <v>0</v>
      </c>
      <c r="H41" s="86">
        <f t="shared" si="6"/>
        <v>0</v>
      </c>
      <c r="I41" s="86">
        <f t="shared" si="6"/>
        <v>0</v>
      </c>
      <c r="J41" s="86">
        <f t="shared" si="6"/>
        <v>0</v>
      </c>
      <c r="K41" s="86">
        <f t="shared" si="6"/>
        <v>0</v>
      </c>
      <c r="L41" s="86">
        <f t="shared" si="6"/>
        <v>0</v>
      </c>
      <c r="M41" s="86">
        <f t="shared" si="6"/>
        <v>0</v>
      </c>
      <c r="N41" s="86">
        <f t="shared" si="6"/>
        <v>0</v>
      </c>
      <c r="O41" s="86">
        <f t="shared" si="6"/>
        <v>0</v>
      </c>
      <c r="P41" s="86">
        <f t="shared" si="6"/>
        <v>0</v>
      </c>
      <c r="Q41" s="86">
        <f t="shared" si="6"/>
        <v>0</v>
      </c>
      <c r="R41" s="86">
        <f t="shared" si="6"/>
        <v>0</v>
      </c>
      <c r="S41" s="86">
        <f t="shared" si="6"/>
        <v>0</v>
      </c>
      <c r="T41" s="86">
        <f t="shared" si="6"/>
        <v>0</v>
      </c>
      <c r="U41" s="86">
        <f t="shared" si="6"/>
        <v>0</v>
      </c>
      <c r="V41" s="86">
        <f t="shared" si="6"/>
        <v>0</v>
      </c>
      <c r="W41" s="86">
        <f t="shared" si="6"/>
        <v>0</v>
      </c>
      <c r="X41" s="86">
        <f t="shared" si="6"/>
        <v>0</v>
      </c>
      <c r="Y41" s="86">
        <f t="shared" si="6"/>
        <v>0</v>
      </c>
    </row>
    <row r="42" spans="1:25" ht="15" customHeight="1">
      <c r="A42" s="149"/>
      <c r="B42" s="146" t="s">
        <v>178</v>
      </c>
      <c r="C42" s="156" t="s">
        <v>113</v>
      </c>
      <c r="D42" s="86">
        <f t="shared" ref="D42:Y42" si="7">D30/D33</f>
        <v>617.87030000000004</v>
      </c>
      <c r="E42" s="86">
        <f t="shared" si="7"/>
        <v>0</v>
      </c>
      <c r="F42" s="86">
        <f t="shared" si="7"/>
        <v>0</v>
      </c>
      <c r="G42" s="86">
        <f t="shared" si="7"/>
        <v>0</v>
      </c>
      <c r="H42" s="86">
        <f t="shared" si="7"/>
        <v>0</v>
      </c>
      <c r="I42" s="86">
        <f t="shared" si="7"/>
        <v>0</v>
      </c>
      <c r="J42" s="86">
        <f t="shared" si="7"/>
        <v>0</v>
      </c>
      <c r="K42" s="86">
        <f t="shared" si="7"/>
        <v>0</v>
      </c>
      <c r="L42" s="86">
        <f t="shared" si="7"/>
        <v>0</v>
      </c>
      <c r="M42" s="86">
        <f t="shared" si="7"/>
        <v>0</v>
      </c>
      <c r="N42" s="86">
        <f t="shared" si="7"/>
        <v>0</v>
      </c>
      <c r="O42" s="86">
        <f t="shared" si="7"/>
        <v>0</v>
      </c>
      <c r="P42" s="86">
        <f t="shared" si="7"/>
        <v>0</v>
      </c>
      <c r="Q42" s="86">
        <f t="shared" si="7"/>
        <v>0</v>
      </c>
      <c r="R42" s="86">
        <f t="shared" si="7"/>
        <v>0</v>
      </c>
      <c r="S42" s="86">
        <f t="shared" si="7"/>
        <v>0</v>
      </c>
      <c r="T42" s="86">
        <f t="shared" si="7"/>
        <v>0</v>
      </c>
      <c r="U42" s="86">
        <f t="shared" si="7"/>
        <v>0</v>
      </c>
      <c r="V42" s="86">
        <f t="shared" si="7"/>
        <v>0</v>
      </c>
      <c r="W42" s="86">
        <f t="shared" si="7"/>
        <v>0</v>
      </c>
      <c r="X42" s="86">
        <f t="shared" si="7"/>
        <v>0</v>
      </c>
      <c r="Y42" s="86">
        <f t="shared" si="7"/>
        <v>0</v>
      </c>
    </row>
    <row r="43" spans="1:25" ht="15" customHeight="1">
      <c r="A43" s="149"/>
      <c r="B43" s="146" t="s">
        <v>179</v>
      </c>
      <c r="C43" s="156" t="s">
        <v>114</v>
      </c>
      <c r="D43" s="86">
        <f t="shared" ref="D43:Y43" si="8">D31/D33</f>
        <v>-31.1845</v>
      </c>
      <c r="E43" s="86">
        <f t="shared" si="8"/>
        <v>0</v>
      </c>
      <c r="F43" s="86">
        <f t="shared" si="8"/>
        <v>0</v>
      </c>
      <c r="G43" s="86">
        <f t="shared" si="8"/>
        <v>0</v>
      </c>
      <c r="H43" s="86">
        <f t="shared" si="8"/>
        <v>0</v>
      </c>
      <c r="I43" s="86">
        <f t="shared" si="8"/>
        <v>0</v>
      </c>
      <c r="J43" s="86">
        <f t="shared" si="8"/>
        <v>0</v>
      </c>
      <c r="K43" s="86">
        <f t="shared" si="8"/>
        <v>0</v>
      </c>
      <c r="L43" s="86">
        <f t="shared" si="8"/>
        <v>0</v>
      </c>
      <c r="M43" s="86">
        <f t="shared" si="8"/>
        <v>0</v>
      </c>
      <c r="N43" s="86">
        <f t="shared" si="8"/>
        <v>0</v>
      </c>
      <c r="O43" s="86">
        <f t="shared" si="8"/>
        <v>0</v>
      </c>
      <c r="P43" s="86">
        <f t="shared" si="8"/>
        <v>0</v>
      </c>
      <c r="Q43" s="86">
        <f t="shared" si="8"/>
        <v>0</v>
      </c>
      <c r="R43" s="86">
        <f t="shared" si="8"/>
        <v>0</v>
      </c>
      <c r="S43" s="86">
        <f t="shared" si="8"/>
        <v>0</v>
      </c>
      <c r="T43" s="86">
        <f t="shared" si="8"/>
        <v>0</v>
      </c>
      <c r="U43" s="86">
        <f t="shared" si="8"/>
        <v>0</v>
      </c>
      <c r="V43" s="86">
        <f t="shared" si="8"/>
        <v>0</v>
      </c>
      <c r="W43" s="86">
        <f t="shared" si="8"/>
        <v>0</v>
      </c>
      <c r="X43" s="86">
        <f t="shared" si="8"/>
        <v>0</v>
      </c>
      <c r="Y43" s="86">
        <f t="shared" si="8"/>
        <v>0</v>
      </c>
    </row>
    <row r="44" spans="1:25" ht="15" customHeight="1">
      <c r="A44" s="149"/>
      <c r="B44" s="148" t="s">
        <v>180</v>
      </c>
      <c r="C44" s="155" t="s">
        <v>115</v>
      </c>
      <c r="D44" s="86">
        <f t="shared" ref="D44:Y44" si="9">D32/D33</f>
        <v>640.32249999999999</v>
      </c>
      <c r="E44" s="86">
        <f t="shared" si="9"/>
        <v>0</v>
      </c>
      <c r="F44" s="86">
        <f t="shared" si="9"/>
        <v>0</v>
      </c>
      <c r="G44" s="86">
        <f t="shared" si="9"/>
        <v>0</v>
      </c>
      <c r="H44" s="86">
        <f t="shared" si="9"/>
        <v>0</v>
      </c>
      <c r="I44" s="86">
        <f t="shared" si="9"/>
        <v>0</v>
      </c>
      <c r="J44" s="86">
        <f t="shared" si="9"/>
        <v>0</v>
      </c>
      <c r="K44" s="86">
        <f t="shared" si="9"/>
        <v>0</v>
      </c>
      <c r="L44" s="86">
        <f t="shared" si="9"/>
        <v>0</v>
      </c>
      <c r="M44" s="86">
        <f t="shared" si="9"/>
        <v>0</v>
      </c>
      <c r="N44" s="86">
        <f t="shared" si="9"/>
        <v>0</v>
      </c>
      <c r="O44" s="86">
        <f t="shared" si="9"/>
        <v>0</v>
      </c>
      <c r="P44" s="86">
        <f t="shared" si="9"/>
        <v>0</v>
      </c>
      <c r="Q44" s="86">
        <f t="shared" si="9"/>
        <v>0</v>
      </c>
      <c r="R44" s="86">
        <f t="shared" si="9"/>
        <v>0</v>
      </c>
      <c r="S44" s="86">
        <f t="shared" si="9"/>
        <v>0</v>
      </c>
      <c r="T44" s="86">
        <f t="shared" si="9"/>
        <v>0</v>
      </c>
      <c r="U44" s="86">
        <f t="shared" si="9"/>
        <v>0</v>
      </c>
      <c r="V44" s="86">
        <f t="shared" si="9"/>
        <v>0</v>
      </c>
      <c r="W44" s="86">
        <f t="shared" si="9"/>
        <v>0</v>
      </c>
      <c r="X44" s="86">
        <f t="shared" si="9"/>
        <v>0</v>
      </c>
      <c r="Y44" s="86">
        <f t="shared" si="9"/>
        <v>0</v>
      </c>
    </row>
    <row r="45" spans="1:25" ht="15" customHeight="1"/>
    <row r="46" spans="1:25" ht="15" customHeight="1">
      <c r="C46" s="76" t="s">
        <v>121</v>
      </c>
    </row>
    <row r="47" spans="1:25" ht="15" customHeight="1">
      <c r="B47" s="146" t="s">
        <v>181</v>
      </c>
      <c r="C47" s="163" t="s">
        <v>106</v>
      </c>
      <c r="D47" s="165"/>
      <c r="E47" s="191">
        <f t="shared" ref="E47:Y47" si="10">E13</f>
        <v>0</v>
      </c>
      <c r="F47" s="191">
        <f t="shared" si="10"/>
        <v>0</v>
      </c>
      <c r="G47" s="191">
        <f t="shared" si="10"/>
        <v>0</v>
      </c>
      <c r="H47" s="191">
        <f t="shared" si="10"/>
        <v>0</v>
      </c>
      <c r="I47" s="191">
        <f t="shared" si="10"/>
        <v>0</v>
      </c>
      <c r="J47" s="191">
        <f t="shared" si="10"/>
        <v>0</v>
      </c>
      <c r="K47" s="191">
        <f t="shared" si="10"/>
        <v>0</v>
      </c>
      <c r="L47" s="191">
        <f t="shared" si="10"/>
        <v>0</v>
      </c>
      <c r="M47" s="191">
        <f t="shared" si="10"/>
        <v>0</v>
      </c>
      <c r="N47" s="191">
        <f t="shared" si="10"/>
        <v>0</v>
      </c>
      <c r="O47" s="191">
        <f t="shared" si="10"/>
        <v>0</v>
      </c>
      <c r="P47" s="191">
        <f t="shared" si="10"/>
        <v>0</v>
      </c>
      <c r="Q47" s="191">
        <f t="shared" si="10"/>
        <v>0</v>
      </c>
      <c r="R47" s="191">
        <f t="shared" si="10"/>
        <v>0</v>
      </c>
      <c r="S47" s="191">
        <f t="shared" si="10"/>
        <v>0</v>
      </c>
      <c r="T47" s="191">
        <f t="shared" si="10"/>
        <v>0</v>
      </c>
      <c r="U47" s="191">
        <f t="shared" si="10"/>
        <v>0</v>
      </c>
      <c r="V47" s="191">
        <f t="shared" si="10"/>
        <v>0</v>
      </c>
      <c r="W47" s="191">
        <f t="shared" si="10"/>
        <v>0</v>
      </c>
      <c r="X47" s="191">
        <f t="shared" si="10"/>
        <v>0</v>
      </c>
      <c r="Y47" s="191">
        <f t="shared" si="10"/>
        <v>0</v>
      </c>
    </row>
    <row r="48" spans="1:25" ht="15" customHeight="1">
      <c r="B48" s="146" t="s">
        <v>182</v>
      </c>
      <c r="C48" s="163" t="s">
        <v>122</v>
      </c>
      <c r="D48" s="166"/>
      <c r="E48" s="268">
        <f>'Wksh 1 - Market Experience'!F46</f>
        <v>0</v>
      </c>
      <c r="F48" s="268"/>
      <c r="G48" s="268"/>
      <c r="H48" s="268"/>
      <c r="I48" s="268"/>
      <c r="J48" s="268"/>
      <c r="K48" s="268"/>
      <c r="L48" s="268"/>
      <c r="M48" s="268"/>
      <c r="N48" s="268"/>
      <c r="O48" s="268"/>
      <c r="P48" s="268"/>
      <c r="Q48" s="268"/>
      <c r="R48" s="268"/>
      <c r="S48" s="268"/>
      <c r="T48" s="268"/>
      <c r="U48" s="268"/>
      <c r="V48" s="268"/>
      <c r="W48" s="268"/>
      <c r="X48" s="268"/>
      <c r="Y48" s="268"/>
    </row>
    <row r="49" spans="2:25" ht="15" customHeight="1">
      <c r="B49" s="146" t="s">
        <v>183</v>
      </c>
      <c r="C49" s="163" t="s">
        <v>123</v>
      </c>
      <c r="D49" s="166"/>
      <c r="E49" s="193">
        <v>0.95289999999999997</v>
      </c>
      <c r="F49" s="193">
        <v>0.86470000000000002</v>
      </c>
      <c r="G49" s="193">
        <v>0.82030000000000003</v>
      </c>
      <c r="H49" s="193">
        <v>0.73950000000000005</v>
      </c>
      <c r="I49" s="193">
        <v>0.71719999999999995</v>
      </c>
      <c r="J49" s="193">
        <v>0.72340000000000004</v>
      </c>
      <c r="K49" s="193">
        <v>0.67720000000000002</v>
      </c>
      <c r="L49" s="193">
        <v>0.61240000000000006</v>
      </c>
      <c r="M49" s="193">
        <v>0.64670000000000005</v>
      </c>
      <c r="N49" s="193">
        <v>0</v>
      </c>
      <c r="O49" s="193">
        <v>0</v>
      </c>
      <c r="P49" s="193">
        <v>0</v>
      </c>
      <c r="Q49" s="193">
        <v>0.90380000000000005</v>
      </c>
      <c r="R49" s="193">
        <v>0.81399999999999995</v>
      </c>
      <c r="S49" s="193">
        <v>0.75819999999999999</v>
      </c>
      <c r="T49" s="193">
        <v>0.67710000000000004</v>
      </c>
      <c r="U49" s="193">
        <v>0.65669999999999995</v>
      </c>
      <c r="V49" s="193">
        <v>0.67469999999999997</v>
      </c>
      <c r="W49" s="193">
        <v>0.63959999999999995</v>
      </c>
      <c r="X49" s="193">
        <v>0.58140000000000003</v>
      </c>
      <c r="Y49" s="193">
        <v>0.60370000000000001</v>
      </c>
    </row>
    <row r="50" spans="2:25" ht="15" customHeight="1">
      <c r="B50" s="146" t="s">
        <v>184</v>
      </c>
      <c r="C50" s="163" t="s">
        <v>124</v>
      </c>
      <c r="D50" s="166"/>
      <c r="E50" s="193">
        <v>0.99209999999999998</v>
      </c>
      <c r="F50" s="193">
        <v>0.99209999999999998</v>
      </c>
      <c r="G50" s="193">
        <v>0.99209999999999998</v>
      </c>
      <c r="H50" s="193">
        <v>0.99209999999999998</v>
      </c>
      <c r="I50" s="193">
        <v>0.99209999999999998</v>
      </c>
      <c r="J50" s="193">
        <v>0.99209999999999998</v>
      </c>
      <c r="K50" s="193">
        <v>0.99209999999999998</v>
      </c>
      <c r="L50" s="193">
        <v>0.99209999999999998</v>
      </c>
      <c r="M50" s="193">
        <v>0.99209999999999998</v>
      </c>
      <c r="N50" s="193">
        <v>0</v>
      </c>
      <c r="O50" s="193">
        <v>0</v>
      </c>
      <c r="P50" s="193">
        <v>0</v>
      </c>
      <c r="Q50" s="193">
        <v>1.0678000000000001</v>
      </c>
      <c r="R50" s="193">
        <v>1.0678000000000001</v>
      </c>
      <c r="S50" s="193">
        <v>1.0678000000000001</v>
      </c>
      <c r="T50" s="193">
        <v>1.0678000000000001</v>
      </c>
      <c r="U50" s="193">
        <v>1.0678000000000001</v>
      </c>
      <c r="V50" s="193">
        <v>1.0678000000000001</v>
      </c>
      <c r="W50" s="193">
        <v>1.0678000000000001</v>
      </c>
      <c r="X50" s="193">
        <v>1.0678000000000001</v>
      </c>
      <c r="Y50" s="193">
        <v>1.0678000000000001</v>
      </c>
    </row>
    <row r="51" spans="2:25" ht="15" customHeight="1">
      <c r="B51" s="148" t="s">
        <v>185</v>
      </c>
      <c r="C51" s="164" t="s">
        <v>125</v>
      </c>
      <c r="D51" s="167"/>
      <c r="E51" s="193">
        <v>1.0024</v>
      </c>
      <c r="F51" s="193">
        <v>1.0024</v>
      </c>
      <c r="G51" s="193">
        <v>1.0024</v>
      </c>
      <c r="H51" s="193">
        <v>1.0024</v>
      </c>
      <c r="I51" s="193">
        <v>1.0024</v>
      </c>
      <c r="J51" s="193">
        <v>1.0024</v>
      </c>
      <c r="K51" s="193">
        <v>1.0024</v>
      </c>
      <c r="L51" s="193">
        <v>1.0024</v>
      </c>
      <c r="M51" s="193">
        <v>1.0024</v>
      </c>
      <c r="N51" s="193">
        <v>0</v>
      </c>
      <c r="O51" s="193">
        <v>0</v>
      </c>
      <c r="P51" s="193">
        <v>0</v>
      </c>
      <c r="Q51" s="193">
        <v>1.0024</v>
      </c>
      <c r="R51" s="193">
        <v>1.0024</v>
      </c>
      <c r="S51" s="193">
        <v>1.0024</v>
      </c>
      <c r="T51" s="193">
        <v>1.0024</v>
      </c>
      <c r="U51" s="193">
        <v>1.0024</v>
      </c>
      <c r="V51" s="193">
        <v>1.0024</v>
      </c>
      <c r="W51" s="193">
        <v>1.0024</v>
      </c>
      <c r="X51" s="193">
        <v>1.0024</v>
      </c>
      <c r="Y51" s="193">
        <v>1.0024</v>
      </c>
    </row>
    <row r="52" spans="2:25" ht="15" customHeight="1">
      <c r="C52" s="77" t="s">
        <v>133</v>
      </c>
    </row>
    <row r="53" spans="2:25" ht="15" customHeight="1">
      <c r="B53" s="146" t="s">
        <v>186</v>
      </c>
      <c r="C53" s="172" t="s">
        <v>134</v>
      </c>
      <c r="D53" s="165"/>
      <c r="E53" s="196">
        <v>0.20799999999999999</v>
      </c>
      <c r="F53" s="196">
        <v>0.20799999999999999</v>
      </c>
      <c r="G53" s="196">
        <v>0.20799999999999999</v>
      </c>
      <c r="H53" s="196">
        <v>0.20799999999999999</v>
      </c>
      <c r="I53" s="196">
        <v>0.20799999999999999</v>
      </c>
      <c r="J53" s="196">
        <v>0.20799999999999999</v>
      </c>
      <c r="K53" s="196">
        <v>0.20799999999999999</v>
      </c>
      <c r="L53" s="196">
        <v>0.20799999999999999</v>
      </c>
      <c r="M53" s="196">
        <v>0.20799999999999999</v>
      </c>
      <c r="N53" s="196">
        <v>0.20799999999999999</v>
      </c>
      <c r="O53" s="196">
        <v>0.20799999999999999</v>
      </c>
      <c r="P53" s="196">
        <v>0.20799999999999999</v>
      </c>
      <c r="Q53" s="196">
        <v>0.20799999999999999</v>
      </c>
      <c r="R53" s="196">
        <v>0.20799999999999999</v>
      </c>
      <c r="S53" s="196">
        <v>0.20799999999999999</v>
      </c>
      <c r="T53" s="196">
        <v>0.20799999999999999</v>
      </c>
      <c r="U53" s="196">
        <v>0.20799999999999999</v>
      </c>
      <c r="V53" s="196">
        <v>0.20799999999999999</v>
      </c>
      <c r="W53" s="196">
        <v>0.20799999999999999</v>
      </c>
      <c r="X53" s="196">
        <v>0.20799999999999999</v>
      </c>
      <c r="Y53" s="196">
        <v>0.20799999999999999</v>
      </c>
    </row>
    <row r="54" spans="2:25" ht="15" customHeight="1">
      <c r="B54" s="146" t="s">
        <v>187</v>
      </c>
      <c r="C54" s="172" t="s">
        <v>135</v>
      </c>
      <c r="D54" s="166"/>
      <c r="E54" s="196">
        <v>2.4E-2</v>
      </c>
      <c r="F54" s="196">
        <v>2.4E-2</v>
      </c>
      <c r="G54" s="196">
        <v>2.4E-2</v>
      </c>
      <c r="H54" s="196">
        <v>2.4E-2</v>
      </c>
      <c r="I54" s="196">
        <v>2.4E-2</v>
      </c>
      <c r="J54" s="196">
        <v>2.4E-2</v>
      </c>
      <c r="K54" s="196">
        <v>2.4E-2</v>
      </c>
      <c r="L54" s="196">
        <v>2.4E-2</v>
      </c>
      <c r="M54" s="196">
        <v>2.4E-2</v>
      </c>
      <c r="N54" s="196">
        <v>2.4E-2</v>
      </c>
      <c r="O54" s="196">
        <v>2.4E-2</v>
      </c>
      <c r="P54" s="196">
        <v>2.4E-2</v>
      </c>
      <c r="Q54" s="196">
        <v>2.4E-2</v>
      </c>
      <c r="R54" s="196">
        <v>2.4E-2</v>
      </c>
      <c r="S54" s="196">
        <v>2.4E-2</v>
      </c>
      <c r="T54" s="196">
        <v>2.4E-2</v>
      </c>
      <c r="U54" s="196">
        <v>2.4E-2</v>
      </c>
      <c r="V54" s="196">
        <v>2.4E-2</v>
      </c>
      <c r="W54" s="196">
        <v>2.4E-2</v>
      </c>
      <c r="X54" s="196">
        <v>2.4E-2</v>
      </c>
      <c r="Y54" s="196">
        <v>2.4E-2</v>
      </c>
    </row>
    <row r="55" spans="2:25" ht="15" customHeight="1">
      <c r="B55" s="146" t="s">
        <v>188</v>
      </c>
      <c r="C55" s="172" t="s">
        <v>12</v>
      </c>
      <c r="D55" s="166"/>
      <c r="E55" s="196">
        <v>-3.9E-2</v>
      </c>
      <c r="F55" s="196">
        <v>-3.9E-2</v>
      </c>
      <c r="G55" s="196">
        <v>-3.9E-2</v>
      </c>
      <c r="H55" s="196">
        <v>-3.9E-2</v>
      </c>
      <c r="I55" s="196">
        <v>-3.9E-2</v>
      </c>
      <c r="J55" s="196">
        <v>-3.9E-2</v>
      </c>
      <c r="K55" s="196">
        <v>-3.9E-2</v>
      </c>
      <c r="L55" s="196">
        <v>-3.9E-2</v>
      </c>
      <c r="M55" s="196">
        <v>-3.9E-2</v>
      </c>
      <c r="N55" s="196">
        <v>-3.9E-2</v>
      </c>
      <c r="O55" s="196">
        <v>-3.9E-2</v>
      </c>
      <c r="P55" s="196">
        <v>-3.9E-2</v>
      </c>
      <c r="Q55" s="196">
        <v>-3.9E-2</v>
      </c>
      <c r="R55" s="196">
        <v>-3.9E-2</v>
      </c>
      <c r="S55" s="196">
        <v>-3.9E-2</v>
      </c>
      <c r="T55" s="196">
        <v>-3.9E-2</v>
      </c>
      <c r="U55" s="196">
        <v>-3.9E-2</v>
      </c>
      <c r="V55" s="196">
        <v>-3.9E-2</v>
      </c>
      <c r="W55" s="196">
        <v>-3.9E-2</v>
      </c>
      <c r="X55" s="196">
        <v>-3.9E-2</v>
      </c>
      <c r="Y55" s="196">
        <v>-3.9E-2</v>
      </c>
    </row>
    <row r="56" spans="2:25"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row>
    <row r="57" spans="2:25" ht="15" customHeight="1">
      <c r="B57" s="148" t="s">
        <v>190</v>
      </c>
      <c r="C57" s="173" t="s">
        <v>79</v>
      </c>
      <c r="D57" s="167"/>
      <c r="E57" s="195">
        <f t="shared" ref="E57:Y57" si="11">($E$48*PRODUCT(E49:E51)*E56)/(1-SUM(E53:E55))</f>
        <v>0</v>
      </c>
      <c r="F57" s="195">
        <f t="shared" si="11"/>
        <v>0</v>
      </c>
      <c r="G57" s="195">
        <f t="shared" si="11"/>
        <v>0</v>
      </c>
      <c r="H57" s="195">
        <f t="shared" si="11"/>
        <v>0</v>
      </c>
      <c r="I57" s="195">
        <f t="shared" si="11"/>
        <v>0</v>
      </c>
      <c r="J57" s="195">
        <f t="shared" si="11"/>
        <v>0</v>
      </c>
      <c r="K57" s="195">
        <f t="shared" si="11"/>
        <v>0</v>
      </c>
      <c r="L57" s="195">
        <f t="shared" si="11"/>
        <v>0</v>
      </c>
      <c r="M57" s="195">
        <f t="shared" si="11"/>
        <v>0</v>
      </c>
      <c r="N57" s="195">
        <f t="shared" si="11"/>
        <v>0</v>
      </c>
      <c r="O57" s="195">
        <f t="shared" si="11"/>
        <v>0</v>
      </c>
      <c r="P57" s="195">
        <f t="shared" si="11"/>
        <v>0</v>
      </c>
      <c r="Q57" s="195">
        <f t="shared" si="11"/>
        <v>0</v>
      </c>
      <c r="R57" s="195">
        <f t="shared" si="11"/>
        <v>0</v>
      </c>
      <c r="S57" s="195">
        <f t="shared" si="11"/>
        <v>0</v>
      </c>
      <c r="T57" s="195">
        <f t="shared" si="11"/>
        <v>0</v>
      </c>
      <c r="U57" s="195">
        <f t="shared" si="11"/>
        <v>0</v>
      </c>
      <c r="V57" s="195">
        <f t="shared" si="11"/>
        <v>0</v>
      </c>
      <c r="W57" s="195">
        <f t="shared" si="11"/>
        <v>0</v>
      </c>
      <c r="X57" s="195">
        <f t="shared" si="11"/>
        <v>0</v>
      </c>
      <c r="Y57" s="195">
        <f t="shared" si="11"/>
        <v>0</v>
      </c>
    </row>
    <row r="58" spans="2:25" ht="15" customHeight="1"/>
    <row r="59" spans="2:25" ht="15" customHeight="1">
      <c r="B59" s="146" t="s">
        <v>191</v>
      </c>
      <c r="C59" s="156" t="s">
        <v>127</v>
      </c>
      <c r="D59" s="208">
        <v>0.64870000000000005</v>
      </c>
      <c r="E59" s="269">
        <f>IF(D59&lt;&gt;"", D59, "")</f>
        <v>0</v>
      </c>
      <c r="F59" s="269"/>
      <c r="G59" s="269"/>
      <c r="H59" s="269"/>
      <c r="I59" s="269"/>
      <c r="J59" s="269"/>
      <c r="K59" s="269"/>
      <c r="L59" s="269"/>
      <c r="M59" s="269"/>
      <c r="N59" s="269"/>
      <c r="O59" s="269"/>
      <c r="P59" s="269"/>
      <c r="Q59" s="269"/>
      <c r="R59" s="269"/>
      <c r="S59" s="269"/>
      <c r="T59" s="269"/>
      <c r="U59" s="269"/>
      <c r="V59" s="269"/>
      <c r="W59" s="269"/>
      <c r="X59" s="269"/>
      <c r="Y59" s="269"/>
    </row>
    <row r="60" spans="2:25" ht="15" customHeight="1">
      <c r="B60" s="146" t="s">
        <v>192</v>
      </c>
      <c r="C60" s="156" t="s">
        <v>128</v>
      </c>
      <c r="D60" s="208">
        <v>1</v>
      </c>
      <c r="E60" s="269">
        <f>IF(D60&lt;&gt;"", D60, "")</f>
        <v>0</v>
      </c>
      <c r="F60" s="269"/>
      <c r="G60" s="269"/>
      <c r="H60" s="269"/>
      <c r="I60" s="269"/>
      <c r="J60" s="269"/>
      <c r="K60" s="269"/>
      <c r="L60" s="269"/>
      <c r="M60" s="269"/>
      <c r="N60" s="269"/>
      <c r="O60" s="269"/>
      <c r="P60" s="269"/>
      <c r="Q60" s="269"/>
      <c r="R60" s="269"/>
      <c r="S60" s="269"/>
      <c r="T60" s="269"/>
      <c r="U60" s="269"/>
      <c r="V60" s="269"/>
      <c r="W60" s="269"/>
      <c r="X60" s="269"/>
      <c r="Y60" s="269"/>
    </row>
    <row r="61" spans="2:25" ht="15" customHeight="1">
      <c r="B61" s="146" t="s">
        <v>193</v>
      </c>
      <c r="C61" s="156" t="s">
        <v>129</v>
      </c>
      <c r="D61" s="208">
        <v>1</v>
      </c>
      <c r="E61" s="269">
        <f>IF(D61&lt;&gt;"", D61, "")</f>
        <v>0</v>
      </c>
      <c r="F61" s="269"/>
      <c r="G61" s="269"/>
      <c r="H61" s="269"/>
      <c r="I61" s="269"/>
      <c r="J61" s="269"/>
      <c r="K61" s="269"/>
      <c r="L61" s="269"/>
      <c r="M61" s="269"/>
      <c r="N61" s="269"/>
      <c r="O61" s="269"/>
      <c r="P61" s="269"/>
      <c r="Q61" s="269"/>
      <c r="R61" s="269"/>
      <c r="S61" s="269"/>
      <c r="T61" s="269"/>
      <c r="U61" s="269"/>
      <c r="V61" s="269"/>
      <c r="W61" s="269"/>
      <c r="X61" s="269"/>
      <c r="Y61" s="269"/>
    </row>
    <row r="62" spans="2:25" ht="15" customHeight="1">
      <c r="B62" s="148" t="s">
        <v>194</v>
      </c>
      <c r="C62" s="171" t="s">
        <v>136</v>
      </c>
      <c r="D62" s="170"/>
      <c r="E62" s="195">
        <f t="shared" ref="E62:Y62" si="12">E57*(PRODUCT($E$59:$E$61))</f>
        <v>0</v>
      </c>
      <c r="F62" s="195">
        <f t="shared" si="12"/>
        <v>0</v>
      </c>
      <c r="G62" s="195">
        <f t="shared" si="12"/>
        <v>0</v>
      </c>
      <c r="H62" s="195">
        <f t="shared" si="12"/>
        <v>0</v>
      </c>
      <c r="I62" s="195">
        <f t="shared" si="12"/>
        <v>0</v>
      </c>
      <c r="J62" s="195">
        <f t="shared" si="12"/>
        <v>0</v>
      </c>
      <c r="K62" s="195">
        <f t="shared" si="12"/>
        <v>0</v>
      </c>
      <c r="L62" s="195">
        <f t="shared" si="12"/>
        <v>0</v>
      </c>
      <c r="M62" s="195">
        <f t="shared" si="12"/>
        <v>0</v>
      </c>
      <c r="N62" s="195">
        <f t="shared" si="12"/>
        <v>0</v>
      </c>
      <c r="O62" s="195">
        <f t="shared" si="12"/>
        <v>0</v>
      </c>
      <c r="P62" s="195">
        <f t="shared" si="12"/>
        <v>0</v>
      </c>
      <c r="Q62" s="195">
        <f t="shared" si="12"/>
        <v>0</v>
      </c>
      <c r="R62" s="195">
        <f t="shared" si="12"/>
        <v>0</v>
      </c>
      <c r="S62" s="195">
        <f t="shared" si="12"/>
        <v>0</v>
      </c>
      <c r="T62" s="195">
        <f t="shared" si="12"/>
        <v>0</v>
      </c>
      <c r="U62" s="195">
        <f t="shared" si="12"/>
        <v>0</v>
      </c>
      <c r="V62" s="195">
        <f t="shared" si="12"/>
        <v>0</v>
      </c>
      <c r="W62" s="195">
        <f t="shared" si="12"/>
        <v>0</v>
      </c>
      <c r="X62" s="195">
        <f t="shared" si="12"/>
        <v>0</v>
      </c>
      <c r="Y62" s="195">
        <f t="shared" si="12"/>
        <v>0</v>
      </c>
    </row>
    <row r="63" spans="2:25" ht="15" customHeight="1"/>
    <row r="64" spans="2:25" ht="15" customHeight="1">
      <c r="C64" s="76" t="s">
        <v>130</v>
      </c>
    </row>
    <row r="65" spans="2:25" ht="15" customHeight="1">
      <c r="B65" s="146" t="s">
        <v>195</v>
      </c>
      <c r="C65" s="152" t="s">
        <v>106</v>
      </c>
      <c r="D65" s="174" t="s">
        <v>2</v>
      </c>
      <c r="E65" s="90">
        <f t="shared" ref="E65:Y65" si="13">E13</f>
        <v>0</v>
      </c>
      <c r="F65" s="90">
        <f t="shared" si="13"/>
        <v>0</v>
      </c>
      <c r="G65" s="90">
        <f t="shared" si="13"/>
        <v>0</v>
      </c>
      <c r="H65" s="90">
        <f t="shared" si="13"/>
        <v>0</v>
      </c>
      <c r="I65" s="90">
        <f t="shared" si="13"/>
        <v>0</v>
      </c>
      <c r="J65" s="90">
        <f t="shared" si="13"/>
        <v>0</v>
      </c>
      <c r="K65" s="90">
        <f t="shared" si="13"/>
        <v>0</v>
      </c>
      <c r="L65" s="90">
        <f t="shared" si="13"/>
        <v>0</v>
      </c>
      <c r="M65" s="90">
        <f t="shared" si="13"/>
        <v>0</v>
      </c>
      <c r="N65" s="90">
        <f t="shared" si="13"/>
        <v>0</v>
      </c>
      <c r="O65" s="90">
        <f t="shared" si="13"/>
        <v>0</v>
      </c>
      <c r="P65" s="90">
        <f t="shared" si="13"/>
        <v>0</v>
      </c>
      <c r="Q65" s="90">
        <f t="shared" si="13"/>
        <v>0</v>
      </c>
      <c r="R65" s="90">
        <f t="shared" si="13"/>
        <v>0</v>
      </c>
      <c r="S65" s="90">
        <f t="shared" si="13"/>
        <v>0</v>
      </c>
      <c r="T65" s="90">
        <f t="shared" si="13"/>
        <v>0</v>
      </c>
      <c r="U65" s="90">
        <f t="shared" si="13"/>
        <v>0</v>
      </c>
      <c r="V65" s="90">
        <f t="shared" si="13"/>
        <v>0</v>
      </c>
      <c r="W65" s="90">
        <f t="shared" si="13"/>
        <v>0</v>
      </c>
      <c r="X65" s="90">
        <f t="shared" si="13"/>
        <v>0</v>
      </c>
      <c r="Y65" s="90">
        <f t="shared" si="13"/>
        <v>0</v>
      </c>
    </row>
    <row r="66" spans="2:25" ht="15" customHeight="1">
      <c r="B66" s="146" t="s">
        <v>196</v>
      </c>
      <c r="C66" s="152" t="s">
        <v>86</v>
      </c>
      <c r="D66" s="159">
        <f>SUM(E66:XFD66)</f>
        <v>7109756</v>
      </c>
      <c r="E66" s="187">
        <f>1804341</f>
        <v>0</v>
      </c>
      <c r="F66" s="187">
        <f>881870</f>
        <v>0</v>
      </c>
      <c r="G66" s="187">
        <f>1170792</f>
        <v>0</v>
      </c>
      <c r="H66" s="187">
        <f>1087703</f>
        <v>0</v>
      </c>
      <c r="I66" s="187">
        <f>744019</f>
        <v>0</v>
      </c>
      <c r="J66" s="187">
        <f>275703</f>
        <v>0</v>
      </c>
      <c r="K66" s="187">
        <f>151070</f>
        <v>0</v>
      </c>
      <c r="L66" s="187">
        <f>137851</f>
        <v>0</v>
      </c>
      <c r="M66" s="187">
        <f>123688</f>
        <v>0</v>
      </c>
      <c r="N66" s="187">
        <f>0</f>
        <v>0</v>
      </c>
      <c r="O66" s="187">
        <f>0</f>
        <v>0</v>
      </c>
      <c r="P66" s="187">
        <f>0</f>
        <v>0</v>
      </c>
      <c r="Q66" s="187">
        <f>54763</f>
        <v>0</v>
      </c>
      <c r="R66" s="187">
        <f>54763</f>
        <v>0</v>
      </c>
      <c r="S66" s="187">
        <f>83088</f>
        <v>0</v>
      </c>
      <c r="T66" s="187">
        <f>151070</f>
        <v>0</v>
      </c>
      <c r="U66" s="187">
        <f>145655</f>
        <v>0</v>
      </c>
      <c r="V66" s="187">
        <f>127448</f>
        <v>0</v>
      </c>
      <c r="W66" s="187">
        <f>5462</f>
        <v>0</v>
      </c>
      <c r="X66" s="187">
        <f>104805</f>
        <v>0</v>
      </c>
      <c r="Y66" s="187">
        <f>5665</f>
        <v>0</v>
      </c>
    </row>
    <row r="67" spans="2:25"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row>
    <row r="68" spans="2:25" ht="15" customHeight="1">
      <c r="B68" s="146" t="s">
        <v>198</v>
      </c>
      <c r="C68" s="152" t="s">
        <v>111</v>
      </c>
      <c r="D68" s="159">
        <f>SUM(E68:XFD68)</f>
        <v>1261044</v>
      </c>
      <c r="E68" s="187">
        <f>84984</f>
        <v>0</v>
      </c>
      <c r="F68" s="187">
        <f>119317</f>
        <v>0</v>
      </c>
      <c r="G68" s="187">
        <f>210391</f>
        <v>0</v>
      </c>
      <c r="H68" s="187">
        <f>283347</f>
        <v>0</v>
      </c>
      <c r="I68" s="187">
        <f>210409</f>
        <v>0</v>
      </c>
      <c r="J68" s="187">
        <f>76259</f>
        <v>0</v>
      </c>
      <c r="K68" s="187">
        <f>48765</f>
        <v>0</v>
      </c>
      <c r="L68" s="187">
        <f>53431</f>
        <v>0</v>
      </c>
      <c r="M68" s="187">
        <f>43699</f>
        <v>0</v>
      </c>
      <c r="N68" s="187">
        <f>0</f>
        <v>0</v>
      </c>
      <c r="O68" s="187">
        <f>0</f>
        <v>0</v>
      </c>
      <c r="P68" s="187">
        <f>0</f>
        <v>0</v>
      </c>
      <c r="Q68" s="187">
        <f>5268</f>
        <v>0</v>
      </c>
      <c r="R68" s="187">
        <f>10186</f>
        <v>0</v>
      </c>
      <c r="S68" s="187">
        <f>20091</f>
        <v>0</v>
      </c>
      <c r="T68" s="187">
        <f>48781</f>
        <v>0</v>
      </c>
      <c r="U68" s="187">
        <f>0</f>
        <v>0</v>
      </c>
      <c r="V68" s="187">
        <f>0</f>
        <v>0</v>
      </c>
      <c r="W68" s="187">
        <f>0</f>
        <v>0</v>
      </c>
      <c r="X68" s="187">
        <f>43871</f>
        <v>0</v>
      </c>
      <c r="Y68" s="187">
        <f>2245</f>
        <v>0</v>
      </c>
    </row>
    <row r="69" spans="2:25"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row>
    <row r="70" spans="2:25" ht="15" customHeight="1">
      <c r="B70" s="146" t="s">
        <v>200</v>
      </c>
      <c r="C70" s="152" t="s">
        <v>113</v>
      </c>
      <c r="D70" s="159">
        <f t="shared" ref="D70:Y70" si="14">D66-D67-D68-D69</f>
        <v>5848712</v>
      </c>
      <c r="E70" s="159">
        <f t="shared" si="14"/>
        <v>0</v>
      </c>
      <c r="F70" s="159">
        <f t="shared" si="14"/>
        <v>0</v>
      </c>
      <c r="G70" s="159">
        <f t="shared" si="14"/>
        <v>0</v>
      </c>
      <c r="H70" s="159">
        <f t="shared" si="14"/>
        <v>0</v>
      </c>
      <c r="I70" s="159">
        <f t="shared" si="14"/>
        <v>0</v>
      </c>
      <c r="J70" s="159">
        <f t="shared" si="14"/>
        <v>0</v>
      </c>
      <c r="K70" s="159">
        <f t="shared" si="14"/>
        <v>0</v>
      </c>
      <c r="L70" s="159">
        <f t="shared" si="14"/>
        <v>0</v>
      </c>
      <c r="M70" s="159">
        <f t="shared" si="14"/>
        <v>0</v>
      </c>
      <c r="N70" s="159">
        <f t="shared" si="14"/>
        <v>0</v>
      </c>
      <c r="O70" s="159">
        <f t="shared" si="14"/>
        <v>0</v>
      </c>
      <c r="P70" s="159">
        <f t="shared" si="14"/>
        <v>0</v>
      </c>
      <c r="Q70" s="159">
        <f t="shared" si="14"/>
        <v>0</v>
      </c>
      <c r="R70" s="159">
        <f t="shared" si="14"/>
        <v>0</v>
      </c>
      <c r="S70" s="159">
        <f t="shared" si="14"/>
        <v>0</v>
      </c>
      <c r="T70" s="159">
        <f t="shared" si="14"/>
        <v>0</v>
      </c>
      <c r="U70" s="159">
        <f t="shared" si="14"/>
        <v>0</v>
      </c>
      <c r="V70" s="159">
        <f t="shared" si="14"/>
        <v>0</v>
      </c>
      <c r="W70" s="159">
        <f t="shared" si="14"/>
        <v>0</v>
      </c>
      <c r="X70" s="159">
        <f t="shared" si="14"/>
        <v>0</v>
      </c>
      <c r="Y70" s="159">
        <f t="shared" si="14"/>
        <v>0</v>
      </c>
    </row>
    <row r="71" spans="2:25" ht="15" customHeight="1">
      <c r="B71" s="146" t="s">
        <v>201</v>
      </c>
      <c r="C71" s="152" t="s">
        <v>114</v>
      </c>
      <c r="D71" s="159">
        <f>SUM(E71:XFD71)</f>
        <v>-345657</v>
      </c>
      <c r="E71" s="187">
        <f>297038</f>
        <v>0</v>
      </c>
      <c r="F71" s="187">
        <f>-131947</f>
        <v>0</v>
      </c>
      <c r="G71" s="187">
        <f>-175175</f>
        <v>0</v>
      </c>
      <c r="H71" s="187">
        <f>-124457</f>
        <v>0</v>
      </c>
      <c r="I71" s="187">
        <f>-85132</f>
        <v>0</v>
      </c>
      <c r="J71" s="187">
        <f>-31546</f>
        <v>0</v>
      </c>
      <c r="K71" s="187">
        <f>-17286</f>
        <v>0</v>
      </c>
      <c r="L71" s="187">
        <f>-5631</f>
        <v>0</v>
      </c>
      <c r="M71" s="187">
        <f>-5053</f>
        <v>0</v>
      </c>
      <c r="N71" s="187">
        <f>0</f>
        <v>0</v>
      </c>
      <c r="O71" s="187">
        <f>0</f>
        <v>0</v>
      </c>
      <c r="P71" s="187">
        <f>0</f>
        <v>0</v>
      </c>
      <c r="Q71" s="187">
        <f>9015</f>
        <v>0</v>
      </c>
      <c r="R71" s="187">
        <f>-8194</f>
        <v>0</v>
      </c>
      <c r="S71" s="187">
        <f>-12432</f>
        <v>0</v>
      </c>
      <c r="T71" s="187">
        <f>-17286</f>
        <v>0</v>
      </c>
      <c r="U71" s="187">
        <f>-17286</f>
        <v>0</v>
      </c>
      <c r="V71" s="187">
        <f>-15125</f>
        <v>0</v>
      </c>
      <c r="W71" s="187">
        <f>-648</f>
        <v>0</v>
      </c>
      <c r="X71" s="187">
        <f>-4281</f>
        <v>0</v>
      </c>
      <c r="Y71" s="187">
        <f>-231</f>
        <v>0</v>
      </c>
    </row>
    <row r="72" spans="2:25" ht="15" customHeight="1">
      <c r="B72" s="146" t="s">
        <v>202</v>
      </c>
      <c r="C72" s="152" t="s">
        <v>115</v>
      </c>
      <c r="D72" s="159">
        <f>SUM(E72:XFD72)</f>
        <v>7574747</v>
      </c>
      <c r="E72" s="187">
        <f>2244787</f>
        <v>0</v>
      </c>
      <c r="F72" s="187">
        <f>995681</f>
        <v>0</v>
      </c>
      <c r="G72" s="187">
        <f>1253939</f>
        <v>0</v>
      </c>
      <c r="H72" s="187">
        <f>1050155</f>
        <v>0</v>
      </c>
      <c r="I72" s="187">
        <f>696753</f>
        <v>0</v>
      </c>
      <c r="J72" s="187">
        <f>260417</f>
        <v>0</v>
      </c>
      <c r="K72" s="187">
        <f>133580</f>
        <v>0</v>
      </c>
      <c r="L72" s="187">
        <f>110215</f>
        <v>0</v>
      </c>
      <c r="M72" s="187">
        <f>104446</f>
        <v>0</v>
      </c>
      <c r="N72" s="187">
        <f>0</f>
        <v>0</v>
      </c>
      <c r="O72" s="187">
        <f>0</f>
        <v>0</v>
      </c>
      <c r="P72" s="187">
        <f>0</f>
        <v>0</v>
      </c>
      <c r="Q72" s="187">
        <f>69557</f>
        <v>0</v>
      </c>
      <c r="R72" s="187">
        <f>62646</f>
        <v>0</v>
      </c>
      <c r="S72" s="187">
        <f>88531</f>
        <v>0</v>
      </c>
      <c r="T72" s="187">
        <f>143753</f>
        <v>0</v>
      </c>
      <c r="U72" s="187">
        <f>139424</f>
        <v>0</v>
      </c>
      <c r="V72" s="187">
        <f>125332</f>
        <v>0</v>
      </c>
      <c r="W72" s="187">
        <f>5092</f>
        <v>0</v>
      </c>
      <c r="X72" s="187">
        <f>85633</f>
        <v>0</v>
      </c>
      <c r="Y72" s="187">
        <f>4806</f>
        <v>0</v>
      </c>
    </row>
    <row r="73" spans="2:25" ht="15" customHeight="1">
      <c r="B73" s="146" t="s">
        <v>203</v>
      </c>
      <c r="C73" s="152" t="s">
        <v>4</v>
      </c>
      <c r="D73" s="176">
        <f>SUM(E73:XFD73)</f>
        <v>7541</v>
      </c>
      <c r="E73" s="218">
        <f>1911</f>
        <v>0</v>
      </c>
      <c r="F73" s="218">
        <f>934</f>
        <v>0</v>
      </c>
      <c r="G73" s="218">
        <f>1240</f>
        <v>0</v>
      </c>
      <c r="H73" s="218">
        <f>1152</f>
        <v>0</v>
      </c>
      <c r="I73" s="218">
        <f>788</f>
        <v>0</v>
      </c>
      <c r="J73" s="218">
        <f>292</f>
        <v>0</v>
      </c>
      <c r="K73" s="218">
        <f>160</f>
        <v>0</v>
      </c>
      <c r="L73" s="218">
        <f>146</f>
        <v>0</v>
      </c>
      <c r="M73" s="218">
        <f>131</f>
        <v>0</v>
      </c>
      <c r="N73" s="218">
        <f>0</f>
        <v>0</v>
      </c>
      <c r="O73" s="218">
        <f>0</f>
        <v>0</v>
      </c>
      <c r="P73" s="218">
        <f>0</f>
        <v>0</v>
      </c>
      <c r="Q73" s="218">
        <f>58</f>
        <v>0</v>
      </c>
      <c r="R73" s="218">
        <f>58</f>
        <v>0</v>
      </c>
      <c r="S73" s="218">
        <f>88</f>
        <v>0</v>
      </c>
      <c r="T73" s="218">
        <f>160</f>
        <v>0</v>
      </c>
      <c r="U73" s="218">
        <f>160</f>
        <v>0</v>
      </c>
      <c r="V73" s="218">
        <f>140</f>
        <v>0</v>
      </c>
      <c r="W73" s="218">
        <f>6</f>
        <v>0</v>
      </c>
      <c r="X73" s="218">
        <f>111</f>
        <v>0</v>
      </c>
      <c r="Y73" s="218">
        <f>6</f>
        <v>0</v>
      </c>
    </row>
    <row r="74" spans="2:25" ht="15" customHeight="1">
      <c r="B74" s="148" t="s">
        <v>204</v>
      </c>
      <c r="C74" s="170" t="s">
        <v>118</v>
      </c>
      <c r="D74" s="89">
        <f t="shared" ref="D74:Y74" si="15">D70/(D71+D72)</f>
        <v>0.80905231502166897</v>
      </c>
      <c r="E74" s="89">
        <f t="shared" si="15"/>
        <v>0</v>
      </c>
      <c r="F74" s="89">
        <f t="shared" si="15"/>
        <v>0</v>
      </c>
      <c r="G74" s="89">
        <f t="shared" si="15"/>
        <v>0</v>
      </c>
      <c r="H74" s="89">
        <f t="shared" si="15"/>
        <v>0</v>
      </c>
      <c r="I74" s="89">
        <f t="shared" si="15"/>
        <v>0</v>
      </c>
      <c r="J74" s="89">
        <f t="shared" si="15"/>
        <v>0</v>
      </c>
      <c r="K74" s="89">
        <f t="shared" si="15"/>
        <v>0</v>
      </c>
      <c r="L74" s="89">
        <f t="shared" si="15"/>
        <v>0</v>
      </c>
      <c r="M74" s="89">
        <f t="shared" si="15"/>
        <v>0</v>
      </c>
      <c r="N74" s="89">
        <f t="shared" si="15"/>
        <v>0</v>
      </c>
      <c r="O74" s="89">
        <f t="shared" si="15"/>
        <v>0</v>
      </c>
      <c r="P74" s="89">
        <f t="shared" si="15"/>
        <v>0</v>
      </c>
      <c r="Q74" s="89">
        <f t="shared" si="15"/>
        <v>0</v>
      </c>
      <c r="R74" s="89">
        <f t="shared" si="15"/>
        <v>0</v>
      </c>
      <c r="S74" s="89">
        <f t="shared" si="15"/>
        <v>0</v>
      </c>
      <c r="T74" s="89">
        <f t="shared" si="15"/>
        <v>0</v>
      </c>
      <c r="U74" s="89">
        <f t="shared" si="15"/>
        <v>0</v>
      </c>
      <c r="V74" s="89">
        <f t="shared" si="15"/>
        <v>0</v>
      </c>
      <c r="W74" s="89">
        <f t="shared" si="15"/>
        <v>0</v>
      </c>
      <c r="X74" s="89">
        <f t="shared" si="15"/>
        <v>0</v>
      </c>
      <c r="Y74" s="89">
        <f t="shared" si="15"/>
        <v>0</v>
      </c>
    </row>
    <row r="75" spans="2:25" ht="15" customHeight="1">
      <c r="C75" s="78" t="s">
        <v>120</v>
      </c>
    </row>
    <row r="76" spans="2:25" ht="15" customHeight="1">
      <c r="B76" s="146" t="s">
        <v>205</v>
      </c>
      <c r="C76" s="152" t="s">
        <v>86</v>
      </c>
      <c r="D76" s="107">
        <f t="shared" ref="D76:Y76" si="16">D66/D73</f>
        <v>942.8134</v>
      </c>
      <c r="E76" s="107">
        <f t="shared" si="16"/>
        <v>0</v>
      </c>
      <c r="F76" s="107">
        <f t="shared" si="16"/>
        <v>0</v>
      </c>
      <c r="G76" s="107">
        <f t="shared" si="16"/>
        <v>0</v>
      </c>
      <c r="H76" s="107">
        <f t="shared" si="16"/>
        <v>0</v>
      </c>
      <c r="I76" s="107">
        <f t="shared" si="16"/>
        <v>0</v>
      </c>
      <c r="J76" s="107">
        <f t="shared" si="16"/>
        <v>0</v>
      </c>
      <c r="K76" s="107">
        <f t="shared" si="16"/>
        <v>0</v>
      </c>
      <c r="L76" s="107">
        <f t="shared" si="16"/>
        <v>0</v>
      </c>
      <c r="M76" s="107">
        <f t="shared" si="16"/>
        <v>0</v>
      </c>
      <c r="N76" s="107">
        <f t="shared" si="16"/>
        <v>0</v>
      </c>
      <c r="O76" s="107">
        <f t="shared" si="16"/>
        <v>0</v>
      </c>
      <c r="P76" s="107">
        <f t="shared" si="16"/>
        <v>0</v>
      </c>
      <c r="Q76" s="107">
        <f t="shared" si="16"/>
        <v>0</v>
      </c>
      <c r="R76" s="107">
        <f t="shared" si="16"/>
        <v>0</v>
      </c>
      <c r="S76" s="107">
        <f t="shared" si="16"/>
        <v>0</v>
      </c>
      <c r="T76" s="107">
        <f t="shared" si="16"/>
        <v>0</v>
      </c>
      <c r="U76" s="107">
        <f t="shared" si="16"/>
        <v>0</v>
      </c>
      <c r="V76" s="107">
        <f t="shared" si="16"/>
        <v>0</v>
      </c>
      <c r="W76" s="107">
        <f t="shared" si="16"/>
        <v>0</v>
      </c>
      <c r="X76" s="107">
        <f t="shared" si="16"/>
        <v>0</v>
      </c>
      <c r="Y76" s="107">
        <f t="shared" si="16"/>
        <v>0</v>
      </c>
    </row>
    <row r="77" spans="2:25" ht="15" customHeight="1">
      <c r="B77" s="146" t="s">
        <v>206</v>
      </c>
      <c r="C77" s="152" t="s">
        <v>87</v>
      </c>
      <c r="D77" s="86">
        <f t="shared" ref="D77:Y77" si="17">D67/D73</f>
        <v>0</v>
      </c>
      <c r="E77" s="86">
        <f t="shared" si="17"/>
        <v>0</v>
      </c>
      <c r="F77" s="86">
        <f t="shared" si="17"/>
        <v>0</v>
      </c>
      <c r="G77" s="86">
        <f t="shared" si="17"/>
        <v>0</v>
      </c>
      <c r="H77" s="86">
        <f t="shared" si="17"/>
        <v>0</v>
      </c>
      <c r="I77" s="86">
        <f t="shared" si="17"/>
        <v>0</v>
      </c>
      <c r="J77" s="86">
        <f t="shared" si="17"/>
        <v>0</v>
      </c>
      <c r="K77" s="86">
        <f t="shared" si="17"/>
        <v>0</v>
      </c>
      <c r="L77" s="86">
        <f t="shared" si="17"/>
        <v>0</v>
      </c>
      <c r="M77" s="86">
        <f t="shared" si="17"/>
        <v>0</v>
      </c>
      <c r="N77" s="86">
        <f t="shared" si="17"/>
        <v>0</v>
      </c>
      <c r="O77" s="86">
        <f t="shared" si="17"/>
        <v>0</v>
      </c>
      <c r="P77" s="86">
        <f t="shared" si="17"/>
        <v>0</v>
      </c>
      <c r="Q77" s="86">
        <f t="shared" si="17"/>
        <v>0</v>
      </c>
      <c r="R77" s="86">
        <f t="shared" si="17"/>
        <v>0</v>
      </c>
      <c r="S77" s="86">
        <f t="shared" si="17"/>
        <v>0</v>
      </c>
      <c r="T77" s="86">
        <f t="shared" si="17"/>
        <v>0</v>
      </c>
      <c r="U77" s="86">
        <f t="shared" si="17"/>
        <v>0</v>
      </c>
      <c r="V77" s="86">
        <f t="shared" si="17"/>
        <v>0</v>
      </c>
      <c r="W77" s="86">
        <f t="shared" si="17"/>
        <v>0</v>
      </c>
      <c r="X77" s="86">
        <f t="shared" si="17"/>
        <v>0</v>
      </c>
      <c r="Y77" s="86">
        <f t="shared" si="17"/>
        <v>0</v>
      </c>
    </row>
    <row r="78" spans="2:25" ht="15" customHeight="1">
      <c r="B78" s="146" t="s">
        <v>207</v>
      </c>
      <c r="C78" s="152" t="s">
        <v>111</v>
      </c>
      <c r="D78" s="107">
        <f t="shared" ref="D78:Y78" si="18">D68/D73</f>
        <v>167.22499999999999</v>
      </c>
      <c r="E78" s="107">
        <f t="shared" si="18"/>
        <v>0</v>
      </c>
      <c r="F78" s="107">
        <f t="shared" si="18"/>
        <v>0</v>
      </c>
      <c r="G78" s="107">
        <f t="shared" si="18"/>
        <v>0</v>
      </c>
      <c r="H78" s="107">
        <f t="shared" si="18"/>
        <v>0</v>
      </c>
      <c r="I78" s="107">
        <f t="shared" si="18"/>
        <v>0</v>
      </c>
      <c r="J78" s="107">
        <f t="shared" si="18"/>
        <v>0</v>
      </c>
      <c r="K78" s="107">
        <f t="shared" si="18"/>
        <v>0</v>
      </c>
      <c r="L78" s="107">
        <f t="shared" si="18"/>
        <v>0</v>
      </c>
      <c r="M78" s="107">
        <f t="shared" si="18"/>
        <v>0</v>
      </c>
      <c r="N78" s="107">
        <f t="shared" si="18"/>
        <v>0</v>
      </c>
      <c r="O78" s="107">
        <f t="shared" si="18"/>
        <v>0</v>
      </c>
      <c r="P78" s="107">
        <f t="shared" si="18"/>
        <v>0</v>
      </c>
      <c r="Q78" s="107">
        <f t="shared" si="18"/>
        <v>0</v>
      </c>
      <c r="R78" s="107">
        <f t="shared" si="18"/>
        <v>0</v>
      </c>
      <c r="S78" s="107">
        <f t="shared" si="18"/>
        <v>0</v>
      </c>
      <c r="T78" s="107">
        <f t="shared" si="18"/>
        <v>0</v>
      </c>
      <c r="U78" s="107">
        <f t="shared" si="18"/>
        <v>0</v>
      </c>
      <c r="V78" s="107">
        <f t="shared" si="18"/>
        <v>0</v>
      </c>
      <c r="W78" s="107">
        <f t="shared" si="18"/>
        <v>0</v>
      </c>
      <c r="X78" s="107">
        <f t="shared" si="18"/>
        <v>0</v>
      </c>
      <c r="Y78" s="107">
        <f t="shared" si="18"/>
        <v>0</v>
      </c>
    </row>
    <row r="79" spans="2:25" ht="15" customHeight="1">
      <c r="B79" s="146" t="s">
        <v>208</v>
      </c>
      <c r="C79" s="152" t="s">
        <v>112</v>
      </c>
      <c r="D79" s="107">
        <f t="shared" ref="D79:Y79" si="19">D69/D73</f>
        <v>0</v>
      </c>
      <c r="E79" s="107">
        <f t="shared" si="19"/>
        <v>0</v>
      </c>
      <c r="F79" s="107">
        <f t="shared" si="19"/>
        <v>0</v>
      </c>
      <c r="G79" s="107">
        <f t="shared" si="19"/>
        <v>0</v>
      </c>
      <c r="H79" s="107">
        <f t="shared" si="19"/>
        <v>0</v>
      </c>
      <c r="I79" s="107">
        <f t="shared" si="19"/>
        <v>0</v>
      </c>
      <c r="J79" s="107">
        <f t="shared" si="19"/>
        <v>0</v>
      </c>
      <c r="K79" s="107">
        <f t="shared" si="19"/>
        <v>0</v>
      </c>
      <c r="L79" s="107">
        <f t="shared" si="19"/>
        <v>0</v>
      </c>
      <c r="M79" s="107">
        <f t="shared" si="19"/>
        <v>0</v>
      </c>
      <c r="N79" s="107">
        <f t="shared" si="19"/>
        <v>0</v>
      </c>
      <c r="O79" s="107">
        <f t="shared" si="19"/>
        <v>0</v>
      </c>
      <c r="P79" s="107">
        <f t="shared" si="19"/>
        <v>0</v>
      </c>
      <c r="Q79" s="107">
        <f t="shared" si="19"/>
        <v>0</v>
      </c>
      <c r="R79" s="107">
        <f t="shared" si="19"/>
        <v>0</v>
      </c>
      <c r="S79" s="107">
        <f t="shared" si="19"/>
        <v>0</v>
      </c>
      <c r="T79" s="107">
        <f t="shared" si="19"/>
        <v>0</v>
      </c>
      <c r="U79" s="107">
        <f t="shared" si="19"/>
        <v>0</v>
      </c>
      <c r="V79" s="107">
        <f t="shared" si="19"/>
        <v>0</v>
      </c>
      <c r="W79" s="107">
        <f t="shared" si="19"/>
        <v>0</v>
      </c>
      <c r="X79" s="107">
        <f t="shared" si="19"/>
        <v>0</v>
      </c>
      <c r="Y79" s="107">
        <f t="shared" si="19"/>
        <v>0</v>
      </c>
    </row>
    <row r="80" spans="2:25" ht="15" customHeight="1">
      <c r="B80" s="146" t="s">
        <v>209</v>
      </c>
      <c r="C80" s="152" t="s">
        <v>113</v>
      </c>
      <c r="D80" s="107">
        <f t="shared" ref="D80:Y80" si="20">D70/D73</f>
        <v>775.58839999999998</v>
      </c>
      <c r="E80" s="107">
        <f t="shared" si="20"/>
        <v>0</v>
      </c>
      <c r="F80" s="107">
        <f t="shared" si="20"/>
        <v>0</v>
      </c>
      <c r="G80" s="107">
        <f t="shared" si="20"/>
        <v>0</v>
      </c>
      <c r="H80" s="107">
        <f t="shared" si="20"/>
        <v>0</v>
      </c>
      <c r="I80" s="107">
        <f t="shared" si="20"/>
        <v>0</v>
      </c>
      <c r="J80" s="107">
        <f t="shared" si="20"/>
        <v>0</v>
      </c>
      <c r="K80" s="107">
        <f t="shared" si="20"/>
        <v>0</v>
      </c>
      <c r="L80" s="107">
        <f t="shared" si="20"/>
        <v>0</v>
      </c>
      <c r="M80" s="107">
        <f t="shared" si="20"/>
        <v>0</v>
      </c>
      <c r="N80" s="107">
        <f t="shared" si="20"/>
        <v>0</v>
      </c>
      <c r="O80" s="107">
        <f t="shared" si="20"/>
        <v>0</v>
      </c>
      <c r="P80" s="107">
        <f t="shared" si="20"/>
        <v>0</v>
      </c>
      <c r="Q80" s="107">
        <f t="shared" si="20"/>
        <v>0</v>
      </c>
      <c r="R80" s="107">
        <f t="shared" si="20"/>
        <v>0</v>
      </c>
      <c r="S80" s="107">
        <f t="shared" si="20"/>
        <v>0</v>
      </c>
      <c r="T80" s="107">
        <f t="shared" si="20"/>
        <v>0</v>
      </c>
      <c r="U80" s="107">
        <f t="shared" si="20"/>
        <v>0</v>
      </c>
      <c r="V80" s="107">
        <f t="shared" si="20"/>
        <v>0</v>
      </c>
      <c r="W80" s="107">
        <f t="shared" si="20"/>
        <v>0</v>
      </c>
      <c r="X80" s="107">
        <f t="shared" si="20"/>
        <v>0</v>
      </c>
      <c r="Y80" s="107">
        <f t="shared" si="20"/>
        <v>0</v>
      </c>
    </row>
    <row r="81" spans="2:25" ht="15" customHeight="1">
      <c r="B81" s="146" t="s">
        <v>210</v>
      </c>
      <c r="C81" s="152" t="s">
        <v>114</v>
      </c>
      <c r="D81" s="107">
        <f t="shared" ref="D81:Y81" si="21">D71/D73</f>
        <v>-45.837000000000003</v>
      </c>
      <c r="E81" s="107">
        <f t="shared" si="21"/>
        <v>0</v>
      </c>
      <c r="F81" s="107">
        <f t="shared" si="21"/>
        <v>0</v>
      </c>
      <c r="G81" s="107">
        <f t="shared" si="21"/>
        <v>0</v>
      </c>
      <c r="H81" s="107">
        <f t="shared" si="21"/>
        <v>0</v>
      </c>
      <c r="I81" s="107">
        <f t="shared" si="21"/>
        <v>0</v>
      </c>
      <c r="J81" s="107">
        <f t="shared" si="21"/>
        <v>0</v>
      </c>
      <c r="K81" s="107">
        <f t="shared" si="21"/>
        <v>0</v>
      </c>
      <c r="L81" s="107">
        <f t="shared" si="21"/>
        <v>0</v>
      </c>
      <c r="M81" s="107">
        <f t="shared" si="21"/>
        <v>0</v>
      </c>
      <c r="N81" s="107">
        <f t="shared" si="21"/>
        <v>0</v>
      </c>
      <c r="O81" s="107">
        <f t="shared" si="21"/>
        <v>0</v>
      </c>
      <c r="P81" s="107">
        <f t="shared" si="21"/>
        <v>0</v>
      </c>
      <c r="Q81" s="107">
        <f t="shared" si="21"/>
        <v>0</v>
      </c>
      <c r="R81" s="107">
        <f t="shared" si="21"/>
        <v>0</v>
      </c>
      <c r="S81" s="107">
        <f t="shared" si="21"/>
        <v>0</v>
      </c>
      <c r="T81" s="107">
        <f t="shared" si="21"/>
        <v>0</v>
      </c>
      <c r="U81" s="107">
        <f t="shared" si="21"/>
        <v>0</v>
      </c>
      <c r="V81" s="107">
        <f t="shared" si="21"/>
        <v>0</v>
      </c>
      <c r="W81" s="107">
        <f t="shared" si="21"/>
        <v>0</v>
      </c>
      <c r="X81" s="107">
        <f t="shared" si="21"/>
        <v>0</v>
      </c>
      <c r="Y81" s="107">
        <f t="shared" si="21"/>
        <v>0</v>
      </c>
    </row>
    <row r="82" spans="2:25" ht="15" customHeight="1">
      <c r="B82" s="148" t="s">
        <v>211</v>
      </c>
      <c r="C82" s="170" t="s">
        <v>115</v>
      </c>
      <c r="D82" s="107">
        <f t="shared" ref="D82:Y82" si="22">D72/D73</f>
        <v>1004.4751</v>
      </c>
      <c r="E82" s="107">
        <f t="shared" si="22"/>
        <v>0</v>
      </c>
      <c r="F82" s="107">
        <f t="shared" si="22"/>
        <v>0</v>
      </c>
      <c r="G82" s="107">
        <f t="shared" si="22"/>
        <v>0</v>
      </c>
      <c r="H82" s="107">
        <f t="shared" si="22"/>
        <v>0</v>
      </c>
      <c r="I82" s="107">
        <f t="shared" si="22"/>
        <v>0</v>
      </c>
      <c r="J82" s="107">
        <f t="shared" si="22"/>
        <v>0</v>
      </c>
      <c r="K82" s="107">
        <f t="shared" si="22"/>
        <v>0</v>
      </c>
      <c r="L82" s="107">
        <f t="shared" si="22"/>
        <v>0</v>
      </c>
      <c r="M82" s="107">
        <f t="shared" si="22"/>
        <v>0</v>
      </c>
      <c r="N82" s="107">
        <f t="shared" si="22"/>
        <v>0</v>
      </c>
      <c r="O82" s="107">
        <f t="shared" si="22"/>
        <v>0</v>
      </c>
      <c r="P82" s="107">
        <f t="shared" si="22"/>
        <v>0</v>
      </c>
      <c r="Q82" s="107">
        <f t="shared" si="22"/>
        <v>0</v>
      </c>
      <c r="R82" s="107">
        <f t="shared" si="22"/>
        <v>0</v>
      </c>
      <c r="S82" s="107">
        <f t="shared" si="22"/>
        <v>0</v>
      </c>
      <c r="T82" s="107">
        <f t="shared" si="22"/>
        <v>0</v>
      </c>
      <c r="U82" s="107">
        <f t="shared" si="22"/>
        <v>0</v>
      </c>
      <c r="V82" s="107">
        <f t="shared" si="22"/>
        <v>0</v>
      </c>
      <c r="W82" s="107">
        <f t="shared" si="22"/>
        <v>0</v>
      </c>
      <c r="X82" s="107">
        <f t="shared" si="22"/>
        <v>0</v>
      </c>
      <c r="Y82" s="107">
        <f t="shared" si="22"/>
        <v>0</v>
      </c>
    </row>
    <row r="83" spans="2:25" ht="15" customHeight="1"/>
  </sheetData>
  <sheetProtection password="BD7E" sheet="1" objects="1" scenarios="1"/>
  <mergeCells count="12">
    <mergeCell ref="E48:Y48"/>
    <mergeCell ref="E59:Y59"/>
    <mergeCell ref="E60:Y60"/>
    <mergeCell ref="E61:Y61"/>
    <mergeCell ref="E22:Y22"/>
    <mergeCell ref="C7:V8"/>
    <mergeCell ref="E11:P11"/>
    <mergeCell ref="E10:P10"/>
    <mergeCell ref="E21:P21"/>
    <mergeCell ref="Q11:Y11"/>
    <mergeCell ref="Q10:Y10"/>
    <mergeCell ref="Q21:Y21"/>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1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232</v>
      </c>
      <c r="B6" s="233">
        <v>1</v>
      </c>
    </row>
    <row r="7" spans="1:3">
      <c r="A7" s="234" t="s">
        <v>233</v>
      </c>
      <c r="B7" s="235">
        <v>1</v>
      </c>
    </row>
    <row r="8" spans="1:3">
      <c r="A8" s="236" t="s">
        <v>234</v>
      </c>
      <c r="B8" s="237">
        <v>1</v>
      </c>
    </row>
    <row r="9" spans="1:3">
      <c r="A9" s="238" t="s">
        <v>238</v>
      </c>
      <c r="B9" s="239">
        <v>1</v>
      </c>
    </row>
    <row r="10" spans="1:3">
      <c r="A10" s="240" t="s">
        <v>240</v>
      </c>
      <c r="B10" s="241">
        <v>1</v>
      </c>
    </row>
    <row r="11" spans="1:3">
      <c r="A11" s="242" t="s">
        <v>243</v>
      </c>
      <c r="B11" s="243">
        <v>1</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281</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70"/>
      <c r="H5" s="270"/>
      <c r="I5" s="27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72"/>
      <c r="E10" s="177"/>
      <c r="I10" s="70"/>
      <c r="J10" s="70"/>
      <c r="K10" s="70" t="s">
        <v>231</v>
      </c>
      <c r="L10" s="67" t="s">
        <v>27</v>
      </c>
      <c r="M10" s="70" t="s">
        <v>81</v>
      </c>
      <c r="N10" s="70" t="s">
        <v>139</v>
      </c>
      <c r="O10" s="70" t="s">
        <v>145</v>
      </c>
    </row>
    <row r="11" spans="1:23">
      <c r="B11" s="146" t="s">
        <v>156</v>
      </c>
      <c r="C11" s="147" t="s">
        <v>105</v>
      </c>
      <c r="D11" s="273"/>
      <c r="E11" s="177"/>
      <c r="I11" s="70"/>
      <c r="J11" s="70"/>
      <c r="K11" s="70" t="s">
        <v>232</v>
      </c>
      <c r="L11" s="67" t="s">
        <v>28</v>
      </c>
      <c r="M11" s="70" t="s">
        <v>82</v>
      </c>
      <c r="N11" s="70" t="s">
        <v>140</v>
      </c>
      <c r="O11" s="70" t="s">
        <v>146</v>
      </c>
    </row>
    <row r="12" spans="1:23">
      <c r="B12" s="146" t="s">
        <v>157</v>
      </c>
      <c r="C12" s="147" t="s">
        <v>10</v>
      </c>
      <c r="D12" s="273"/>
      <c r="E12" s="179"/>
      <c r="I12" s="70"/>
      <c r="J12" s="70"/>
      <c r="K12" s="70" t="s">
        <v>233</v>
      </c>
      <c r="L12" s="67" t="s">
        <v>29</v>
      </c>
      <c r="M12" s="70" t="s">
        <v>83</v>
      </c>
      <c r="N12" s="70" t="s">
        <v>141</v>
      </c>
    </row>
    <row r="13" spans="1:23">
      <c r="B13" s="146" t="s">
        <v>158</v>
      </c>
      <c r="C13" s="147" t="s">
        <v>106</v>
      </c>
      <c r="D13" s="273"/>
      <c r="E13" s="180"/>
      <c r="I13" s="70"/>
      <c r="K13" s="70" t="s">
        <v>234</v>
      </c>
      <c r="L13" s="67" t="s">
        <v>30</v>
      </c>
      <c r="N13" s="70" t="s">
        <v>142</v>
      </c>
    </row>
    <row r="14" spans="1:23">
      <c r="B14" s="146" t="s">
        <v>159</v>
      </c>
      <c r="C14" s="147" t="s">
        <v>107</v>
      </c>
      <c r="D14" s="273"/>
      <c r="E14" s="181"/>
      <c r="K14" s="70" t="s">
        <v>235</v>
      </c>
      <c r="L14" s="67" t="s">
        <v>31</v>
      </c>
      <c r="N14" s="70" t="s">
        <v>143</v>
      </c>
    </row>
    <row r="15" spans="1:23">
      <c r="B15" s="146" t="s">
        <v>160</v>
      </c>
      <c r="C15" s="147" t="s">
        <v>26</v>
      </c>
      <c r="D15" s="273"/>
      <c r="E15" s="182"/>
      <c r="K15" s="70" t="s">
        <v>236</v>
      </c>
      <c r="L15" s="67" t="s">
        <v>32</v>
      </c>
      <c r="N15" s="70" t="s">
        <v>144</v>
      </c>
    </row>
    <row r="16" spans="1:23">
      <c r="B16" s="146" t="s">
        <v>161</v>
      </c>
      <c r="C16" s="147" t="s">
        <v>80</v>
      </c>
      <c r="D16" s="273"/>
      <c r="E16" s="179"/>
      <c r="K16" t="s">
        <v>237</v>
      </c>
      <c r="L16" s="67" t="s">
        <v>33</v>
      </c>
    </row>
    <row r="17" spans="1:12">
      <c r="B17" s="146" t="s">
        <v>154</v>
      </c>
      <c r="C17" s="147" t="s">
        <v>108</v>
      </c>
      <c r="D17" s="273"/>
      <c r="E17" s="179"/>
      <c r="K17" t="s">
        <v>238</v>
      </c>
      <c r="L17" s="67" t="s">
        <v>35</v>
      </c>
    </row>
    <row r="18" spans="1:12">
      <c r="B18" s="146" t="s">
        <v>153</v>
      </c>
      <c r="C18" s="147" t="s">
        <v>16</v>
      </c>
      <c r="D18" s="273"/>
      <c r="E18" s="183"/>
      <c r="K18" t="s">
        <v>239</v>
      </c>
      <c r="L18" s="67" t="s">
        <v>34</v>
      </c>
    </row>
    <row r="19" spans="1:12">
      <c r="B19" s="146" t="s">
        <v>149</v>
      </c>
      <c r="C19" s="147" t="s">
        <v>25</v>
      </c>
      <c r="D19" s="273"/>
      <c r="E19" s="184"/>
      <c r="K19" t="s">
        <v>240</v>
      </c>
      <c r="L19" s="67" t="s">
        <v>36</v>
      </c>
    </row>
    <row r="20" spans="1:12">
      <c r="B20" s="146" t="s">
        <v>150</v>
      </c>
      <c r="C20" s="147" t="s">
        <v>109</v>
      </c>
      <c r="D20" s="273"/>
      <c r="E20" s="185"/>
      <c r="K20" t="s">
        <v>241</v>
      </c>
      <c r="L20" s="67" t="s">
        <v>37</v>
      </c>
    </row>
    <row r="21" spans="1:12">
      <c r="B21" s="146" t="s">
        <v>151</v>
      </c>
      <c r="C21" s="147" t="s">
        <v>84</v>
      </c>
      <c r="D21" s="273"/>
      <c r="E21" s="178"/>
      <c r="K21" t="s">
        <v>242</v>
      </c>
      <c r="L21" s="67" t="s">
        <v>38</v>
      </c>
    </row>
    <row r="22" spans="1:12">
      <c r="B22" s="148" t="s">
        <v>152</v>
      </c>
      <c r="C22" s="138" t="s">
        <v>212</v>
      </c>
      <c r="D22" s="274"/>
      <c r="E22" s="178"/>
      <c r="K22" t="s">
        <v>243</v>
      </c>
      <c r="L22" s="67" t="s">
        <v>39</v>
      </c>
    </row>
    <row r="23" spans="1:12">
      <c r="E23" s="73"/>
      <c r="L23" s="67" t="s">
        <v>40</v>
      </c>
    </row>
    <row r="24" spans="1:12" ht="18.75">
      <c r="A24" s="6"/>
      <c r="B24" s="75"/>
      <c r="C24" s="78" t="s">
        <v>110</v>
      </c>
      <c r="D24" s="1"/>
      <c r="E24" s="17"/>
      <c r="L24" s="67" t="s">
        <v>41</v>
      </c>
    </row>
    <row r="25" spans="1:12" ht="18.75">
      <c r="A25" s="6"/>
      <c r="B25" s="146" t="s">
        <v>162</v>
      </c>
      <c r="C25" s="147" t="s">
        <v>106</v>
      </c>
      <c r="D25" s="186" t="s">
        <v>2</v>
      </c>
      <c r="E25" s="90" t="str">
        <f>IF(E13&lt;&gt;"",E13,"")</f>
        <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75"/>
      <c r="E47" s="191" t="str">
        <f>IF(E13&lt;&gt;"",E13,"")</f>
        <v/>
      </c>
      <c r="L47" s="67" t="s">
        <v>64</v>
      </c>
    </row>
    <row r="48" spans="1:12" ht="18.75">
      <c r="A48" s="6"/>
      <c r="B48" s="146" t="s">
        <v>182</v>
      </c>
      <c r="C48" s="189" t="s">
        <v>122</v>
      </c>
      <c r="D48" s="276"/>
      <c r="E48" s="192">
        <f>'Wksh 1 - Market Experience'!F46</f>
        <v>0</v>
      </c>
      <c r="L48" s="67" t="s">
        <v>65</v>
      </c>
    </row>
    <row r="49" spans="1:12" ht="18.75">
      <c r="A49" s="6"/>
      <c r="B49" s="146" t="s">
        <v>183</v>
      </c>
      <c r="C49" s="189" t="s">
        <v>123</v>
      </c>
      <c r="D49" s="276"/>
      <c r="E49" s="193"/>
      <c r="L49" s="67" t="s">
        <v>66</v>
      </c>
    </row>
    <row r="50" spans="1:12" ht="18.75">
      <c r="A50" s="6"/>
      <c r="B50" s="146" t="s">
        <v>184</v>
      </c>
      <c r="C50" s="189" t="s">
        <v>124</v>
      </c>
      <c r="D50" s="276"/>
      <c r="E50" s="193"/>
      <c r="L50" s="67" t="s">
        <v>67</v>
      </c>
    </row>
    <row r="51" spans="1:12" ht="18.75">
      <c r="A51" s="6"/>
      <c r="B51" s="148" t="s">
        <v>185</v>
      </c>
      <c r="C51" s="190" t="s">
        <v>125</v>
      </c>
      <c r="D51" s="277"/>
      <c r="E51" s="193"/>
      <c r="L51" s="67" t="s">
        <v>68</v>
      </c>
    </row>
    <row r="52" spans="1:12" ht="18.75">
      <c r="A52" s="6"/>
      <c r="C52" s="82" t="s">
        <v>133</v>
      </c>
      <c r="D52" s="6"/>
      <c r="L52" s="67" t="s">
        <v>69</v>
      </c>
    </row>
    <row r="53" spans="1:12" ht="18.75">
      <c r="A53" s="6"/>
      <c r="B53" s="146" t="s">
        <v>186</v>
      </c>
      <c r="C53" s="172" t="s">
        <v>134</v>
      </c>
      <c r="D53" s="275"/>
      <c r="E53" s="196"/>
      <c r="F53" s="5"/>
      <c r="L53" s="67" t="s">
        <v>70</v>
      </c>
    </row>
    <row r="54" spans="1:12" ht="18.75">
      <c r="A54" s="6"/>
      <c r="B54" s="146" t="s">
        <v>187</v>
      </c>
      <c r="C54" s="172" t="s">
        <v>135</v>
      </c>
      <c r="D54" s="276"/>
      <c r="E54" s="196"/>
      <c r="F54" s="5"/>
      <c r="L54" s="67" t="s">
        <v>71</v>
      </c>
    </row>
    <row r="55" spans="1:12" ht="18.75">
      <c r="A55" s="6"/>
      <c r="B55" s="146" t="s">
        <v>188</v>
      </c>
      <c r="C55" s="172" t="s">
        <v>12</v>
      </c>
      <c r="D55" s="276"/>
      <c r="E55" s="196"/>
      <c r="F55" s="5"/>
      <c r="L55" s="67" t="s">
        <v>72</v>
      </c>
    </row>
    <row r="56" spans="1:12" ht="18.75">
      <c r="A56" s="6"/>
      <c r="B56" s="146" t="s">
        <v>189</v>
      </c>
      <c r="C56" s="189" t="s">
        <v>126</v>
      </c>
      <c r="D56" s="276"/>
      <c r="E56" s="193"/>
      <c r="F56" s="5"/>
      <c r="L56" s="67" t="s">
        <v>73</v>
      </c>
    </row>
    <row r="57" spans="1:12" ht="18.75">
      <c r="A57" s="6"/>
      <c r="B57" s="148" t="s">
        <v>190</v>
      </c>
      <c r="C57" s="194" t="s">
        <v>79</v>
      </c>
      <c r="D57" s="27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2.xml><?xml version="1.0" encoding="utf-8"?>
<ds:datastoreItem xmlns:ds="http://schemas.openxmlformats.org/officeDocument/2006/customXml" ds:itemID="{ACD44F0E-7B1F-4A5E-B495-7ACF0484058C}"/>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2023-07-28T20:28:06Z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