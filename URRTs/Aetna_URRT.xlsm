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M:\GA\IVL\2024-01\Filing\URRT\"/>
    </mc:Choice>
  </mc:AlternateContent>
  <xr:revisionPtr revIDLastSave="0" documentId="13_ncr:1_{83C698D6-A6FD-4834-8276-0F296EDDE0EB}"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120" yWindow="-120" windowWidth="29040" windowHeight="15840"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functionGroups builtInGroupCount="19"/>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PlanTemplate!$K$10:$K$28</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P65" i="13" l="1"/>
  <c r="BP47" i="13"/>
  <c r="BP25" i="13"/>
  <c r="BO65" i="13"/>
  <c r="BO47" i="13"/>
  <c r="BO25" i="13"/>
  <c r="BN65" i="13"/>
  <c r="BN47" i="13"/>
  <c r="BN25" i="13"/>
  <c r="BM65" i="13"/>
  <c r="BM47" i="13"/>
  <c r="BM25" i="13"/>
  <c r="BL65" i="13"/>
  <c r="BL47" i="13"/>
  <c r="BL25" i="13"/>
  <c r="BK65" i="13"/>
  <c r="BK47" i="13"/>
  <c r="BK25" i="13"/>
  <c r="BJ65" i="13"/>
  <c r="BJ47" i="13"/>
  <c r="BJ25" i="13"/>
  <c r="BI65" i="13"/>
  <c r="BI47" i="13"/>
  <c r="BI25" i="13"/>
  <c r="BH65" i="13"/>
  <c r="BH47" i="13"/>
  <c r="BH25" i="13"/>
  <c r="BG65" i="13"/>
  <c r="BG47" i="13"/>
  <c r="BG25" i="13"/>
  <c r="BF65" i="13"/>
  <c r="BF47" i="13"/>
  <c r="BF25" i="13"/>
  <c r="BE65" i="13"/>
  <c r="BE47" i="13"/>
  <c r="BE25" i="13"/>
  <c r="BD65" i="13"/>
  <c r="BD47" i="13"/>
  <c r="BD25" i="13"/>
  <c r="BC65" i="13"/>
  <c r="BC47" i="13"/>
  <c r="BC25" i="13"/>
  <c r="AJ65" i="13"/>
  <c r="AJ47" i="13"/>
  <c r="AJ25" i="13"/>
  <c r="AI65" i="13"/>
  <c r="AI47" i="13"/>
  <c r="AI25" i="13"/>
  <c r="AH65" i="13"/>
  <c r="AH47" i="13"/>
  <c r="AH25" i="13"/>
  <c r="AG65" i="13"/>
  <c r="AG47" i="13"/>
  <c r="AG25" i="13"/>
  <c r="AF65" i="13"/>
  <c r="AF47" i="13"/>
  <c r="AF25" i="13"/>
  <c r="AE65" i="13"/>
  <c r="AE47" i="13"/>
  <c r="AE25" i="13"/>
  <c r="AD65" i="13"/>
  <c r="AD47" i="13"/>
  <c r="AD25" i="13"/>
  <c r="AC65" i="13"/>
  <c r="AC47" i="13"/>
  <c r="AC25" i="13"/>
  <c r="BB25" i="13" l="1"/>
  <c r="AB47" i="13"/>
  <c r="Z47" i="13"/>
  <c r="X65" i="13"/>
  <c r="Y65" i="13"/>
  <c r="AA65" i="13"/>
  <c r="BB47" i="13"/>
  <c r="BB65" i="13"/>
  <c r="Z25" i="13"/>
  <c r="X25" i="13"/>
  <c r="AA25" i="13"/>
  <c r="Y25" i="13"/>
  <c r="AB65" i="13"/>
  <c r="AA47" i="13"/>
  <c r="Z65" i="13"/>
  <c r="Y47" i="13"/>
  <c r="X47" i="13"/>
  <c r="AB25" i="13"/>
  <c r="C5" i="1" l="1"/>
  <c r="D69" i="13" l="1"/>
  <c r="AU65" i="13" l="1"/>
  <c r="AU47" i="13"/>
  <c r="AU25" i="13"/>
  <c r="O65" i="13"/>
  <c r="O47" i="13"/>
  <c r="O25" i="13"/>
  <c r="E30" i="15"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3" i="15"/>
  <c r="E80" i="15"/>
  <c r="E38" i="15" l="1"/>
  <c r="D26" i="15"/>
  <c r="D38" i="15" s="1"/>
  <c r="D30" i="15" l="1"/>
  <c r="D36" i="15" l="1"/>
  <c r="D42" i="15"/>
  <c r="V65" i="13" l="1"/>
  <c r="V25" i="13"/>
  <c r="V47" i="13"/>
  <c r="S25" i="13"/>
  <c r="S47" i="13"/>
  <c r="S65" i="13"/>
  <c r="AX25" i="13"/>
  <c r="AX47" i="13"/>
  <c r="AX65" i="13"/>
  <c r="AY25" i="13"/>
  <c r="AY47" i="13"/>
  <c r="AY65" i="13"/>
  <c r="R47" i="13"/>
  <c r="R25" i="13"/>
  <c r="R65" i="13"/>
  <c r="AZ47" i="13"/>
  <c r="AZ25" i="13"/>
  <c r="AZ65" i="13"/>
  <c r="T65" i="13"/>
  <c r="T25" i="13"/>
  <c r="T47" i="13"/>
  <c r="Q65" i="13"/>
  <c r="Q25" i="13"/>
  <c r="Q47" i="13"/>
  <c r="BA25" i="13"/>
  <c r="BA65" i="13"/>
  <c r="BA47" i="13"/>
  <c r="U47" i="13"/>
  <c r="U25" i="13"/>
  <c r="U65" i="13"/>
  <c r="W25" i="13"/>
  <c r="W47" i="13"/>
  <c r="W65" i="13"/>
  <c r="AV65" i="13"/>
  <c r="AV47" i="13"/>
  <c r="AV25" i="13"/>
  <c r="P65" i="13"/>
  <c r="P25" i="13"/>
  <c r="P47" i="13"/>
  <c r="AW65" i="13"/>
  <c r="AW25" i="13"/>
  <c r="AW47" i="13"/>
  <c r="D36" i="1" l="1"/>
  <c r="D42" i="1" l="1"/>
  <c r="D5" i="13"/>
  <c r="F12" i="1" l="1"/>
  <c r="A27" i="13" l="1"/>
  <c r="D4" i="15" l="1"/>
  <c r="D4" i="13"/>
  <c r="E59" i="13" l="1"/>
  <c r="E61" i="13" l="1"/>
  <c r="E60" i="13" l="1"/>
  <c r="C30" i="1" l="1"/>
  <c r="A31" i="13" l="1"/>
  <c r="A32" i="13" l="1"/>
  <c r="A30" i="13" l="1"/>
  <c r="AM47" i="13" l="1"/>
  <c r="AM25" i="13"/>
  <c r="AM65" i="13"/>
  <c r="M65" i="13"/>
  <c r="M25" i="13"/>
  <c r="M47" i="13"/>
  <c r="AN65" i="13"/>
  <c r="AN47" i="13"/>
  <c r="AN25" i="13"/>
  <c r="AT47" i="13"/>
  <c r="AT25" i="13"/>
  <c r="AT65" i="13"/>
  <c r="AR25" i="13"/>
  <c r="AR65" i="13"/>
  <c r="AR47" i="13"/>
  <c r="AL25" i="13"/>
  <c r="AL65" i="13"/>
  <c r="AL47" i="13"/>
  <c r="AP25" i="13"/>
  <c r="AP65" i="13"/>
  <c r="AP47" i="13"/>
  <c r="L25" i="13"/>
  <c r="L47" i="13"/>
  <c r="L65" i="13"/>
  <c r="H65" i="13"/>
  <c r="H47" i="13"/>
  <c r="H25" i="13"/>
  <c r="N65" i="13"/>
  <c r="N47" i="13"/>
  <c r="N25" i="13"/>
  <c r="AW79" i="13"/>
  <c r="AJ39" i="13"/>
  <c r="Z79" i="13"/>
  <c r="T79" i="13"/>
  <c r="BE79" i="13"/>
  <c r="AV79" i="13"/>
  <c r="U79" i="13"/>
  <c r="AJ40" i="13"/>
  <c r="BE81" i="13"/>
  <c r="O79" i="13"/>
  <c r="AY79" i="13"/>
  <c r="AH41" i="13"/>
  <c r="BJ79" i="13"/>
  <c r="BB79" i="13"/>
  <c r="AJ44" i="13"/>
  <c r="BE77" i="13"/>
  <c r="BO79" i="13"/>
  <c r="O77" i="13"/>
  <c r="AY81" i="13"/>
  <c r="BI79" i="13"/>
  <c r="AH39" i="13"/>
  <c r="BC79" i="13"/>
  <c r="AJ41" i="13"/>
  <c r="AJ79" i="13"/>
  <c r="Y79" i="13"/>
  <c r="AH40" i="13"/>
  <c r="BN79" i="13"/>
  <c r="AA79" i="13"/>
  <c r="BB81" i="13"/>
  <c r="O78" i="13"/>
  <c r="Q79" i="13"/>
  <c r="AV78" i="13"/>
  <c r="BJ44" i="13"/>
  <c r="AF79" i="13"/>
  <c r="AE41" i="13"/>
  <c r="BD79" i="13"/>
  <c r="BA41" i="13"/>
  <c r="AV82" i="13"/>
  <c r="AJ43" i="13"/>
  <c r="BE82" i="13"/>
  <c r="BB78" i="13"/>
  <c r="O82" i="13"/>
  <c r="AX79" i="13"/>
  <c r="AH44" i="13"/>
  <c r="BI81" i="13"/>
  <c r="AI79" i="13"/>
  <c r="BL79" i="13"/>
  <c r="AE43" i="13"/>
  <c r="AD79" i="13"/>
  <c r="BB82" i="13"/>
  <c r="AU79" i="13"/>
  <c r="T39" i="13"/>
  <c r="T44" i="13"/>
  <c r="AY77" i="13"/>
  <c r="BM79" i="13"/>
  <c r="BL44" i="13"/>
  <c r="W79" i="13"/>
  <c r="BA44" i="13"/>
  <c r="BA39" i="13"/>
  <c r="AE79" i="13"/>
  <c r="BM39" i="13"/>
  <c r="BH79" i="13"/>
  <c r="AA77" i="13"/>
  <c r="BK79" i="13"/>
  <c r="AE44" i="13"/>
  <c r="BN44" i="13"/>
  <c r="AH79" i="13"/>
  <c r="BD82" i="13"/>
  <c r="AY78" i="13"/>
  <c r="AE40" i="13"/>
  <c r="BM44" i="13"/>
  <c r="S79" i="13"/>
  <c r="P79" i="13"/>
  <c r="BE78" i="13"/>
  <c r="BF43" i="13"/>
  <c r="BE43" i="13"/>
  <c r="X79" i="13"/>
  <c r="T78" i="13"/>
  <c r="T41" i="13"/>
  <c r="U44" i="13"/>
  <c r="BF79" i="13"/>
  <c r="BK44" i="13"/>
  <c r="BF44" i="13"/>
  <c r="AG79" i="13"/>
  <c r="BA79" i="13"/>
  <c r="W81" i="13"/>
  <c r="AZ79" i="13"/>
  <c r="BP79" i="13"/>
  <c r="BG79" i="13"/>
  <c r="AB79" i="13"/>
  <c r="U41" i="13"/>
  <c r="AY39" i="13"/>
  <c r="AC79" i="13"/>
  <c r="AE39" i="13"/>
  <c r="BF39" i="13"/>
  <c r="BO41" i="13"/>
  <c r="R79" i="13"/>
  <c r="V79" i="13"/>
  <c r="W77" i="13"/>
  <c r="AX43" i="13"/>
  <c r="BA43" i="13"/>
  <c r="U43" i="13"/>
  <c r="Q43" i="13"/>
  <c r="T43" i="13"/>
  <c r="F65" i="13"/>
  <c r="F47" i="13"/>
  <c r="F25" i="13"/>
  <c r="BL77" i="13" l="1"/>
  <c r="BM43" i="13"/>
  <c r="BO77" i="13"/>
  <c r="BD78" i="13"/>
  <c r="BM40" i="13"/>
  <c r="AX81" i="13"/>
  <c r="AU78" i="13"/>
  <c r="AI78" i="13"/>
  <c r="P82" i="13"/>
  <c r="T81" i="13"/>
  <c r="T82" i="13"/>
  <c r="BI78" i="13"/>
  <c r="AF81" i="13"/>
  <c r="AG40" i="13"/>
  <c r="BL43" i="13"/>
  <c r="AG39" i="13"/>
  <c r="AG43" i="13"/>
  <c r="AG41" i="13"/>
  <c r="AG44" i="13"/>
  <c r="BN40" i="13"/>
  <c r="W43" i="13"/>
  <c r="BL78" i="13"/>
  <c r="BI82" i="13"/>
  <c r="AJ82" i="13"/>
  <c r="Y43" i="13"/>
  <c r="AH43" i="13"/>
  <c r="AJ78" i="13"/>
  <c r="AJ77" i="13"/>
  <c r="BH39" i="13"/>
  <c r="BD44" i="13"/>
  <c r="BK43" i="13"/>
  <c r="X77" i="13"/>
  <c r="S44" i="13"/>
  <c r="AE82" i="13"/>
  <c r="AH77" i="13"/>
  <c r="BI77" i="13"/>
  <c r="AH78" i="13"/>
  <c r="BN43" i="13"/>
  <c r="BD77" i="13"/>
  <c r="AX39" i="13"/>
  <c r="S39" i="13"/>
  <c r="AD82" i="13"/>
  <c r="BK39" i="13"/>
  <c r="W39" i="13"/>
  <c r="AJ81" i="13"/>
  <c r="AI81" i="13"/>
  <c r="BK40" i="13"/>
  <c r="AA81" i="13"/>
  <c r="BL81" i="13"/>
  <c r="AU43" i="13"/>
  <c r="BC40" i="13"/>
  <c r="BK41" i="13"/>
  <c r="X82" i="13"/>
  <c r="AU82" i="13"/>
  <c r="BL82" i="13"/>
  <c r="BM78" i="13"/>
  <c r="BC44" i="13"/>
  <c r="AB82" i="13"/>
  <c r="AE77" i="13"/>
  <c r="AY82" i="13"/>
  <c r="P43" i="13"/>
  <c r="AV39" i="13"/>
  <c r="U77" i="13"/>
  <c r="BA81" i="13"/>
  <c r="BD41" i="13"/>
  <c r="BK81" i="13"/>
  <c r="U78" i="13"/>
  <c r="BO40" i="13"/>
  <c r="AD44" i="13"/>
  <c r="AY44" i="13"/>
  <c r="AA43" i="13"/>
  <c r="AC41" i="13"/>
  <c r="Y82" i="13"/>
  <c r="BE41" i="13"/>
  <c r="Q77" i="13"/>
  <c r="AV81" i="13"/>
  <c r="BB39" i="13"/>
  <c r="Y78" i="13"/>
  <c r="P41" i="13"/>
  <c r="U82" i="13"/>
  <c r="AU81" i="13"/>
  <c r="AV43" i="13"/>
  <c r="BD40" i="13"/>
  <c r="BG41" i="13"/>
  <c r="AU77" i="13"/>
  <c r="AX41" i="13"/>
  <c r="BB44" i="13"/>
  <c r="BE40" i="13"/>
  <c r="AD77" i="13"/>
  <c r="BL39" i="13"/>
  <c r="AG78" i="13"/>
  <c r="P78" i="13"/>
  <c r="BP43" i="13"/>
  <c r="Z77" i="13"/>
  <c r="BO43" i="13"/>
  <c r="Z78" i="13"/>
  <c r="BE44" i="13"/>
  <c r="AV77" i="13"/>
  <c r="Z82" i="13"/>
  <c r="BM41" i="13"/>
  <c r="P77" i="13"/>
  <c r="BH40" i="13"/>
  <c r="AH81" i="13"/>
  <c r="AB43" i="13"/>
  <c r="U81" i="13"/>
  <c r="O39" i="13"/>
  <c r="W41" i="13"/>
  <c r="AG81" i="13"/>
  <c r="BD43" i="13"/>
  <c r="Q82" i="13"/>
  <c r="BD39" i="13"/>
  <c r="AA78" i="13"/>
  <c r="BB43" i="13"/>
  <c r="BC41" i="13"/>
  <c r="BO44" i="13"/>
  <c r="Y81" i="13"/>
  <c r="AB41" i="13"/>
  <c r="BG40" i="13"/>
  <c r="R82" i="13"/>
  <c r="AZ77" i="13"/>
  <c r="Q44" i="13"/>
  <c r="AC39" i="13"/>
  <c r="AI82" i="13"/>
  <c r="BM81" i="13"/>
  <c r="BK77" i="13"/>
  <c r="BE39" i="13"/>
  <c r="O43" i="13"/>
  <c r="AA39" i="13"/>
  <c r="S78" i="13"/>
  <c r="AC82" i="13"/>
  <c r="BB41" i="13"/>
  <c r="R78" i="13"/>
  <c r="Z81" i="13"/>
  <c r="O41" i="13"/>
  <c r="BG39" i="13"/>
  <c r="BC78" i="13"/>
  <c r="BN81" i="13"/>
  <c r="BG77" i="13"/>
  <c r="BN76" i="13"/>
  <c r="BN70" i="13"/>
  <c r="AI40" i="13"/>
  <c r="BE76" i="13"/>
  <c r="BE70" i="13"/>
  <c r="Z44" i="13"/>
  <c r="AC40" i="13"/>
  <c r="BG82" i="13"/>
  <c r="V41" i="13"/>
  <c r="BJ40" i="13"/>
  <c r="BF78" i="13"/>
  <c r="BI43" i="13"/>
  <c r="AW39" i="13"/>
  <c r="BE38" i="13"/>
  <c r="BE30" i="13"/>
  <c r="AF76" i="13"/>
  <c r="AF70" i="13"/>
  <c r="AW78" i="13"/>
  <c r="BO76" i="13"/>
  <c r="BO70" i="13"/>
  <c r="R70" i="13"/>
  <c r="R76" i="13"/>
  <c r="AZ82" i="13"/>
  <c r="AG38" i="13"/>
  <c r="AG30" i="13"/>
  <c r="AI39" i="13"/>
  <c r="BI76" i="13"/>
  <c r="BI70" i="13"/>
  <c r="AF82" i="13"/>
  <c r="U39" i="13"/>
  <c r="BP41" i="13"/>
  <c r="AC77" i="13"/>
  <c r="AA82" i="13"/>
  <c r="AR79" i="13"/>
  <c r="AW82" i="13"/>
  <c r="AZ39" i="13"/>
  <c r="W78" i="13"/>
  <c r="AF41" i="13"/>
  <c r="AE30" i="13"/>
  <c r="AE38" i="13"/>
  <c r="BJ81" i="13"/>
  <c r="G47" i="13"/>
  <c r="G25" i="13"/>
  <c r="G65" i="13"/>
  <c r="F79" i="13"/>
  <c r="AZ43" i="13"/>
  <c r="BL30" i="13"/>
  <c r="BL38" i="13"/>
  <c r="Z76" i="13"/>
  <c r="Z70" i="13"/>
  <c r="BK30" i="13"/>
  <c r="BK38" i="13"/>
  <c r="AF40" i="13"/>
  <c r="AD30" i="13"/>
  <c r="AD38" i="13"/>
  <c r="AF38" i="13"/>
  <c r="AF30" i="13"/>
  <c r="AX77" i="13"/>
  <c r="AB81" i="13"/>
  <c r="X81" i="13"/>
  <c r="BP70" i="13"/>
  <c r="BP76" i="13"/>
  <c r="AD76" i="13"/>
  <c r="AD70" i="13"/>
  <c r="AY41" i="13"/>
  <c r="BG30" i="13"/>
  <c r="BG38" i="13"/>
  <c r="Y44" i="13"/>
  <c r="BC76" i="13"/>
  <c r="BC70" i="13"/>
  <c r="L79" i="13"/>
  <c r="K47" i="13"/>
  <c r="K25" i="13"/>
  <c r="K65" i="13"/>
  <c r="AI70" i="13"/>
  <c r="AI76" i="13"/>
  <c r="Z41" i="13"/>
  <c r="M79" i="13"/>
  <c r="R77" i="13"/>
  <c r="AG70" i="13"/>
  <c r="AG76" i="13"/>
  <c r="AJ76" i="13"/>
  <c r="AJ70" i="13"/>
  <c r="BI44" i="13"/>
  <c r="AV44" i="13"/>
  <c r="Q39" i="13"/>
  <c r="BC30" i="13"/>
  <c r="BC38" i="13"/>
  <c r="BD30" i="13"/>
  <c r="BD38" i="13"/>
  <c r="BK78" i="13"/>
  <c r="BJ41" i="13"/>
  <c r="BK70" i="13"/>
  <c r="BK76" i="13"/>
  <c r="AC78" i="13"/>
  <c r="BB77" i="13"/>
  <c r="AF77" i="13"/>
  <c r="AT79" i="13"/>
  <c r="AY43" i="13"/>
  <c r="AH70" i="13"/>
  <c r="AH76" i="13"/>
  <c r="AW81" i="13"/>
  <c r="BI38" i="13"/>
  <c r="BI30" i="13"/>
  <c r="U76" i="13"/>
  <c r="U70" i="13"/>
  <c r="AW41" i="13"/>
  <c r="BI41" i="13"/>
  <c r="W82" i="13"/>
  <c r="AZ41" i="13"/>
  <c r="BH76" i="13"/>
  <c r="BH70" i="13"/>
  <c r="V44" i="13"/>
  <c r="BN78" i="13"/>
  <c r="BC81" i="13"/>
  <c r="V39" i="13"/>
  <c r="AZ78" i="13"/>
  <c r="X39" i="13"/>
  <c r="BF82" i="13"/>
  <c r="I47" i="13"/>
  <c r="I25" i="13"/>
  <c r="I65" i="13"/>
  <c r="BH43" i="13"/>
  <c r="AI44" i="13"/>
  <c r="BJ38" i="13"/>
  <c r="BJ30" i="13"/>
  <c r="P44" i="13"/>
  <c r="BN30" i="13"/>
  <c r="BN38" i="13"/>
  <c r="BN41" i="13"/>
  <c r="Y77" i="13"/>
  <c r="AF43" i="13"/>
  <c r="V78" i="13"/>
  <c r="H79" i="13"/>
  <c r="BC77" i="13"/>
  <c r="AW70" i="13"/>
  <c r="AW76" i="13"/>
  <c r="BP82" i="13"/>
  <c r="AW77" i="13"/>
  <c r="AI38" i="13"/>
  <c r="AI30" i="13"/>
  <c r="Q41" i="13"/>
  <c r="AD40" i="13"/>
  <c r="BP40" i="13"/>
  <c r="AV41" i="13"/>
  <c r="AH82" i="13"/>
  <c r="AZ44" i="13"/>
  <c r="AD78" i="13"/>
  <c r="R44" i="13"/>
  <c r="AD41" i="13"/>
  <c r="BG44" i="13"/>
  <c r="BP30" i="13"/>
  <c r="BP38" i="13"/>
  <c r="Q78" i="13"/>
  <c r="BL41" i="13"/>
  <c r="BH44" i="13"/>
  <c r="AE78" i="13"/>
  <c r="AM79" i="13"/>
  <c r="O76" i="13"/>
  <c r="O70" i="13"/>
  <c r="AF39" i="13"/>
  <c r="BD76" i="13"/>
  <c r="BD70" i="13"/>
  <c r="AA76" i="13"/>
  <c r="AA70" i="13"/>
  <c r="BH78" i="13"/>
  <c r="AD81" i="13"/>
  <c r="AH38" i="13"/>
  <c r="AH30" i="13"/>
  <c r="BF76" i="13"/>
  <c r="BF70" i="13"/>
  <c r="Y41" i="13"/>
  <c r="AD39" i="13"/>
  <c r="R39" i="13"/>
  <c r="BH41" i="13"/>
  <c r="AW43" i="13"/>
  <c r="AX44" i="13"/>
  <c r="W44" i="13"/>
  <c r="BC43" i="13"/>
  <c r="BO30" i="13"/>
  <c r="BO38" i="13"/>
  <c r="Z39" i="13"/>
  <c r="AI41" i="13"/>
  <c r="AF78" i="13"/>
  <c r="BK82" i="13"/>
  <c r="Q70" i="13"/>
  <c r="Q76" i="13"/>
  <c r="AD43" i="13"/>
  <c r="AW44" i="13"/>
  <c r="BM77" i="13"/>
  <c r="BA77" i="13"/>
  <c r="BI40" i="13"/>
  <c r="S82" i="13"/>
  <c r="BO81" i="13"/>
  <c r="S43" i="13"/>
  <c r="X41" i="13"/>
  <c r="BI39" i="13"/>
  <c r="BA78" i="13"/>
  <c r="BF30" i="13"/>
  <c r="BF38" i="13"/>
  <c r="BJ78" i="13"/>
  <c r="AZ76" i="13"/>
  <c r="AZ70" i="13"/>
  <c r="BJ43" i="13"/>
  <c r="R81" i="13"/>
  <c r="BG81" i="13"/>
  <c r="T77" i="13"/>
  <c r="BG78" i="13"/>
  <c r="AP79" i="13"/>
  <c r="X43" i="13"/>
  <c r="X76" i="13"/>
  <c r="X70" i="13"/>
  <c r="BB76" i="13"/>
  <c r="BB70" i="13"/>
  <c r="BJ77" i="13"/>
  <c r="AG82" i="13"/>
  <c r="BF77" i="13"/>
  <c r="S76" i="13"/>
  <c r="S70" i="13"/>
  <c r="BP44" i="13"/>
  <c r="BP39" i="13"/>
  <c r="BN39" i="13"/>
  <c r="P81" i="13"/>
  <c r="AC76" i="13"/>
  <c r="AC70" i="13"/>
  <c r="AE70" i="13"/>
  <c r="AE76" i="13"/>
  <c r="AU44" i="13"/>
  <c r="BJ70" i="13"/>
  <c r="BJ76" i="13"/>
  <c r="J65" i="13"/>
  <c r="J47" i="13"/>
  <c r="J25" i="13"/>
  <c r="AN79" i="13"/>
  <c r="V43" i="13"/>
  <c r="BO39" i="13"/>
  <c r="AG77" i="13"/>
  <c r="V77" i="13"/>
  <c r="R41" i="13"/>
  <c r="AB70" i="13"/>
  <c r="AB76" i="13"/>
  <c r="AC38" i="13"/>
  <c r="AC30" i="13"/>
  <c r="AA41" i="13"/>
  <c r="AU76" i="13"/>
  <c r="AU70" i="13"/>
  <c r="BM70" i="13"/>
  <c r="BM76" i="13"/>
  <c r="BH81" i="13"/>
  <c r="AV76" i="13"/>
  <c r="AV70" i="13"/>
  <c r="AJ38" i="13"/>
  <c r="AJ30" i="13"/>
  <c r="AB77" i="13"/>
  <c r="AE81" i="13"/>
  <c r="O44" i="13"/>
  <c r="BL40" i="13"/>
  <c r="BF40" i="13"/>
  <c r="V82" i="13"/>
  <c r="BO82" i="13"/>
  <c r="AQ47" i="13"/>
  <c r="AQ25" i="13"/>
  <c r="AQ65" i="13"/>
  <c r="AX70" i="13"/>
  <c r="AX76" i="13"/>
  <c r="R43" i="13"/>
  <c r="BN82" i="13"/>
  <c r="AB44" i="13"/>
  <c r="E65" i="13"/>
  <c r="E47" i="13"/>
  <c r="E25" i="13"/>
  <c r="W70" i="13"/>
  <c r="W76" i="13"/>
  <c r="BH77" i="13"/>
  <c r="AC81" i="13"/>
  <c r="X78" i="13"/>
  <c r="BH82" i="13"/>
  <c r="BM82" i="13"/>
  <c r="AY70" i="13"/>
  <c r="AY76" i="13"/>
  <c r="AU39" i="13"/>
  <c r="T70" i="13"/>
  <c r="T76" i="13"/>
  <c r="P76" i="13"/>
  <c r="P70" i="13"/>
  <c r="S81" i="13"/>
  <c r="AB78" i="13"/>
  <c r="AA44" i="13"/>
  <c r="BP81" i="13"/>
  <c r="Y39" i="13"/>
  <c r="BL70" i="13"/>
  <c r="BL76" i="13"/>
  <c r="S77" i="13"/>
  <c r="AB39" i="13"/>
  <c r="BC39" i="13"/>
  <c r="AL79" i="13"/>
  <c r="AK47" i="13"/>
  <c r="AK65" i="13"/>
  <c r="AK25" i="13"/>
  <c r="AS65" i="13"/>
  <c r="AS25" i="13"/>
  <c r="AS47" i="13"/>
  <c r="AF44" i="13"/>
  <c r="BJ39" i="13"/>
  <c r="AI43" i="13"/>
  <c r="BC82" i="13"/>
  <c r="BG43" i="13"/>
  <c r="BA70" i="13"/>
  <c r="BA76" i="13"/>
  <c r="P39" i="13"/>
  <c r="N44" i="13"/>
  <c r="Z43" i="13"/>
  <c r="BP78" i="13"/>
  <c r="BN77" i="13"/>
  <c r="AC43" i="13"/>
  <c r="AC44" i="13"/>
  <c r="AI77" i="13"/>
  <c r="AX82" i="13"/>
  <c r="BA82" i="13"/>
  <c r="V76" i="13"/>
  <c r="V70" i="13"/>
  <c r="BF41" i="13"/>
  <c r="AX78" i="13"/>
  <c r="BH30" i="13"/>
  <c r="BH38" i="13"/>
  <c r="BM38" i="13"/>
  <c r="BM30" i="13"/>
  <c r="AU41" i="13"/>
  <c r="BJ82" i="13"/>
  <c r="AO47" i="13"/>
  <c r="AO25" i="13"/>
  <c r="AO65" i="13"/>
  <c r="BG70" i="13"/>
  <c r="BG76" i="13"/>
  <c r="AZ81" i="13"/>
  <c r="Y76" i="13"/>
  <c r="Y70" i="13"/>
  <c r="X44" i="13"/>
  <c r="BF81" i="13"/>
  <c r="V81" i="13"/>
  <c r="BD81" i="13"/>
  <c r="S41" i="13"/>
  <c r="BO78" i="13"/>
  <c r="O81" i="13"/>
  <c r="BP77" i="13"/>
  <c r="Q81" i="13"/>
  <c r="N79" i="13"/>
  <c r="AL44" i="13" l="1"/>
  <c r="L41" i="13"/>
  <c r="M44" i="13"/>
  <c r="F44" i="13"/>
  <c r="AP41" i="13"/>
  <c r="M41" i="13"/>
  <c r="L44" i="13"/>
  <c r="AM41" i="13"/>
  <c r="AT44" i="13"/>
  <c r="AP44" i="13"/>
  <c r="AL41" i="13"/>
  <c r="F41" i="13"/>
  <c r="H41" i="13"/>
  <c r="V80" i="13"/>
  <c r="V74" i="13"/>
  <c r="AK79" i="13"/>
  <c r="BB74" i="13"/>
  <c r="BB80" i="13"/>
  <c r="BK80" i="13"/>
  <c r="BK74" i="13"/>
  <c r="AD42" i="13"/>
  <c r="AD36" i="13"/>
  <c r="N41" i="13"/>
  <c r="P80" i="13"/>
  <c r="P74" i="13"/>
  <c r="W80" i="13"/>
  <c r="W74" i="13"/>
  <c r="J79" i="13"/>
  <c r="AI36" i="13"/>
  <c r="AI42" i="13"/>
  <c r="BH80" i="13"/>
  <c r="BH74" i="13"/>
  <c r="H44" i="13"/>
  <c r="T74" i="13"/>
  <c r="T80" i="13"/>
  <c r="BC80" i="13"/>
  <c r="BC74" i="13"/>
  <c r="AJ42" i="13"/>
  <c r="AJ36" i="13"/>
  <c r="AN41" i="13"/>
  <c r="BF80" i="13"/>
  <c r="BF74" i="13"/>
  <c r="AW74" i="13"/>
  <c r="AW80" i="13"/>
  <c r="BC36" i="13"/>
  <c r="BC42" i="13"/>
  <c r="R80" i="13"/>
  <c r="R74" i="13"/>
  <c r="X74" i="13"/>
  <c r="X80" i="13"/>
  <c r="AG42" i="13"/>
  <c r="AG36" i="13"/>
  <c r="AT41" i="13"/>
  <c r="Y80" i="13"/>
  <c r="Y74" i="13"/>
  <c r="AY74" i="13"/>
  <c r="AY80" i="13"/>
  <c r="BN36" i="13"/>
  <c r="BN42" i="13"/>
  <c r="U80" i="13"/>
  <c r="U74" i="13"/>
  <c r="BL42" i="13"/>
  <c r="BL36" i="13"/>
  <c r="BO80" i="13"/>
  <c r="BO74" i="13"/>
  <c r="AZ80" i="13"/>
  <c r="AZ74" i="13"/>
  <c r="BD36" i="13"/>
  <c r="BD42" i="13"/>
  <c r="AI74" i="13"/>
  <c r="AI80" i="13"/>
  <c r="Z80" i="13"/>
  <c r="Z74" i="13"/>
  <c r="AN44" i="13"/>
  <c r="K79" i="13"/>
  <c r="BA74" i="13"/>
  <c r="BA80" i="13"/>
  <c r="AV74" i="13"/>
  <c r="AV80" i="13"/>
  <c r="AE74" i="13"/>
  <c r="AE80" i="13"/>
  <c r="BF36" i="13"/>
  <c r="BF42" i="13"/>
  <c r="AH36" i="13"/>
  <c r="AH42" i="13"/>
  <c r="BG42" i="13"/>
  <c r="BG36" i="13"/>
  <c r="BJ80" i="13"/>
  <c r="BJ74" i="13"/>
  <c r="AC74" i="13"/>
  <c r="AC80" i="13"/>
  <c r="BO36" i="13"/>
  <c r="BO42" i="13"/>
  <c r="BJ36" i="13"/>
  <c r="BJ42" i="13"/>
  <c r="BI42" i="13"/>
  <c r="BI36" i="13"/>
  <c r="BP42" i="13"/>
  <c r="BP36" i="13"/>
  <c r="AJ74" i="13"/>
  <c r="AJ80" i="13"/>
  <c r="AD74" i="13"/>
  <c r="AD80" i="13"/>
  <c r="AF74" i="13"/>
  <c r="AF80" i="13"/>
  <c r="AE42" i="13"/>
  <c r="AE36" i="13"/>
  <c r="BG80" i="13"/>
  <c r="BG74" i="13"/>
  <c r="AX80" i="13"/>
  <c r="AX74" i="13"/>
  <c r="BE42" i="13"/>
  <c r="BE36" i="13"/>
  <c r="BE74" i="13"/>
  <c r="BE80" i="13"/>
  <c r="BH42" i="13"/>
  <c r="BH36" i="13"/>
  <c r="AB74" i="13"/>
  <c r="AB80" i="13"/>
  <c r="Q74" i="13"/>
  <c r="Q80" i="13"/>
  <c r="AO79" i="13"/>
  <c r="AQ79" i="13"/>
  <c r="BM80" i="13"/>
  <c r="BM74" i="13"/>
  <c r="AA80" i="13"/>
  <c r="AA74" i="13"/>
  <c r="AU80" i="13"/>
  <c r="AU74" i="13"/>
  <c r="I79" i="13"/>
  <c r="AH74" i="13"/>
  <c r="AH80" i="13"/>
  <c r="AG74" i="13"/>
  <c r="AG80" i="13"/>
  <c r="AR44" i="13"/>
  <c r="BP74" i="13"/>
  <c r="BP80" i="13"/>
  <c r="BD80" i="13"/>
  <c r="BD74" i="13"/>
  <c r="BL80" i="13"/>
  <c r="BL74" i="13"/>
  <c r="S80" i="13"/>
  <c r="S74" i="13"/>
  <c r="AR41" i="13"/>
  <c r="G79" i="13"/>
  <c r="BN80" i="13"/>
  <c r="BN74" i="13"/>
  <c r="BK36" i="13"/>
  <c r="BK42" i="13"/>
  <c r="BM42" i="13"/>
  <c r="BM36" i="13"/>
  <c r="AS79" i="13"/>
  <c r="AC36" i="13"/>
  <c r="AC42" i="13"/>
  <c r="O74" i="13"/>
  <c r="O80" i="13"/>
  <c r="AF36" i="13"/>
  <c r="AF42" i="13"/>
  <c r="AM44" i="13"/>
  <c r="BI80" i="13"/>
  <c r="BI74" i="13"/>
  <c r="AQ44" i="13" l="1"/>
  <c r="K41" i="13"/>
  <c r="J41" i="13"/>
  <c r="D34" i="13"/>
  <c r="G44" i="13"/>
  <c r="J44" i="13"/>
  <c r="G41" i="13"/>
  <c r="D29" i="13"/>
  <c r="E41" i="13"/>
  <c r="D32" i="13"/>
  <c r="E44" i="13"/>
  <c r="I44" i="13"/>
  <c r="I41" i="13"/>
  <c r="AK41" i="13"/>
  <c r="AQ41" i="13"/>
  <c r="AS44" i="13"/>
  <c r="AS41" i="13"/>
  <c r="AK44" i="13"/>
  <c r="AO41" i="13"/>
  <c r="K44" i="13"/>
  <c r="AO44" i="13"/>
  <c r="D35" i="13"/>
  <c r="D33" i="13"/>
  <c r="E19" i="1" s="1"/>
  <c r="D41" i="13" l="1"/>
  <c r="E79" i="13"/>
  <c r="D73" i="13"/>
  <c r="F15" i="1"/>
  <c r="A33" i="13"/>
  <c r="F17" i="1"/>
  <c r="F18" i="1"/>
  <c r="F16" i="1"/>
  <c r="D44" i="13"/>
  <c r="D79" i="13" l="1"/>
  <c r="F48" i="1"/>
  <c r="H29" i="1" l="1"/>
  <c r="A26" i="13" l="1"/>
  <c r="F14" i="1"/>
  <c r="U40" i="13" l="1"/>
  <c r="T40" i="13"/>
  <c r="AB40" i="13"/>
  <c r="Q40" i="13"/>
  <c r="V40" i="13"/>
  <c r="R40" i="13"/>
  <c r="W40" i="13"/>
  <c r="AU40" i="13"/>
  <c r="X40" i="13"/>
  <c r="AV40" i="13"/>
  <c r="AZ40" i="13"/>
  <c r="Y40" i="13"/>
  <c r="AW40" i="13"/>
  <c r="AY40" i="13"/>
  <c r="Z40" i="13"/>
  <c r="AX40" i="13"/>
  <c r="AA40" i="13"/>
  <c r="BA40" i="13"/>
  <c r="BB40" i="13"/>
  <c r="P40" i="13"/>
  <c r="O40" i="13"/>
  <c r="S40" i="13"/>
  <c r="AL40" i="13"/>
  <c r="M40" i="13"/>
  <c r="AK40" i="13"/>
  <c r="G40" i="13"/>
  <c r="AO40" i="13"/>
  <c r="AS40" i="13"/>
  <c r="AP40" i="13"/>
  <c r="AN40" i="13"/>
  <c r="I40" i="13"/>
  <c r="N40" i="13"/>
  <c r="AM40" i="13"/>
  <c r="H40" i="13"/>
  <c r="AQ40" i="13"/>
  <c r="AR40" i="13"/>
  <c r="F40" i="13"/>
  <c r="J40" i="13"/>
  <c r="AT40" i="13"/>
  <c r="L40" i="13"/>
  <c r="K40" i="13"/>
  <c r="H25" i="1" l="1"/>
  <c r="D28" i="13"/>
  <c r="D40" i="13" s="1"/>
  <c r="E40" i="13"/>
  <c r="H27" i="1"/>
  <c r="H24" i="1"/>
  <c r="H26" i="1"/>
  <c r="H28" i="1" l="1"/>
  <c r="H30" i="1" s="1"/>
  <c r="F36" i="1" l="1"/>
  <c r="F42" i="1" s="1"/>
  <c r="G43" i="1"/>
  <c r="G42" i="1" l="1"/>
  <c r="G44" i="1"/>
  <c r="I76" i="13" l="1"/>
  <c r="F76" i="13"/>
  <c r="AK76" i="13"/>
  <c r="K76" i="13"/>
  <c r="N76" i="13"/>
  <c r="AR76" i="13"/>
  <c r="G76" i="13"/>
  <c r="AN76" i="13"/>
  <c r="J76" i="13"/>
  <c r="H76" i="13"/>
  <c r="AL76" i="13"/>
  <c r="AM76" i="13"/>
  <c r="AS76" i="13"/>
  <c r="M76" i="13"/>
  <c r="AO76" i="13"/>
  <c r="I78" i="13"/>
  <c r="I77" i="13"/>
  <c r="AL78" i="13"/>
  <c r="AL77" i="13"/>
  <c r="F78" i="13"/>
  <c r="F77" i="13"/>
  <c r="K77" i="13"/>
  <c r="K78" i="13"/>
  <c r="AK77" i="13"/>
  <c r="AK78" i="13"/>
  <c r="H78" i="13"/>
  <c r="H77" i="13"/>
  <c r="AR77" i="13"/>
  <c r="AR78" i="13"/>
  <c r="N77" i="13"/>
  <c r="N78" i="13"/>
  <c r="G77" i="13"/>
  <c r="G78" i="13"/>
  <c r="J77" i="13"/>
  <c r="J78" i="13"/>
  <c r="AN78" i="13"/>
  <c r="AN77" i="13"/>
  <c r="AS77" i="13"/>
  <c r="AS78" i="13"/>
  <c r="AM78" i="13"/>
  <c r="AM77" i="13"/>
  <c r="AO77" i="13"/>
  <c r="AO78" i="13"/>
  <c r="M78" i="13"/>
  <c r="M77" i="13"/>
  <c r="AP76" i="13" l="1"/>
  <c r="H70" i="13"/>
  <c r="J70" i="13"/>
  <c r="AN70" i="13"/>
  <c r="G70" i="13"/>
  <c r="L76" i="13"/>
  <c r="F46" i="1"/>
  <c r="AR70" i="13"/>
  <c r="AO70" i="13"/>
  <c r="N70" i="13"/>
  <c r="M70" i="13"/>
  <c r="K70" i="13"/>
  <c r="AS70" i="13"/>
  <c r="AK70" i="13"/>
  <c r="AT76" i="13"/>
  <c r="AM70" i="13"/>
  <c r="F70" i="13"/>
  <c r="AQ76" i="13"/>
  <c r="AL70" i="13"/>
  <c r="I70" i="13"/>
  <c r="D66" i="13"/>
  <c r="E76" i="13"/>
  <c r="AQ77" i="13"/>
  <c r="AQ78" i="13"/>
  <c r="AP78" i="13"/>
  <c r="AP77" i="13"/>
  <c r="E70" i="13"/>
  <c r="AT78" i="13"/>
  <c r="AT77" i="13"/>
  <c r="L77" i="13"/>
  <c r="L78" i="13"/>
  <c r="E80" i="13" l="1"/>
  <c r="AK80" i="13"/>
  <c r="AS80" i="13"/>
  <c r="K80" i="13"/>
  <c r="M80" i="13"/>
  <c r="N80" i="13"/>
  <c r="AO80" i="13"/>
  <c r="AR80" i="13"/>
  <c r="E48" i="15"/>
  <c r="E57" i="15" s="1"/>
  <c r="E62" i="15" s="1"/>
  <c r="G46" i="1"/>
  <c r="E48" i="13"/>
  <c r="G45" i="1"/>
  <c r="L70" i="13"/>
  <c r="D76" i="13"/>
  <c r="D67" i="13"/>
  <c r="D77" i="13" s="1"/>
  <c r="E77" i="13"/>
  <c r="I80" i="13"/>
  <c r="AL80" i="13"/>
  <c r="G80" i="13"/>
  <c r="AQ70" i="13"/>
  <c r="AN80" i="13"/>
  <c r="E78" i="13"/>
  <c r="D68" i="13"/>
  <c r="D78" i="13" s="1"/>
  <c r="J80" i="13"/>
  <c r="F80" i="13"/>
  <c r="H80" i="13"/>
  <c r="AM80" i="13"/>
  <c r="AP70" i="13"/>
  <c r="AT70" i="13"/>
  <c r="BH57" i="13" l="1"/>
  <c r="BH62" i="13" s="1"/>
  <c r="BI57" i="13"/>
  <c r="BI62" i="13" s="1"/>
  <c r="T57" i="13"/>
  <c r="T62" i="13" s="1"/>
  <c r="V57" i="13"/>
  <c r="V62" i="13" s="1"/>
  <c r="BK57" i="13"/>
  <c r="BK62" i="13" s="1"/>
  <c r="BN57" i="13"/>
  <c r="BN62" i="13" s="1"/>
  <c r="P57" i="13"/>
  <c r="P62" i="13" s="1"/>
  <c r="AU57" i="13"/>
  <c r="AU62" i="13" s="1"/>
  <c r="AZ57" i="13"/>
  <c r="AZ62" i="13" s="1"/>
  <c r="BO57" i="13"/>
  <c r="BO62" i="13" s="1"/>
  <c r="BJ57" i="13"/>
  <c r="BJ62" i="13" s="1"/>
  <c r="X57" i="13"/>
  <c r="X62" i="13" s="1"/>
  <c r="Y57" i="13"/>
  <c r="Y62" i="13" s="1"/>
  <c r="R57" i="13"/>
  <c r="R62" i="13" s="1"/>
  <c r="AX57" i="13"/>
  <c r="AX62" i="13" s="1"/>
  <c r="BD57" i="13"/>
  <c r="BD62" i="13" s="1"/>
  <c r="AB57" i="13"/>
  <c r="AB62" i="13" s="1"/>
  <c r="BA57" i="13"/>
  <c r="BA62" i="13" s="1"/>
  <c r="AA57" i="13"/>
  <c r="AA62" i="13" s="1"/>
  <c r="AE57" i="13"/>
  <c r="AE62" i="13" s="1"/>
  <c r="W57" i="13"/>
  <c r="W62" i="13" s="1"/>
  <c r="AW57" i="13"/>
  <c r="AW62" i="13" s="1"/>
  <c r="O57" i="13"/>
  <c r="O62" i="13" s="1"/>
  <c r="AJ57" i="13"/>
  <c r="AJ62" i="13" s="1"/>
  <c r="AY57" i="13"/>
  <c r="AY62" i="13" s="1"/>
  <c r="AF57" i="13"/>
  <c r="AF62" i="13" s="1"/>
  <c r="Z57" i="13"/>
  <c r="Z62" i="13" s="1"/>
  <c r="U57" i="13"/>
  <c r="U62" i="13" s="1"/>
  <c r="BB57" i="13"/>
  <c r="BB62" i="13" s="1"/>
  <c r="BE57" i="13"/>
  <c r="BE62" i="13" s="1"/>
  <c r="S57" i="13"/>
  <c r="S62" i="13" s="1"/>
  <c r="AV57" i="13"/>
  <c r="AV62" i="13" s="1"/>
  <c r="AC57" i="13"/>
  <c r="AC62" i="13" s="1"/>
  <c r="BF57" i="13"/>
  <c r="BF62" i="13" s="1"/>
  <c r="AD57" i="13"/>
  <c r="AD62" i="13" s="1"/>
  <c r="AI57" i="13"/>
  <c r="AI62" i="13" s="1"/>
  <c r="BG57" i="13"/>
  <c r="BG62" i="13" s="1"/>
  <c r="BL57" i="13"/>
  <c r="BL62" i="13" s="1"/>
  <c r="AG57" i="13"/>
  <c r="AG62" i="13" s="1"/>
  <c r="BP57" i="13"/>
  <c r="BP62" i="13" s="1"/>
  <c r="BC57" i="13"/>
  <c r="BC62" i="13" s="1"/>
  <c r="Q57" i="13"/>
  <c r="Q62" i="13" s="1"/>
  <c r="AH57" i="13"/>
  <c r="AH62" i="13" s="1"/>
  <c r="BM57" i="13"/>
  <c r="BM62" i="13" s="1"/>
  <c r="AQ80" i="13"/>
  <c r="AT80" i="13"/>
  <c r="AP80" i="13"/>
  <c r="D70" i="13"/>
  <c r="L80" i="13"/>
  <c r="F57" i="13" l="1"/>
  <c r="F62" i="13" s="1"/>
  <c r="N57" i="13"/>
  <c r="N62" i="13" s="1"/>
  <c r="AT57" i="13"/>
  <c r="AT62" i="13" s="1"/>
  <c r="J57" i="13"/>
  <c r="J62" i="13" s="1"/>
  <c r="AR57" i="13"/>
  <c r="AR62" i="13" s="1"/>
  <c r="G57" i="13"/>
  <c r="G62" i="13" s="1"/>
  <c r="AP57" i="13"/>
  <c r="AP62" i="13" s="1"/>
  <c r="M57" i="13"/>
  <c r="M62" i="13" s="1"/>
  <c r="H57" i="13"/>
  <c r="H62" i="13" s="1"/>
  <c r="D80" i="13"/>
  <c r="AK57" i="13"/>
  <c r="AK62" i="13" s="1"/>
  <c r="AM57" i="13"/>
  <c r="AM62" i="13" s="1"/>
  <c r="E57" i="13"/>
  <c r="E62" i="13" s="1"/>
  <c r="L57" i="13"/>
  <c r="L62" i="13" s="1"/>
  <c r="AQ57" i="13"/>
  <c r="AQ62" i="13" s="1"/>
  <c r="AN57" i="13"/>
  <c r="AN62" i="13" s="1"/>
  <c r="K57" i="13"/>
  <c r="K62" i="13" s="1"/>
  <c r="AL57" i="13"/>
  <c r="AL62" i="13" s="1"/>
  <c r="I57" i="13"/>
  <c r="I62" i="13" s="1"/>
  <c r="AO57" i="13"/>
  <c r="AO62" i="13" s="1"/>
  <c r="AS57" i="13"/>
  <c r="AS62" i="13" s="1"/>
  <c r="AO82" i="13" l="1"/>
  <c r="AN82" i="13"/>
  <c r="AP82" i="13"/>
  <c r="L82" i="13"/>
  <c r="N82" i="13"/>
  <c r="AS82" i="13"/>
  <c r="M82" i="13"/>
  <c r="G82" i="13"/>
  <c r="AT82" i="13"/>
  <c r="I82" i="13"/>
  <c r="AR82" i="13"/>
  <c r="AL82" i="13"/>
  <c r="AQ82" i="13"/>
  <c r="J82" i="13"/>
  <c r="K82" i="13"/>
  <c r="AK82" i="13"/>
  <c r="H82" i="13"/>
  <c r="F82" i="13"/>
  <c r="AM82" i="13"/>
  <c r="AK21" i="13" l="1" a="1"/>
  <c r="AK21" i="13" s="1"/>
  <c r="D72" i="13"/>
  <c r="D82" i="13" s="1"/>
  <c r="E82" i="13"/>
  <c r="E22" i="13" l="1" a="1"/>
  <c r="E22" i="13" s="1"/>
  <c r="E21" i="13" a="1"/>
  <c r="E21" i="13" s="1"/>
  <c r="AK81" i="13"/>
  <c r="AK74" i="13"/>
  <c r="AL81" i="13"/>
  <c r="AL74" i="13"/>
  <c r="E81" i="13"/>
  <c r="D71" i="13"/>
  <c r="E74" i="13"/>
  <c r="F81" i="13"/>
  <c r="F74" i="13"/>
  <c r="G81" i="13"/>
  <c r="G74" i="13"/>
  <c r="AO81" i="13"/>
  <c r="AO74" i="13"/>
  <c r="AS81" i="13"/>
  <c r="AS74" i="13"/>
  <c r="AP81" i="13"/>
  <c r="AP74" i="13"/>
  <c r="M81" i="13"/>
  <c r="M74" i="13"/>
  <c r="AQ81" i="13"/>
  <c r="AQ74" i="13"/>
  <c r="K81" i="13"/>
  <c r="K74" i="13"/>
  <c r="AN81" i="13"/>
  <c r="AN74" i="13"/>
  <c r="AT81" i="13"/>
  <c r="AT74" i="13"/>
  <c r="L81" i="13"/>
  <c r="L74" i="13"/>
  <c r="N81" i="13"/>
  <c r="N74" i="13"/>
  <c r="J81" i="13"/>
  <c r="J74" i="13"/>
  <c r="I81" i="13"/>
  <c r="I74" i="13"/>
  <c r="AR81" i="13"/>
  <c r="AR74" i="13"/>
  <c r="H81" i="13"/>
  <c r="H74" i="13"/>
  <c r="AM81" i="13"/>
  <c r="AM74" i="13"/>
  <c r="D81" i="13" l="1"/>
  <c r="D74" i="13"/>
  <c r="F38" i="13" l="1"/>
  <c r="S38" i="13"/>
  <c r="S30" i="13"/>
  <c r="AB38" i="13"/>
  <c r="AB30" i="13"/>
  <c r="Q38" i="13" l="1"/>
  <c r="Q30" i="13"/>
  <c r="AN38" i="13"/>
  <c r="AX38" i="13"/>
  <c r="AX30" i="13"/>
  <c r="AR38" i="13"/>
  <c r="H38" i="13"/>
  <c r="O38" i="13"/>
  <c r="O30" i="13"/>
  <c r="R38" i="13"/>
  <c r="R30" i="13"/>
  <c r="AZ38" i="13"/>
  <c r="AZ30" i="13"/>
  <c r="AK38" i="13"/>
  <c r="X30" i="13"/>
  <c r="X38" i="13"/>
  <c r="N38" i="13"/>
  <c r="AP38" i="13"/>
  <c r="I38" i="13"/>
  <c r="W30" i="13"/>
  <c r="W38" i="13"/>
  <c r="AQ38" i="13"/>
  <c r="AU38" i="13"/>
  <c r="AU30" i="13"/>
  <c r="V30" i="13"/>
  <c r="V38" i="13"/>
  <c r="P30" i="13"/>
  <c r="P38" i="13"/>
  <c r="AA38" i="13"/>
  <c r="AA30" i="13"/>
  <c r="K38" i="13"/>
  <c r="AL38" i="13"/>
  <c r="Z30" i="13"/>
  <c r="Z38" i="13"/>
  <c r="Y38" i="13"/>
  <c r="Y30" i="13"/>
  <c r="E38" i="13"/>
  <c r="D26" i="13"/>
  <c r="AS38" i="13"/>
  <c r="AM38" i="13"/>
  <c r="AY38" i="13"/>
  <c r="AY30" i="13"/>
  <c r="T38" i="13"/>
  <c r="T30" i="13"/>
  <c r="AB42" i="13"/>
  <c r="AB36" i="13"/>
  <c r="BB38" i="13"/>
  <c r="BB30" i="13"/>
  <c r="J38" i="13"/>
  <c r="U30" i="13"/>
  <c r="U38" i="13"/>
  <c r="L38" i="13"/>
  <c r="S42" i="13"/>
  <c r="S36" i="13"/>
  <c r="AV38" i="13"/>
  <c r="AV30" i="13"/>
  <c r="BA38" i="13"/>
  <c r="BA30" i="13"/>
  <c r="G38" i="13"/>
  <c r="M38" i="13"/>
  <c r="AW38" i="13"/>
  <c r="AW30" i="13"/>
  <c r="AO38" i="13"/>
  <c r="AT38" i="13"/>
  <c r="AW42" i="13" l="1"/>
  <c r="AW36" i="13"/>
  <c r="X42" i="13"/>
  <c r="X36" i="13"/>
  <c r="AA42" i="13"/>
  <c r="AA36" i="13"/>
  <c r="T36" i="13"/>
  <c r="T42" i="13"/>
  <c r="AZ36" i="13"/>
  <c r="AZ42" i="13"/>
  <c r="AY42" i="13"/>
  <c r="AY36" i="13"/>
  <c r="P36" i="13"/>
  <c r="P42" i="13"/>
  <c r="R42" i="13"/>
  <c r="R36" i="13"/>
  <c r="BA36" i="13"/>
  <c r="BA42" i="13"/>
  <c r="V42" i="13"/>
  <c r="V36" i="13"/>
  <c r="AU42" i="13"/>
  <c r="AU36" i="13"/>
  <c r="O42" i="13"/>
  <c r="O36" i="13"/>
  <c r="AV42" i="13"/>
  <c r="AV36" i="13"/>
  <c r="D38" i="13"/>
  <c r="W36" i="13"/>
  <c r="W42" i="13"/>
  <c r="Y42" i="13"/>
  <c r="Y36" i="13"/>
  <c r="AX42" i="13"/>
  <c r="AX36" i="13"/>
  <c r="U36" i="13"/>
  <c r="U42" i="13"/>
  <c r="Z42" i="13"/>
  <c r="Z36" i="13"/>
  <c r="Q36" i="13"/>
  <c r="Q42" i="13"/>
  <c r="BB36" i="13"/>
  <c r="BB42" i="13"/>
  <c r="AL43" i="13"/>
  <c r="K43" i="13"/>
  <c r="AS43" i="13"/>
  <c r="N43" i="13"/>
  <c r="G43" i="13"/>
  <c r="I43" i="13"/>
  <c r="J43" i="13"/>
  <c r="L43" i="13"/>
  <c r="H43" i="13"/>
  <c r="AT43" i="13"/>
  <c r="AN43" i="13"/>
  <c r="AR43" i="13"/>
  <c r="AQ43" i="13"/>
  <c r="AO43" i="13"/>
  <c r="AM43" i="13"/>
  <c r="M43" i="13"/>
  <c r="AP43" i="13"/>
  <c r="AK43" i="13"/>
  <c r="F43" i="13"/>
  <c r="AM39" i="13" l="1"/>
  <c r="AM30" i="13"/>
  <c r="AR39" i="13"/>
  <c r="AR30" i="13"/>
  <c r="H39" i="13"/>
  <c r="H30" i="13"/>
  <c r="AO39" i="13"/>
  <c r="AO30" i="13"/>
  <c r="AN39" i="13"/>
  <c r="AN30" i="13"/>
  <c r="N39" i="13"/>
  <c r="N30" i="13"/>
  <c r="AQ39" i="13"/>
  <c r="AQ30" i="13"/>
  <c r="AL39" i="13"/>
  <c r="AL30" i="13"/>
  <c r="AT39" i="13"/>
  <c r="AT30" i="13"/>
  <c r="D31" i="13"/>
  <c r="D43" i="13" s="1"/>
  <c r="E43" i="13"/>
  <c r="F39" i="13"/>
  <c r="F30" i="13"/>
  <c r="L39" i="13"/>
  <c r="L30" i="13"/>
  <c r="M39" i="13"/>
  <c r="M30" i="13"/>
  <c r="D27" i="13"/>
  <c r="E39" i="13"/>
  <c r="E30" i="13"/>
  <c r="I39" i="13"/>
  <c r="I30" i="13"/>
  <c r="AP39" i="13"/>
  <c r="AP30" i="13"/>
  <c r="AS39" i="13"/>
  <c r="AS30" i="13"/>
  <c r="J39" i="13"/>
  <c r="J30" i="13"/>
  <c r="K39" i="13"/>
  <c r="K30" i="13"/>
  <c r="AK39" i="13"/>
  <c r="AK30" i="13"/>
  <c r="G39" i="13"/>
  <c r="G30" i="13"/>
  <c r="AT42" i="13" l="1"/>
  <c r="AT36" i="13"/>
  <c r="AS42" i="13"/>
  <c r="AS36" i="13"/>
  <c r="N36" i="13"/>
  <c r="N42" i="13"/>
  <c r="AN36" i="13"/>
  <c r="AN42" i="13"/>
  <c r="K42" i="13"/>
  <c r="K36" i="13"/>
  <c r="AQ42" i="13"/>
  <c r="AQ36" i="13"/>
  <c r="AR36" i="13"/>
  <c r="AR42" i="13"/>
  <c r="I42" i="13"/>
  <c r="I36" i="13"/>
  <c r="AO42" i="13"/>
  <c r="AO36" i="13"/>
  <c r="J42" i="13"/>
  <c r="J36" i="13"/>
  <c r="AP36" i="13"/>
  <c r="AP42" i="13"/>
  <c r="E42" i="13"/>
  <c r="E36" i="13"/>
  <c r="H42" i="13"/>
  <c r="H36" i="13"/>
  <c r="F36" i="13"/>
  <c r="F42" i="13"/>
  <c r="AL42" i="13"/>
  <c r="AL36" i="13"/>
  <c r="D39" i="13"/>
  <c r="D30" i="13"/>
  <c r="M42" i="13"/>
  <c r="M36" i="13"/>
  <c r="L42" i="13"/>
  <c r="L36" i="13"/>
  <c r="G36" i="13"/>
  <c r="G42" i="13"/>
  <c r="AM36" i="13"/>
  <c r="AM42" i="13"/>
  <c r="AK36" i="13"/>
  <c r="AK42" i="13"/>
  <c r="D36" i="13" l="1"/>
  <c r="D42" i="13"/>
</calcChain>
</file>

<file path=xl/sharedStrings.xml><?xml version="1.0" encoding="utf-8"?>
<sst xmlns="http://schemas.openxmlformats.org/spreadsheetml/2006/main" count="835" uniqueCount="372">
  <si>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</si>
  <si>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</si>
  <si>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</si>
  <si>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</si>
  <si>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</si>
  <si>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</si>
  <si>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</si>
  <si>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</si>
  <si>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</si>
  <si>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</si>
  <si>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</si>
  <si>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</si>
  <si>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</si>
  <si>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</si>
  <si>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</si>
  <si>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</si>
  <si>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</si>
  <si>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</si>
  <si>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</si>
  <si>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</si>
  <si>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</si>
  <si>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</si>
  <si>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</si>
  <si>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</si>
  <si>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</si>
  <si>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</si>
  <si>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</si>
  <si>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</si>
  <si>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</si>
  <si>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</si>
  <si>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</si>
  <si>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</si>
  <si>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</si>
  <si>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</si>
  <si>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</si>
  <si>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</si>
  <si>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</si>
  <si>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</si>
  <si>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</si>
  <si>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</si>
  <si>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</si>
  <si>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</si>
  <si>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</si>
  <si>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</si>
  <si>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</si>
  <si>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</si>
  <si>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</si>
  <si>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</si>
  <si>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</si>
  <si>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</si>
  <si>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</si>
  <si>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</si>
  <si>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</si>
  <si>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</si>
  <si>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</si>
  <si>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</si>
  <si>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</si>
  <si>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</si>
  <si>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</si>
  <si>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</si>
  <si>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</si>
  <si>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</si>
  <si>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</si>
  <si>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</si>
  <si>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</si>
  <si>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</si>
  <si>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</si>
  <si>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</si>
  <si>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</si>
  <si>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</si>
  <si>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</si>
  <si>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</si>
  <si>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</si>
  <si>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</si>
  <si>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</si>
  <si>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</si>
  <si>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</si>
  <si>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</si>
  <si>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</si>
  <si>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</si>
  <si>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</si>
  <si>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</si>
  <si>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</si>
  <si>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</si>
  <si>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</si>
  <si>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</si>
  <si>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</si>
  <si>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</si>
  <si>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</si>
  <si>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</si>
  <si>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</si>
  <si>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</si>
  <si>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</si>
  <si>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</si>
  <si>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</si>
  <si>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</si>
  <si>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</si>
  <si>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</si>
  <si>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</si>
  <si>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</si>
  <si>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</si>
  <si>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</si>
  <si>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</si>
  <si>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</si>
  <si>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</si>
  <si>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</si>
  <si>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</si>
  <si>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</si>
  <si>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</si>
  <si>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</si>
  <si>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</si>
  <si>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</si>
  <si>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</si>
  <si>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</si>
  <si>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</si>
  <si>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</si>
  <si>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</si>
  <si>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</si>
  <si>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</si>
  <si>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</si>
  <si>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</si>
  <si>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</si>
  <si>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</si>
  <si>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</si>
  <si>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</si>
  <si>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</si>
  <si>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</si>
  <si>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</si>
  <si>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</si>
  <si>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</si>
  <si>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</si>
  <si>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</si>
  <si>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</si>
  <si>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</si>
  <si>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</si>
  <si>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</si>
  <si>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</si>
  <si>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</si>
  <si>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</si>
  <si>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</si>
  <si>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</si>
  <si>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</si>
  <si>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</si>
  <si>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</si>
  <si>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</si>
  <si>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</si>
  <si>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</si>
  <si>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</si>
  <si>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</si>
  <si>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</si>
  <si>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</si>
  <si>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</si>
  <si>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</si>
  <si>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</si>
  <si>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</si>
  <si>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</si>
  <si>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</si>
  <si>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</si>
  <si>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</si>
  <si>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</si>
  <si>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</si>
  <si>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</si>
  <si>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</si>
  <si>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</si>
  <si>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</si>
  <si>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</si>
  <si>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</si>
  <si>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</si>
  <si>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</si>
  <si>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</si>
  <si>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</si>
  <si>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</si>
  <si>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</si>
  <si>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</si>
  <si>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</si>
  <si>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</si>
  <si>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</si>
  <si>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</si>
  <si>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</si>
  <si>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</si>
  <si>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</si>
  <si>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</si>
  <si>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</si>
  <si>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</si>
  <si>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</si>
  <si>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</si>
  <si>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</si>
  <si>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</si>
  <si>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</si>
  <si>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</si>
  <si>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</si>
  <si>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</si>
  <si>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</si>
  <si>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</si>
  <si>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</si>
  <si>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</si>
  <si>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</si>
  <si>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</si>
  <si>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</si>
  <si>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</si>
  <si>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</si>
  <si>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</si>
  <si>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</si>
  <si>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</si>
  <si>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</si>
  <si>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</si>
  <si>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</si>
  <si>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</si>
  <si>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</si>
  <si>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</si>
  <si>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</si>
  <si>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</si>
  <si>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</si>
  <si>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</si>
  <si>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</si>
  <si>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</si>
  <si>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</si>
  <si>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</si>
  <si>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</si>
  <si>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</si>
  <si>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</si>
  <si>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</si>
  <si>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</si>
  <si>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</si>
  <si>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</si>
  <si>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</si>
  <si>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</si>
  <si>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</si>
  <si>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</si>
  <si>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Individual</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</si>
  <si>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</si>
  <si>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</si>
  <si>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</si>
  <si>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</si>
  <si>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</si>
  <si>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</si>
  <si>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</si>
  <si>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</si>
  <si>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</si>
  <si>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</si>
  <si>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</si>
  <si>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</si>
  <si>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</si>
  <si>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</si>
  <si>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</si>
  <si>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</si>
  <si>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Rating Area 17</t>
  </si>
  <si>
    <t>Rating Area 18</t>
  </si>
  <si>
    <t>Rating Area 19</t>
  </si>
  <si>
    <t>HMO</t>
  </si>
  <si>
    <t>Aetna Health Inc.  (a GA corp.)</t>
  </si>
  <si>
    <t>82824GA011</t>
  </si>
  <si>
    <t>82824GA012</t>
  </si>
  <si>
    <t>82824GA0110017</t>
  </si>
  <si>
    <t>82824GA0110018</t>
  </si>
  <si>
    <t>82824GA0110020</t>
  </si>
  <si>
    <t>82824GA0110021</t>
  </si>
  <si>
    <t>82824GA0110023</t>
  </si>
  <si>
    <t>82824GA0110024</t>
  </si>
  <si>
    <t>82824GA0110026</t>
  </si>
  <si>
    <t>82824GA0110027</t>
  </si>
  <si>
    <t>82824GA0120007</t>
  </si>
  <si>
    <t>82824GA0120009</t>
  </si>
  <si>
    <t>82824GA0120012</t>
  </si>
  <si>
    <t>82824GA0120013</t>
  </si>
  <si>
    <t>82824GA0120014</t>
  </si>
  <si>
    <t>82824GA0120015</t>
  </si>
  <si>
    <t>82824GA0120016</t>
  </si>
  <si>
    <t>82824GA0120017</t>
  </si>
  <si>
    <t>82824GA0120019</t>
  </si>
  <si>
    <t>82824GA0120020</t>
  </si>
  <si>
    <t>82824GA0120022</t>
  </si>
  <si>
    <t>82824GA0120023</t>
  </si>
  <si>
    <t>82824GA0120025</t>
  </si>
  <si>
    <t>82824GA0120026</t>
  </si>
  <si>
    <t>HMO - IVL Exchange</t>
  </si>
  <si>
    <t>HMO - OFF IVL Exchange</t>
  </si>
  <si>
    <t>2024 GA Silver 5: HMO</t>
  </si>
  <si>
    <t>2024 GA Bronze S: HMO</t>
  </si>
  <si>
    <t>2024 GA Gold S: HMO</t>
  </si>
  <si>
    <t>2024 GA Silver 6: HMO</t>
  </si>
  <si>
    <t>2024 GA Silver S: HMO</t>
  </si>
  <si>
    <t>2024 GA Bronze 2 HSA: HMO</t>
  </si>
  <si>
    <t>2024 GA Bronze 4: HMO</t>
  </si>
  <si>
    <t>2024 GA Gold 3: HMO</t>
  </si>
  <si>
    <t>2024 GA Gold 4: HMO</t>
  </si>
  <si>
    <t>2024 GA Silver 7: HMO</t>
  </si>
  <si>
    <t>Aetna CVS Bronze: Low-Cost Walk-in Clinic Visits, Telehealth, Albany</t>
  </si>
  <si>
    <t>Aetna CVS Bronze: Low-Cost Walk-in Clinic Visits, Telehealth, Atlanta</t>
  </si>
  <si>
    <t>Aetna CVS Bronze: Low-Cost Walk-in Clinic Visits, Telehealth, Savannah</t>
  </si>
  <si>
    <t>Aetna CVS Bronze: $0 Walk-In Clinic Visits, Telehealth, Albany</t>
  </si>
  <si>
    <t>Aetna CVS Bronze: $0 Walk-In Clinic Visits, Telehealth, Atlanta</t>
  </si>
  <si>
    <t>Aetna CVS Bronze: $0 Walk-In Clinic Visits, Telehealth, Savannah</t>
  </si>
  <si>
    <t>Aetna CVS Gold: $0 Walk-In Clinic Visits, Telehealth, Albany</t>
  </si>
  <si>
    <t>Aetna CVS Gold: $0 Walk-In Clinic Visits, Telehealth, Atlanta</t>
  </si>
  <si>
    <t>Aetna CVS Gold: $0 Walk-In Clinic Visits, Telehealth, Savannah</t>
  </si>
  <si>
    <t>Aetna CVS Silver 2: $0 Walk-In Clinic Visits, Telehealth, Albany</t>
  </si>
  <si>
    <t>Aetna CVS Silver 2: $0 Walk-In Clinic Visits, Telehealth, Atlanta</t>
  </si>
  <si>
    <t>Aetna CVS Silver 2: $0 Walk-In Clinic Visits, Telehealth, Savannah</t>
  </si>
  <si>
    <t>Aetna CVS Silver 1: $0 Walk-In Clinic Visits, Telehealth, Atlanta</t>
  </si>
  <si>
    <t>Aetna CVS Silver 1: $0 Walk-In Clinic Visits, Telehealth, Savannah</t>
  </si>
  <si>
    <t>Bronze S: Aetna network of doctors &amp; hospitals + $0 Walk-in clinic + $0 Telehealth 24/7</t>
  </si>
  <si>
    <t>Gold S: Aetna network of doctors &amp; hospitals + $0 Walk-in clinic + $0 Telehealth 24/7</t>
  </si>
  <si>
    <t>Silver 3: Aetna network of doctors &amp; hospitals + $0 Walk-in clinic + $0 Telehealth 24/7</t>
  </si>
  <si>
    <t>Silver S: Aetna network of doctors &amp; hospitals + $0 Walk-in clinic + $0 Telehealth 24/7</t>
  </si>
  <si>
    <t>2024 GA Silver 5: HMO + Ped Dental</t>
  </si>
  <si>
    <t>2024 GA Silver S: HMO + Ped Dental</t>
  </si>
  <si>
    <t>2024 GA Silver 6: HMO + Ped Dental</t>
  </si>
  <si>
    <t>2024 GA Bronze S: HMO + Ped Dental</t>
  </si>
  <si>
    <t>2024 GA Gold S: HMO + Ped Dental</t>
  </si>
  <si>
    <t>2024 GA Bronze 2 HSA: HMO + Ped Dental</t>
  </si>
  <si>
    <t>2024 GA Bronze 4: HMO + Ped Dental</t>
  </si>
  <si>
    <t>2024 GA Gold 3: HMO + Ped Dental</t>
  </si>
  <si>
    <t>2024 GA Gold 4: HMO + Ped Dental</t>
  </si>
  <si>
    <t>2024 GA Silver 7: HMO + Ped Dental</t>
  </si>
  <si>
    <t>Aetna CVS Silver 1: $0 Walk-In Clinic Visits, Telehealth, Savannah, Ped Dental</t>
  </si>
  <si>
    <t>Aetna CVS Silver 1: $0 Walk-In Clinic Visits, Telehealth, Atlanta, Ped Dental</t>
  </si>
  <si>
    <t>Aetna CVS Silver 2: $0 Walk-In Clinic Visits, Telehealth, Savannah, Ped Dental</t>
  </si>
  <si>
    <t>Aetna CVS Silver 2: $0 Walk-In Clinic Visits, Telehealth, Atlanta, Ped Dental</t>
  </si>
  <si>
    <t>Aetna CVS Silver 2: $0 Walk-In Clinic Visits, Telehealth, Albany, Ped Dental</t>
  </si>
  <si>
    <t>Aetna CVS Gold: $0 Walk-In Clinic Visits, Telehealth, Atlanta, Ped Dental</t>
  </si>
  <si>
    <t>Aetna CVS Bronze: $0 Walk-In Clinic Visits, Telehealth, Savannah, Ped Dental</t>
  </si>
  <si>
    <t>Aetna CVS Bronze: $0 Walk-In Clinic Visits, Telehealth, Atlanta, Ped Dental</t>
  </si>
  <si>
    <t>Gold: Aetna network of doctors &amp; hospitals + $0 Walk-in clinic + $0 Telehealth 24/7 + Ped Dental</t>
  </si>
  <si>
    <t>Bronze: Aetna network of doctors &amp; hospitals + $0 Walk-in clinic + $0 Telehealth 24/7 + Ped Dental</t>
  </si>
  <si>
    <t>Bronze: Aetna network of doctors &amp; hospitals+ Low-cost Walk-in clinic+ $0 Telehealth 24/7+Ped Dental</t>
  </si>
  <si>
    <t>Silver S: Aetna network of doctors &amp; hospitals + $0 Walk-in clinic + $0 Telehealth 24/7 + Ped Dental</t>
  </si>
  <si>
    <t>Silver 3: Aetna network of doctors &amp; hospitals + $0 Walk-in clinic + $0 Telehealth 24/7 + Ped Dental</t>
  </si>
  <si>
    <t>Gold S: Aetna network of doctors &amp; hospitals + $0 Walk-in clinic + $0 Telehealth 24/7 + Ped Dental</t>
  </si>
  <si>
    <t>Bronze S: Aetna network of doctors &amp; hospitals + $0 Walk-in clinic + $0 Telehealth 24/7 + Ped Dental</t>
  </si>
  <si>
    <t>82824GA0110013</t>
  </si>
  <si>
    <t>82824GA0110016</t>
  </si>
  <si>
    <t>82824GA0110019</t>
  </si>
  <si>
    <t>82824GA0110022</t>
  </si>
  <si>
    <t>82824GA0110025</t>
  </si>
  <si>
    <t>82824GA0110028</t>
  </si>
  <si>
    <t>82824GA0110029</t>
  </si>
  <si>
    <t>82824GA0110030</t>
  </si>
  <si>
    <t>82824GA0110031</t>
  </si>
  <si>
    <t>82824GA0110032</t>
  </si>
  <si>
    <t>82824GA0110001</t>
  </si>
  <si>
    <t>82824GA0110002</t>
  </si>
  <si>
    <t>82824GA0110003</t>
  </si>
  <si>
    <t>82824GA0110004</t>
  </si>
  <si>
    <t>82824GA0110005</t>
  </si>
  <si>
    <t>82824GA0110006</t>
  </si>
  <si>
    <t>82824GA0110007</t>
  </si>
  <si>
    <t>82824GA0110008</t>
  </si>
  <si>
    <t>82824GA0110009</t>
  </si>
  <si>
    <t>82824GA0110010</t>
  </si>
  <si>
    <t>82824GA0110011</t>
  </si>
  <si>
    <t>82824GA0110012</t>
  </si>
  <si>
    <t>82824GA0110014</t>
  </si>
  <si>
    <t>82824GA0110015</t>
  </si>
  <si>
    <t>82824GA0120003</t>
  </si>
  <si>
    <t>82824GA0120018</t>
  </si>
  <si>
    <t>82824GA0120021</t>
  </si>
  <si>
    <t>82824GA0120024</t>
  </si>
  <si>
    <t>82824GA0120027</t>
  </si>
  <si>
    <t>82824GA0120028</t>
  </si>
  <si>
    <t>82824GA0120029</t>
  </si>
  <si>
    <t>82824GA0120030</t>
  </si>
  <si>
    <t>82824GA0120031</t>
  </si>
  <si>
    <t>82824GA0120032</t>
  </si>
  <si>
    <t>82824GA0120001</t>
  </si>
  <si>
    <t>82824GA0120002</t>
  </si>
  <si>
    <t>82824GA0120004</t>
  </si>
  <si>
    <t>82824GA0120005</t>
  </si>
  <si>
    <t>82824GA0120006</t>
  </si>
  <si>
    <t>82824GA0120008</t>
  </si>
  <si>
    <t>82824GA0120010</t>
  </si>
  <si>
    <t>82824GA0120011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</si>
</sst>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10">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cellStyleXfs>
  <cellXfs count="272">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167" fontId="8" fillId="5" borderId="20" xfId="2" applyNumberFormat="1" applyFont="1" applyFill="1" applyBorder="1" applyAlignment="1" applyProtection="1">
      <alignment horizontal="right"/>
      <protection locked="0"/>
    </xf>
    <xf numFmtId="167" fontId="8" fillId="5" borderId="30" xfId="2" applyNumberFormat="1" applyFont="1" applyFill="1" applyBorder="1" applyAlignment="1" applyProtection="1">
      <alignment horizontal="right"/>
      <protection locked="0"/>
    </xf>
    <xf numFmtId="167" fontId="8" fillId="5" borderId="35" xfId="2" applyNumberFormat="1" applyFont="1" applyFill="1" applyBorder="1" applyAlignment="1" applyProtection="1">
      <alignment horizontal="right"/>
      <protection locked="0"/>
    </xf>
    <xf numFmtId="167" fontId="8" fillId="5" borderId="0" xfId="2" applyNumberFormat="1" applyFont="1" applyFill="1" applyAlignment="1" applyProtection="1">
      <alignment horizontal="right"/>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xf numFmtId="168" fontId="0" fillId="0" borderId="11" xfId="0" applyNumberFormat="1" applyBorder="1" applyAlignment="1">
      <alignment horizontal="center"/>
    </xf>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11" xfId="0" applyFill="1" applyBorder="1" applyAlignment="1" applyProtection="1">
      <alignment horizontal="center"/>
      <protection locked="0"/>
    </xf>
    <xf numFmtId="10" fontId="0" fillId="0" borderId="12" xfId="0" applyNumberFormat="1" applyBorder="1" applyAlignment="1">
      <alignment horizontal="center"/>
    </xf>
    <xf numFmtId="10" fontId="0" fillId="0" borderId="37" xfId="0" applyNumberFormat="1" applyBorder="1" applyAlignment="1">
      <alignment horizontal="center"/>
    </xf>
    <xf numFmtId="10" fontId="0" fillId="0" borderId="11"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10">
    <cellStyle name="Comma" xfId="1" builtinId="3"/>
    <cellStyle name="Comma 2" xfId="2" xr:uid="{00000000-0005-0000-0000-000001000000}"/>
    <cellStyle name="Comma 3" xfId="8" xr:uid="{34352E13-529A-4B18-A66A-862ED7ADE62B}"/>
    <cellStyle name="Currency" xfId="3" builtinId="4"/>
    <cellStyle name="Currency 2" xfId="4" xr:uid="{00000000-0005-0000-0000-000003000000}"/>
    <cellStyle name="Currency 3" xfId="9" xr:uid="{D86FD3E9-44CE-47D0-957C-371AF44ED594}"/>
    <cellStyle name="Normal" xfId="0" builtinId="0" customBuiltin="1"/>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12</xdr:row>
          <xdr:rowOff>0</xdr:rowOff>
        </xdr:from>
        <xdr:to>
          <xdr:col>5</xdr:col>
          <xdr:colOff>1047750</xdr:colOff>
          <xdr:row>13</xdr:row>
          <xdr:rowOff>114300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12</xdr:row>
          <xdr:rowOff>0</xdr:rowOff>
        </xdr:from>
        <xdr:to>
          <xdr:col>6</xdr:col>
          <xdr:colOff>1343025</xdr:colOff>
          <xdr:row>13</xdr:row>
          <xdr:rowOff>114300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12</xdr:row>
          <xdr:rowOff>0</xdr:rowOff>
        </xdr:from>
        <xdr:to>
          <xdr:col>7</xdr:col>
          <xdr:colOff>504825</xdr:colOff>
          <xdr:row>13</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12</xdr:row>
          <xdr:rowOff>0</xdr:rowOff>
        </xdr:from>
        <xdr:to>
          <xdr:col>6</xdr:col>
          <xdr:colOff>209550</xdr:colOff>
          <xdr:row>13</xdr:row>
          <xdr:rowOff>114300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1143000</xdr:colOff>
          <xdr:row>33</xdr:row>
          <xdr:rowOff>19050</xdr:rowOff>
        </xdr:from>
        <xdr:to>
          <xdr:col>5</xdr:col>
          <xdr:colOff>1143000</xdr:colOff>
          <xdr:row>34</xdr:row>
          <xdr:rowOff>114300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33</xdr:row>
          <xdr:rowOff>19050</xdr:rowOff>
        </xdr:from>
        <xdr:to>
          <xdr:col>7</xdr:col>
          <xdr:colOff>1047750</xdr:colOff>
          <xdr:row>34</xdr:row>
          <xdr:rowOff>123825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1028700</xdr:colOff>
          <xdr:row>33</xdr:row>
          <xdr:rowOff>19050</xdr:rowOff>
        </xdr:from>
        <xdr:to>
          <xdr:col>8</xdr:col>
          <xdr:colOff>1009650</xdr:colOff>
          <xdr:row>34</xdr:row>
          <xdr:rowOff>123825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33</xdr:row>
          <xdr:rowOff>19050</xdr:rowOff>
        </xdr:from>
        <xdr:to>
          <xdr:col>6</xdr:col>
          <xdr:colOff>1104900</xdr:colOff>
          <xdr:row>34</xdr:row>
          <xdr:rowOff>123825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876300</xdr:colOff>
          <xdr:row>0</xdr:row>
          <xdr:rowOff>0</xdr:rowOff>
        </xdr:from>
        <xdr:to>
          <xdr:col>55</xdr:col>
          <xdr:colOff>876300</xdr:colOff>
          <xdr:row>1</xdr:row>
          <xdr:rowOff>57150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1076325</xdr:colOff>
          <xdr:row>6</xdr:row>
          <xdr:rowOff>0</xdr:rowOff>
        </xdr:from>
        <xdr:to>
          <xdr:col>36</xdr:col>
          <xdr:colOff>1066800</xdr:colOff>
          <xdr:row>7</xdr:row>
          <xdr:rowOff>114300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1657350</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election activeCell="H37" sqref="H37"/>
    </sheetView>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28515625" style="1" customWidth="1"/>
    <col min="21" max="16384" width="9.28515625" style="1" hidden="1"/>
  </cols>
  <sheetData>
    <row r="1" spans="1:29" ht="18.600000000000001" customHeight="1">
      <c r="A1" s="91" t="s">
        <v>225</v>
      </c>
      <c r="B1" s="4" t="s">
        <v>228</v>
      </c>
      <c r="C1" s="3"/>
      <c r="D1" s="3"/>
      <c r="E1" s="3"/>
      <c r="F1" s="4"/>
      <c r="K1" s="97" t="s">
        <v>213</v>
      </c>
    </row>
    <row r="2" spans="1:29" ht="18.75">
      <c r="B2" s="3"/>
      <c r="C2" s="3"/>
      <c r="D2" s="3"/>
      <c r="E2" s="3"/>
      <c r="F2" s="4"/>
      <c r="K2" s="97" t="s">
        <v>214</v>
      </c>
    </row>
    <row r="3" spans="1:29" ht="15.75">
      <c r="B3" s="95" t="s">
        <v>5</v>
      </c>
      <c r="C3" s="204" t="s">
        <v>250</v>
      </c>
      <c r="D3" s="205"/>
      <c r="E3" s="205"/>
      <c r="F3" s="205"/>
      <c r="G3" s="205"/>
      <c r="H3" s="206"/>
      <c r="K3" s="97" t="s">
        <v>215</v>
      </c>
    </row>
    <row r="4" spans="1:29" ht="18.75">
      <c r="B4" s="96" t="s">
        <v>6</v>
      </c>
      <c r="C4" s="207">
        <v>82824</v>
      </c>
      <c r="D4" s="201" t="s">
        <v>7</v>
      </c>
      <c r="E4" s="207" t="s">
        <v>37</v>
      </c>
      <c r="F4" s="4"/>
      <c r="G4" s="4"/>
      <c r="H4" s="4"/>
      <c r="K4" s="97" t="s">
        <v>216</v>
      </c>
    </row>
    <row r="5" spans="1:29" ht="15.75">
      <c r="B5" s="95" t="s">
        <v>14</v>
      </c>
      <c r="C5" s="213">
        <f>MAX('Wksh 2 - Plan Product Info'!E19:BP19)</f>
        <v>45292</v>
      </c>
      <c r="D5" s="201" t="s">
        <v>9</v>
      </c>
      <c r="E5" s="207" t="s">
        <v>229</v>
      </c>
    </row>
    <row r="6" spans="1:29" ht="18.75">
      <c r="B6" s="3"/>
      <c r="C6" s="3"/>
      <c r="D6" s="3"/>
      <c r="E6" s="3"/>
      <c r="F6" s="4"/>
    </row>
    <row r="7" spans="1:29">
      <c r="F7" s="2"/>
    </row>
    <row r="8" spans="1:29">
      <c r="B8" s="233" t="s">
        <v>3</v>
      </c>
      <c r="C8" s="234"/>
      <c r="D8" s="234"/>
      <c r="E8" s="234"/>
      <c r="F8" s="234"/>
      <c r="G8" s="234"/>
      <c r="H8" s="234"/>
      <c r="I8" s="234"/>
      <c r="J8" s="234"/>
      <c r="K8" s="234"/>
      <c r="L8" s="234"/>
      <c r="M8" s="234"/>
      <c r="N8" s="234"/>
      <c r="O8" s="234"/>
      <c r="P8" s="234"/>
      <c r="Q8" s="235"/>
      <c r="R8"/>
      <c r="S8"/>
      <c r="T8"/>
      <c r="U8"/>
      <c r="V8"/>
      <c r="W8"/>
      <c r="X8"/>
      <c r="Y8"/>
    </row>
    <row r="9" spans="1:29">
      <c r="B9" s="236"/>
      <c r="C9" s="237"/>
      <c r="D9" s="237"/>
      <c r="E9" s="237"/>
      <c r="F9" s="237"/>
      <c r="G9" s="237"/>
      <c r="H9" s="237"/>
      <c r="I9" s="237"/>
      <c r="J9" s="237"/>
      <c r="K9" s="237"/>
      <c r="L9" s="237"/>
      <c r="M9" s="237"/>
      <c r="N9" s="237"/>
      <c r="O9" s="237"/>
      <c r="P9" s="237"/>
      <c r="Q9" s="238"/>
      <c r="R9"/>
      <c r="S9"/>
      <c r="T9"/>
      <c r="U9"/>
      <c r="V9"/>
      <c r="W9"/>
      <c r="X9"/>
      <c r="Y9"/>
    </row>
    <row r="10" spans="1:29">
      <c r="B10" s="19"/>
      <c r="F10" s="2"/>
    </row>
    <row r="11" spans="1:29">
      <c r="B11" s="28" t="s">
        <v>85</v>
      </c>
      <c r="E11" s="29"/>
      <c r="F11" s="2"/>
    </row>
    <row r="12" spans="1:29">
      <c r="B12" s="75" t="s">
        <v>21</v>
      </c>
      <c r="D12" s="208">
        <v>44562</v>
      </c>
      <c r="E12" s="31" t="s">
        <v>11</v>
      </c>
      <c r="F12" s="84">
        <f>EDATE(D12,12)-1</f>
        <v>44926</v>
      </c>
      <c r="H12" s="33"/>
      <c r="I12" s="32"/>
    </row>
    <row r="13" spans="1:29">
      <c r="B13" s="30"/>
      <c r="E13" s="69" t="s">
        <v>2</v>
      </c>
      <c r="F13" s="34" t="s">
        <v>23</v>
      </c>
      <c r="G13"/>
      <c r="J13"/>
      <c r="P13"/>
      <c r="Q13"/>
      <c r="U13"/>
      <c r="V13"/>
      <c r="W13"/>
      <c r="X13"/>
      <c r="Y13"/>
      <c r="AC13" s="35"/>
    </row>
    <row r="14" spans="1:29">
      <c r="B14" s="242" t="s">
        <v>86</v>
      </c>
      <c r="C14" s="243"/>
      <c r="D14" s="244"/>
      <c r="E14" s="101">
        <v>26358820.129999999</v>
      </c>
      <c r="F14" s="102">
        <f>E14/E19</f>
        <v>574.95517788199368</v>
      </c>
      <c r="G14" s="36"/>
      <c r="J14"/>
      <c r="P14"/>
      <c r="Q14"/>
      <c r="U14"/>
      <c r="V14"/>
      <c r="W14"/>
      <c r="X14"/>
      <c r="Y14"/>
      <c r="AC14" s="35"/>
    </row>
    <row r="15" spans="1:29">
      <c r="B15" s="245" t="s">
        <v>87</v>
      </c>
      <c r="C15" s="245"/>
      <c r="D15" s="245"/>
      <c r="E15" s="101">
        <v>1157958</v>
      </c>
      <c r="F15" s="103">
        <f>E15/E19</f>
        <v>25.258108845021269</v>
      </c>
      <c r="G15" s="36"/>
      <c r="J15"/>
      <c r="P15"/>
      <c r="Q15"/>
      <c r="U15"/>
      <c r="V15"/>
      <c r="W15"/>
      <c r="X15"/>
      <c r="Y15"/>
      <c r="AC15" s="35"/>
    </row>
    <row r="16" spans="1:29">
      <c r="B16" s="245" t="s">
        <v>88</v>
      </c>
      <c r="C16" s="245"/>
      <c r="D16" s="245"/>
      <c r="E16" s="101">
        <v>19497389.34</v>
      </c>
      <c r="F16" s="103">
        <f>E16/E19</f>
        <v>425.28933013414769</v>
      </c>
      <c r="G16" s="36"/>
      <c r="J16"/>
      <c r="P16"/>
      <c r="Q16"/>
      <c r="U16"/>
      <c r="V16"/>
      <c r="W16"/>
      <c r="X16"/>
      <c r="Y16"/>
      <c r="AC16" s="35"/>
    </row>
    <row r="17" spans="2:31">
      <c r="B17" s="245" t="s">
        <v>89</v>
      </c>
      <c r="C17" s="245"/>
      <c r="D17" s="245"/>
      <c r="E17" s="101">
        <v>-1886495.08</v>
      </c>
      <c r="F17" s="104">
        <f>E17/E19</f>
        <v>-41.1494182571709</v>
      </c>
      <c r="G17" s="37"/>
      <c r="H17" s="38"/>
      <c r="I17" s="32"/>
      <c r="J17"/>
      <c r="O17" s="39"/>
      <c r="P17"/>
      <c r="Q17"/>
      <c r="U17"/>
      <c r="V17"/>
      <c r="W17"/>
      <c r="X17"/>
      <c r="Y17"/>
      <c r="AC17" s="35"/>
    </row>
    <row r="18" spans="2:31">
      <c r="B18" s="245" t="s">
        <v>90</v>
      </c>
      <c r="C18" s="245"/>
      <c r="D18" s="245"/>
      <c r="E18" s="101">
        <v>24362983.530000001</v>
      </c>
      <c r="F18" s="105">
        <f>E18/E19</f>
        <v>531.42073355873049</v>
      </c>
      <c r="G18" s="40"/>
      <c r="H18" s="38"/>
      <c r="I18" s="32"/>
      <c r="J18"/>
      <c r="P18"/>
      <c r="Q18"/>
      <c r="U18"/>
      <c r="V18"/>
      <c r="W18"/>
      <c r="X18"/>
      <c r="Y18"/>
      <c r="AC18" s="35"/>
    </row>
    <row r="19" spans="2:31">
      <c r="B19" s="245" t="s">
        <v>22</v>
      </c>
      <c r="C19" s="245"/>
      <c r="D19" s="245"/>
      <c r="E19" s="209">
        <f>'Wksh 2 - Plan Product Info'!D33</f>
        <v>45845</v>
      </c>
      <c r="F19" s="106"/>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0"/>
      <c r="C22" s="221"/>
      <c r="D22" s="239" t="s">
        <v>92</v>
      </c>
      <c r="E22" s="240"/>
      <c r="F22" s="241" t="s">
        <v>93</v>
      </c>
      <c r="G22" s="241"/>
      <c r="H22" s="222"/>
      <c r="I22" s="38"/>
      <c r="J22" s="32"/>
      <c r="K22" s="38"/>
      <c r="L22"/>
      <c r="R22"/>
      <c r="S22"/>
      <c r="W22"/>
      <c r="X22"/>
      <c r="Y22"/>
      <c r="Z22"/>
      <c r="AA22"/>
      <c r="AE22" s="35"/>
    </row>
    <row r="23" spans="2:31" ht="30.75" thickBot="1">
      <c r="B23" s="223" t="s">
        <v>147</v>
      </c>
      <c r="C23" s="224" t="s">
        <v>137</v>
      </c>
      <c r="D23" s="108" t="s">
        <v>94</v>
      </c>
      <c r="E23" s="107" t="s">
        <v>95</v>
      </c>
      <c r="F23" s="115" t="s">
        <v>94</v>
      </c>
      <c r="G23" s="113" t="s">
        <v>95</v>
      </c>
      <c r="H23" s="225" t="s">
        <v>96</v>
      </c>
      <c r="I23" s="38"/>
      <c r="J23" s="32"/>
      <c r="K23" s="38"/>
      <c r="L23"/>
      <c r="R23"/>
      <c r="S23"/>
      <c r="W23"/>
      <c r="X23"/>
      <c r="Y23"/>
      <c r="Z23"/>
      <c r="AA23"/>
      <c r="AE23" s="35"/>
    </row>
    <row r="24" spans="2:31">
      <c r="B24" s="109" t="s">
        <v>78</v>
      </c>
      <c r="C24" s="124">
        <v>97.93</v>
      </c>
      <c r="D24" s="120">
        <v>1.046</v>
      </c>
      <c r="E24" s="123">
        <v>1.0349999999999999</v>
      </c>
      <c r="F24" s="120">
        <v>1.046</v>
      </c>
      <c r="G24" s="226">
        <v>1.0349999999999999</v>
      </c>
      <c r="H24" s="126">
        <f t="shared" ref="H24:H29" si="0">PRODUCT(C24:G24)</f>
        <v>114.77830927695301</v>
      </c>
      <c r="I24" s="38"/>
      <c r="J24" s="32"/>
      <c r="K24" s="38"/>
      <c r="L24"/>
      <c r="R24"/>
      <c r="S24"/>
      <c r="W24"/>
      <c r="X24"/>
      <c r="Y24"/>
      <c r="Z24"/>
      <c r="AA24"/>
      <c r="AE24" s="35"/>
    </row>
    <row r="25" spans="2:31">
      <c r="B25" s="109" t="s">
        <v>19</v>
      </c>
      <c r="C25" s="125">
        <v>120.76</v>
      </c>
      <c r="D25" s="121">
        <v>1.046</v>
      </c>
      <c r="E25" s="122">
        <v>1.0349999999999999</v>
      </c>
      <c r="F25" s="121">
        <v>1.046</v>
      </c>
      <c r="G25" s="227">
        <v>1.0349999999999999</v>
      </c>
      <c r="H25" s="127">
        <f t="shared" si="0"/>
        <v>141.53608320519601</v>
      </c>
      <c r="I25" s="38"/>
      <c r="J25" s="32"/>
      <c r="K25" s="38"/>
      <c r="L25"/>
      <c r="R25"/>
      <c r="S25"/>
      <c r="W25"/>
      <c r="X25"/>
      <c r="Y25"/>
      <c r="Z25"/>
      <c r="AA25"/>
      <c r="AE25" s="35"/>
    </row>
    <row r="26" spans="2:31">
      <c r="B26" s="109" t="s">
        <v>0</v>
      </c>
      <c r="C26" s="125">
        <v>216.8</v>
      </c>
      <c r="D26" s="121">
        <v>1.046</v>
      </c>
      <c r="E26" s="122">
        <v>1.0349999999999999</v>
      </c>
      <c r="F26" s="121">
        <v>1.046</v>
      </c>
      <c r="G26" s="228">
        <v>1.0349999999999999</v>
      </c>
      <c r="H26" s="127">
        <f t="shared" si="0"/>
        <v>254.09922854327999</v>
      </c>
      <c r="I26" s="38"/>
      <c r="J26" s="32"/>
      <c r="K26" s="38"/>
      <c r="L26"/>
      <c r="R26"/>
      <c r="S26"/>
      <c r="W26"/>
      <c r="X26"/>
      <c r="Y26"/>
      <c r="Z26"/>
      <c r="AA26"/>
      <c r="AE26" s="35"/>
    </row>
    <row r="27" spans="2:31">
      <c r="B27" s="109" t="s">
        <v>18</v>
      </c>
      <c r="C27" s="125">
        <v>21.56</v>
      </c>
      <c r="D27" s="121">
        <v>1.046</v>
      </c>
      <c r="E27" s="122">
        <v>1.0349999999999999</v>
      </c>
      <c r="F27" s="121">
        <v>1.046</v>
      </c>
      <c r="G27" s="227">
        <v>1.0349999999999999</v>
      </c>
      <c r="H27" s="127">
        <f t="shared" si="0"/>
        <v>25.269277524875996</v>
      </c>
      <c r="I27" s="38"/>
      <c r="J27" s="32"/>
      <c r="K27" s="38"/>
      <c r="L27"/>
      <c r="R27"/>
      <c r="S27"/>
      <c r="W27"/>
      <c r="X27"/>
      <c r="Y27"/>
      <c r="Z27"/>
      <c r="AA27"/>
      <c r="AE27" s="35"/>
    </row>
    <row r="28" spans="2:31">
      <c r="B28" s="109" t="s">
        <v>1</v>
      </c>
      <c r="C28" s="125">
        <v>1.36</v>
      </c>
      <c r="D28" s="118">
        <v>1.046</v>
      </c>
      <c r="E28" s="119">
        <v>1.0349999999999999</v>
      </c>
      <c r="F28" s="121">
        <v>1.046</v>
      </c>
      <c r="G28" s="227">
        <v>1.0349999999999999</v>
      </c>
      <c r="H28" s="127">
        <f t="shared" si="0"/>
        <v>1.5939804004560003</v>
      </c>
      <c r="I28" s="38"/>
      <c r="J28" s="32"/>
      <c r="K28" s="38"/>
      <c r="L28"/>
      <c r="R28"/>
      <c r="S28"/>
      <c r="W28"/>
      <c r="X28"/>
      <c r="Y28"/>
      <c r="Z28"/>
      <c r="AA28"/>
      <c r="AE28" s="35"/>
    </row>
    <row r="29" spans="2:31" ht="15.75" thickBot="1">
      <c r="B29" s="109" t="s">
        <v>20</v>
      </c>
      <c r="C29" s="112">
        <v>116.46</v>
      </c>
      <c r="D29" s="117">
        <v>1</v>
      </c>
      <c r="E29" s="116">
        <v>1.036</v>
      </c>
      <c r="F29" s="117">
        <v>1</v>
      </c>
      <c r="G29" s="229">
        <v>1.036</v>
      </c>
      <c r="H29" s="114">
        <f t="shared" si="0"/>
        <v>124.99605215999999</v>
      </c>
      <c r="I29" s="38"/>
      <c r="J29" s="32"/>
      <c r="K29" s="38"/>
      <c r="L29"/>
      <c r="R29"/>
      <c r="S29"/>
      <c r="W29"/>
      <c r="X29"/>
      <c r="Y29"/>
      <c r="Z29"/>
      <c r="AA29"/>
      <c r="AE29" s="35"/>
    </row>
    <row r="30" spans="2:31" ht="15.75" thickBot="1">
      <c r="B30" s="110" t="s">
        <v>2</v>
      </c>
      <c r="C30" s="111">
        <f>SUM(C24:C29)</f>
        <v>574.87</v>
      </c>
      <c r="D30" s="230"/>
      <c r="E30" s="231"/>
      <c r="F30" s="231"/>
      <c r="G30" s="231"/>
      <c r="H30" s="138">
        <f>SUM(H24:H29)</f>
        <v>662.27293111076096</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17" t="s">
        <v>98</v>
      </c>
      <c r="C32" s="218"/>
      <c r="D32" s="218"/>
      <c r="E32" s="219"/>
      <c r="F32" s="131">
        <v>0.95799999999999996</v>
      </c>
      <c r="G32" s="40"/>
      <c r="H32" s="38"/>
      <c r="I32" s="38"/>
      <c r="J32" s="32"/>
      <c r="K32" s="38"/>
      <c r="L32"/>
      <c r="R32"/>
      <c r="S32"/>
      <c r="W32"/>
      <c r="X32"/>
      <c r="Y32"/>
      <c r="Z32"/>
      <c r="AA32"/>
      <c r="AE32" s="35"/>
    </row>
    <row r="33" spans="2:31">
      <c r="B33" s="217" t="s">
        <v>99</v>
      </c>
      <c r="C33" s="218"/>
      <c r="D33" s="218"/>
      <c r="E33" s="219"/>
      <c r="F33" s="131">
        <v>1.006</v>
      </c>
      <c r="G33" s="40"/>
      <c r="H33" s="38"/>
      <c r="I33" s="38"/>
      <c r="J33" s="32"/>
      <c r="K33" s="38"/>
      <c r="L33"/>
      <c r="R33"/>
      <c r="S33"/>
      <c r="W33"/>
      <c r="X33"/>
      <c r="Y33"/>
      <c r="Z33"/>
      <c r="AA33"/>
      <c r="AE33" s="35"/>
    </row>
    <row r="34" spans="2:31">
      <c r="B34" s="217" t="s">
        <v>100</v>
      </c>
      <c r="C34" s="218"/>
      <c r="D34" s="218"/>
      <c r="E34" s="219"/>
      <c r="F34" s="131">
        <v>1</v>
      </c>
      <c r="G34" s="40"/>
      <c r="H34" s="38"/>
      <c r="I34" s="38"/>
      <c r="J34" s="32"/>
      <c r="K34" s="38"/>
      <c r="L34"/>
      <c r="R34"/>
      <c r="S34"/>
      <c r="W34"/>
      <c r="X34"/>
      <c r="Y34"/>
      <c r="Z34"/>
      <c r="AA34"/>
      <c r="AE34" s="35"/>
    </row>
    <row r="35" spans="2:31">
      <c r="B35" s="217" t="s">
        <v>17</v>
      </c>
      <c r="C35" s="218"/>
      <c r="D35" s="218"/>
      <c r="E35" s="219"/>
      <c r="F35" s="131">
        <v>1</v>
      </c>
      <c r="G35" s="40"/>
      <c r="H35" s="38"/>
      <c r="I35" s="38"/>
      <c r="J35" s="32"/>
      <c r="K35" s="38"/>
      <c r="L35"/>
      <c r="R35"/>
      <c r="S35"/>
      <c r="W35"/>
      <c r="X35"/>
      <c r="Y35"/>
      <c r="Z35"/>
      <c r="AA35"/>
      <c r="AE35" s="35"/>
    </row>
    <row r="36" spans="2:31">
      <c r="B36" s="217" t="s">
        <v>220</v>
      </c>
      <c r="C36" s="218"/>
      <c r="D36" s="132">
        <f>IF(C5&lt;&gt;"",C5,"")</f>
        <v>45292</v>
      </c>
      <c r="E36" s="133"/>
      <c r="F36" s="130">
        <f>H30*PRODUCT(F32:F35)</f>
        <v>638.26421281213356</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17" t="s">
        <v>97</v>
      </c>
      <c r="C38" s="218"/>
      <c r="D38" s="218"/>
      <c r="E38" s="219"/>
      <c r="F38" s="128">
        <v>0</v>
      </c>
      <c r="G38" s="40"/>
      <c r="H38" s="38"/>
      <c r="I38" s="38"/>
      <c r="J38" s="32"/>
      <c r="K38" s="38"/>
      <c r="L38"/>
      <c r="R38"/>
      <c r="S38"/>
      <c r="W38"/>
      <c r="X38"/>
      <c r="Y38"/>
      <c r="Z38"/>
      <c r="AA38"/>
      <c r="AE38" s="35"/>
    </row>
    <row r="39" spans="2:31">
      <c r="B39" s="217" t="s">
        <v>219</v>
      </c>
      <c r="C39" s="218"/>
      <c r="D39" s="218"/>
      <c r="E39" s="219"/>
      <c r="F39" s="129">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39" t="s">
        <v>24</v>
      </c>
      <c r="H41" s="38"/>
      <c r="I41" s="38"/>
      <c r="J41" s="32"/>
      <c r="K41" s="38"/>
      <c r="L41"/>
      <c r="R41"/>
      <c r="S41"/>
      <c r="W41"/>
      <c r="X41"/>
      <c r="Y41"/>
      <c r="Z41"/>
      <c r="AA41"/>
      <c r="AE41" s="35"/>
    </row>
    <row r="42" spans="2:31">
      <c r="B42" s="217" t="s">
        <v>101</v>
      </c>
      <c r="C42" s="218"/>
      <c r="D42" s="132">
        <f>IF(C5&lt;&gt;"",C5,"")</f>
        <v>45292</v>
      </c>
      <c r="E42" s="134"/>
      <c r="F42" s="130">
        <f>ROUND(F39*F36+(1-F39)*F38,2)</f>
        <v>638.26</v>
      </c>
      <c r="G42" s="135">
        <f>F42*F48</f>
        <v>219268478.66</v>
      </c>
      <c r="H42" s="38"/>
      <c r="I42" s="38"/>
      <c r="J42" s="32"/>
      <c r="K42" s="38"/>
      <c r="L42"/>
      <c r="R42"/>
      <c r="S42"/>
      <c r="W42"/>
      <c r="X42"/>
      <c r="Y42"/>
      <c r="Z42"/>
      <c r="AA42"/>
      <c r="AE42" s="35"/>
    </row>
    <row r="43" spans="2:31">
      <c r="B43" s="217" t="s">
        <v>87</v>
      </c>
      <c r="C43" s="218"/>
      <c r="D43" s="218"/>
      <c r="E43" s="219"/>
      <c r="F43" s="128">
        <v>47.53</v>
      </c>
      <c r="G43" s="135">
        <f>F43*F48</f>
        <v>16328503.73</v>
      </c>
      <c r="H43" s="38"/>
      <c r="I43" s="38"/>
      <c r="J43" s="32"/>
      <c r="K43" s="38"/>
      <c r="L43"/>
      <c r="R43"/>
      <c r="S43"/>
      <c r="W43"/>
      <c r="X43"/>
      <c r="Y43"/>
      <c r="Z43"/>
      <c r="AA43"/>
      <c r="AE43" s="35"/>
    </row>
    <row r="44" spans="2:31">
      <c r="B44" s="217" t="s">
        <v>138</v>
      </c>
      <c r="C44" s="218"/>
      <c r="D44" s="218"/>
      <c r="E44" s="219"/>
      <c r="F44" s="128">
        <v>-48.56</v>
      </c>
      <c r="G44" s="135">
        <f>F44*F48</f>
        <v>-16682350.960000001</v>
      </c>
      <c r="H44" s="38"/>
      <c r="I44" s="38"/>
      <c r="J44" s="32"/>
      <c r="K44" s="38"/>
      <c r="L44"/>
      <c r="R44"/>
      <c r="S44"/>
      <c r="W44"/>
      <c r="X44"/>
      <c r="Y44"/>
      <c r="Z44"/>
      <c r="AA44"/>
      <c r="AE44" s="35"/>
    </row>
    <row r="45" spans="2:31">
      <c r="B45" s="217" t="s">
        <v>102</v>
      </c>
      <c r="C45" s="218"/>
      <c r="D45" s="218"/>
      <c r="E45" s="219"/>
      <c r="F45" s="128">
        <v>2.8000000000000001E-2</v>
      </c>
      <c r="G45" s="136">
        <f>F45*F46*F48</f>
        <v>6326569.058559672</v>
      </c>
      <c r="H45" s="38"/>
      <c r="I45" s="38"/>
      <c r="J45" s="32"/>
      <c r="K45" s="38"/>
      <c r="L45"/>
      <c r="R45"/>
      <c r="S45"/>
      <c r="W45"/>
      <c r="X45"/>
      <c r="Y45"/>
      <c r="Z45"/>
      <c r="AA45"/>
      <c r="AE45" s="35"/>
    </row>
    <row r="46" spans="2:31">
      <c r="B46" s="217" t="s">
        <v>122</v>
      </c>
      <c r="C46" s="218"/>
      <c r="D46" s="218"/>
      <c r="E46" s="219"/>
      <c r="F46" s="130">
        <f>(F42-F43-F44)/(1-F45)</f>
        <v>657.70576131687244</v>
      </c>
      <c r="G46" s="137">
        <f>F46*F48</f>
        <v>225948894.94855967</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17" t="s">
        <v>4</v>
      </c>
      <c r="C48" s="218"/>
      <c r="D48" s="218"/>
      <c r="E48" s="219"/>
      <c r="F48" s="210">
        <f>'Wksh 2 - Plan Product Info'!D73</f>
        <v>343541</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32" t="s">
        <v>148</v>
      </c>
      <c r="C50" s="232"/>
      <c r="D50" s="232"/>
      <c r="E50" s="232"/>
      <c r="F50" s="232"/>
      <c r="G50" s="232"/>
      <c r="H50" s="232"/>
      <c r="I50" s="232"/>
      <c r="J50" s="232"/>
      <c r="K50" s="232"/>
      <c r="L50" s="232"/>
      <c r="M50" s="232"/>
      <c r="N50" s="232"/>
      <c r="O50" s="232"/>
      <c r="P50" s="232"/>
      <c r="Q50" s="232"/>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32"/>
      <c r="B112" s="232"/>
      <c r="C112" s="232"/>
      <c r="D112" s="232"/>
      <c r="E112" s="232"/>
      <c r="F112" s="232"/>
      <c r="G112" s="232"/>
      <c r="H112" s="232"/>
      <c r="I112" s="232"/>
      <c r="J112" s="232"/>
      <c r="K112" s="232"/>
      <c r="L112" s="232"/>
      <c r="M112" s="232"/>
      <c r="N112" s="232"/>
      <c r="O112" s="232"/>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algorithmName="SHA-512" hashValue="0157WZ3GbirMFrkpbTnMrxWvpuZIXRCFVsyJ56rg/SF0ci+3WYGHC8BcXEqU/ITNXNsBUyBGmDn9wQ3L2w6emg==" saltValue="15svdDCuXzxhYONXWV2E8g=="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Validate">
                <anchor moveWithCells="1" sizeWithCells="1">
                  <from>
                    <xdr:col>6</xdr:col>
                    <xdr:colOff>276225</xdr:colOff>
                    <xdr:row>12</xdr:row>
                    <xdr:rowOff>0</xdr:rowOff>
                  </from>
                  <to>
                    <xdr:col>6</xdr:col>
                    <xdr:colOff>1343025</xdr:colOff>
                    <xdr:row>13</xdr:row>
                    <xdr:rowOff>114300</xdr:rowOff>
                  </to>
                </anchor>
              </controlPr>
            </control>
          </mc:Choice>
        </mc:AlternateContent>
        <mc:AlternateContent xmlns:mc="http://schemas.openxmlformats.org/markup-compatibility/2006">
          <mc:Choice Requires="x14">
            <control shapeId="1044" r:id="rId5" name="Button 20">
              <controlPr defaultSize="0" print="0" autoFill="0" autoPict="0" macro="[0]!ValidateAndFinalize">
                <anchor moveWithCells="1" sizeWithCells="1">
                  <from>
                    <xdr:col>6</xdr:col>
                    <xdr:colOff>1381125</xdr:colOff>
                    <xdr:row>12</xdr:row>
                    <xdr:rowOff>0</xdr:rowOff>
                  </from>
                  <to>
                    <xdr:col>7</xdr:col>
                    <xdr:colOff>504825</xdr:colOff>
                    <xdr:row>13</xdr:row>
                    <xdr:rowOff>114300</xdr:rowOff>
                  </to>
                </anchor>
              </controlPr>
            </control>
          </mc:Choice>
        </mc:AlternateContent>
        <mc:AlternateContent xmlns:mc="http://schemas.openxmlformats.org/markup-compatibility/2006">
          <mc:Choice Requires="x14">
            <control shapeId="1041" r:id="rId6" name="Button 17">
              <controlPr defaultSize="0" print="0" autoFill="0" autoPict="0" macro="[0]!AddNewProduct">
                <anchor moveWithCells="1" sizeWithCells="1">
                  <from>
                    <xdr:col>5</xdr:col>
                    <xdr:colOff>0</xdr:colOff>
                    <xdr:row>12</xdr:row>
                    <xdr:rowOff>0</xdr:rowOff>
                  </from>
                  <to>
                    <xdr:col>5</xdr:col>
                    <xdr:colOff>1047750</xdr:colOff>
                    <xdr:row>13</xdr:row>
                    <xdr:rowOff>114300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12</xdr:row>
                    <xdr:rowOff>0</xdr:rowOff>
                  </from>
                  <to>
                    <xdr:col>6</xdr:col>
                    <xdr:colOff>209550</xdr:colOff>
                    <xdr:row>13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T83"/>
  <sheetViews>
    <sheetView showGridLines="0" zoomScale="70" zoomScaleNormal="70" workbookViewId="0">
      <selection activeCell="V18" sqref="V18"/>
    </sheetView>
  </sheetViews>
  <sheetFormatPr defaultColWidth="8.7109375" defaultRowHeight="15" zeroHeight="1"/>
  <cols>
    <col min="1" max="1" width="17.7109375" customWidth="1"/>
    <col min="2" max="2" width="6.7109375" customWidth="1"/>
    <col min="3" max="3" width="41.7109375" customWidth="1"/>
    <col min="4" max="4" width="14.5703125" customWidth="1"/>
    <col min="5" max="28" width="15.7109375" customWidth="1"/>
    <col min="29" max="36" width="15.5703125" customWidth="1"/>
    <col min="37" max="54" width="15.7109375" customWidth="1"/>
    <col min="55" max="68" width="15.5703125" customWidth="1"/>
  </cols>
  <sheetData>
    <row r="1" spans="1:68" ht="18.600000000000001" customHeight="1">
      <c r="A1" s="99" t="s">
        <v>226</v>
      </c>
      <c r="C1" s="16" t="s">
        <v>221</v>
      </c>
      <c r="D1" s="16"/>
      <c r="E1" s="3"/>
      <c r="F1" s="3"/>
      <c r="G1" s="3"/>
      <c r="H1" s="4"/>
      <c r="I1" s="1"/>
      <c r="J1" s="1"/>
      <c r="K1" s="1"/>
      <c r="L1" s="1"/>
      <c r="M1" s="1"/>
      <c r="N1" s="1"/>
      <c r="O1" s="1"/>
      <c r="P1" s="97" t="s">
        <v>213</v>
      </c>
      <c r="Q1" s="1"/>
      <c r="S1" s="1"/>
      <c r="T1" s="1"/>
      <c r="U1" s="1"/>
    </row>
    <row r="2" spans="1:68" ht="18.75">
      <c r="C2" s="3"/>
      <c r="D2" s="3"/>
      <c r="E2" s="3"/>
      <c r="F2" s="3"/>
      <c r="G2" s="3"/>
      <c r="H2" s="4"/>
      <c r="I2" s="1"/>
      <c r="J2" s="1"/>
      <c r="K2" s="1"/>
      <c r="L2" s="1"/>
      <c r="M2" s="1"/>
      <c r="N2" s="1"/>
      <c r="O2" s="1"/>
      <c r="P2" s="97" t="s">
        <v>214</v>
      </c>
      <c r="Q2" s="1"/>
      <c r="S2" s="1"/>
      <c r="T2" s="1"/>
      <c r="U2" s="1"/>
    </row>
    <row r="3" spans="1:68" ht="18.75">
      <c r="C3" s="95" t="s">
        <v>5</v>
      </c>
      <c r="D3" s="92" t="str">
        <f>IF('Wksh 1 - Market Experience'!C3&lt;&gt;"", 'Wksh 1 - Market Experience'!C3,"")</f>
        <v>Aetna Health Inc.  (a GA corp.)</v>
      </c>
      <c r="F3" s="6"/>
      <c r="G3" s="6"/>
      <c r="J3" s="1"/>
      <c r="K3" s="1"/>
      <c r="P3" s="98" t="s">
        <v>215</v>
      </c>
    </row>
    <row r="4" spans="1:68" ht="18.75">
      <c r="C4" s="96" t="s">
        <v>6</v>
      </c>
      <c r="D4" s="93">
        <f>IF('Wksh 1 - Market Experience'!C4&lt;&gt;"", 'Wksh 1 - Market Experience'!C4,"")</f>
        <v>82824</v>
      </c>
      <c r="E4" s="95" t="s">
        <v>7</v>
      </c>
      <c r="F4" s="100" t="str">
        <f>IF('Wksh 1 - Market Experience'!E4&lt;&gt;"",'Wksh 1 - Market Experience'!E4,"")</f>
        <v>GA</v>
      </c>
      <c r="G4" s="7"/>
      <c r="J4" s="1"/>
      <c r="K4" s="1"/>
      <c r="P4" s="98" t="s">
        <v>216</v>
      </c>
    </row>
    <row r="5" spans="1:68" ht="15.75">
      <c r="C5" s="95" t="s">
        <v>14</v>
      </c>
      <c r="D5" s="94">
        <f>IF('Wksh 1 - Market Experience'!C5&lt;&gt;"", 'Wksh 1 - Market Experience'!C5,"")</f>
        <v>45292</v>
      </c>
      <c r="E5" s="95" t="s">
        <v>9</v>
      </c>
      <c r="F5" s="100" t="str">
        <f>IF('Wksh 1 - Market Experience'!E5&lt;&gt;"",'Wksh 1 - Market Experience'!E5,"")</f>
        <v>Individual</v>
      </c>
      <c r="G5" s="1"/>
      <c r="H5" s="1"/>
      <c r="I5" s="1"/>
      <c r="J5" s="1"/>
      <c r="K5" s="1"/>
      <c r="L5" s="1"/>
      <c r="P5" s="98" t="s">
        <v>223</v>
      </c>
    </row>
    <row r="6" spans="1:68">
      <c r="C6" s="1"/>
      <c r="D6" s="1"/>
      <c r="E6" s="1"/>
      <c r="F6" s="1"/>
      <c r="G6" s="1"/>
      <c r="H6" s="2"/>
      <c r="I6" s="1"/>
      <c r="J6" s="1"/>
      <c r="K6" s="1"/>
      <c r="L6" s="1"/>
      <c r="M6" s="1"/>
      <c r="N6" s="1"/>
      <c r="O6" s="1"/>
      <c r="P6" s="98" t="s">
        <v>224</v>
      </c>
      <c r="Q6" s="1"/>
      <c r="R6" s="1"/>
      <c r="S6" s="1"/>
      <c r="T6" s="1"/>
      <c r="U6" s="1"/>
    </row>
    <row r="7" spans="1:68">
      <c r="C7" s="246" t="s">
        <v>15</v>
      </c>
      <c r="D7" s="247"/>
      <c r="E7" s="247"/>
      <c r="F7" s="247"/>
      <c r="G7" s="247"/>
      <c r="H7" s="247"/>
      <c r="I7" s="247"/>
      <c r="J7" s="247"/>
      <c r="K7" s="247"/>
      <c r="L7" s="247"/>
      <c r="M7" s="247"/>
      <c r="N7" s="247"/>
      <c r="O7" s="247"/>
      <c r="P7" s="247"/>
      <c r="Q7" s="247"/>
      <c r="R7" s="247"/>
      <c r="S7" s="247"/>
      <c r="T7" s="247"/>
      <c r="U7" s="247"/>
      <c r="V7" s="248"/>
    </row>
    <row r="8" spans="1:68">
      <c r="C8" s="249"/>
      <c r="D8" s="250"/>
      <c r="E8" s="250"/>
      <c r="F8" s="250"/>
      <c r="G8" s="250"/>
      <c r="H8" s="250"/>
      <c r="I8" s="250"/>
      <c r="J8" s="250"/>
      <c r="K8" s="250"/>
      <c r="L8" s="250"/>
      <c r="M8" s="250"/>
      <c r="N8" s="250"/>
      <c r="O8" s="250"/>
      <c r="P8" s="250"/>
      <c r="Q8" s="250"/>
      <c r="R8" s="250"/>
      <c r="S8" s="250"/>
      <c r="T8" s="250"/>
      <c r="U8" s="250"/>
      <c r="V8" s="251"/>
    </row>
    <row r="9" spans="1:68">
      <c r="B9" t="s">
        <v>103</v>
      </c>
      <c r="C9" s="19" t="s">
        <v>77</v>
      </c>
      <c r="D9" s="19"/>
      <c r="E9" s="17"/>
      <c r="F9" s="17"/>
      <c r="G9" s="17"/>
      <c r="H9" s="18"/>
      <c r="I9" s="17"/>
      <c r="J9" s="17"/>
      <c r="K9" s="17"/>
      <c r="L9" s="17"/>
      <c r="M9" s="17"/>
      <c r="N9" s="17"/>
      <c r="O9" s="17"/>
      <c r="P9" s="17"/>
      <c r="Q9" s="17"/>
      <c r="R9" s="17"/>
      <c r="S9" s="17"/>
      <c r="T9" s="17"/>
      <c r="U9" s="17"/>
    </row>
    <row r="10" spans="1:68" ht="15" customHeight="1">
      <c r="B10" s="140" t="s">
        <v>155</v>
      </c>
      <c r="C10" s="162" t="s">
        <v>104</v>
      </c>
      <c r="D10" s="214"/>
      <c r="E10" s="258" t="s">
        <v>275</v>
      </c>
      <c r="F10" s="259"/>
      <c r="G10" s="259"/>
      <c r="H10" s="259"/>
      <c r="I10" s="259"/>
      <c r="J10" s="259"/>
      <c r="K10" s="259"/>
      <c r="L10" s="259"/>
      <c r="M10" s="259"/>
      <c r="N10" s="259"/>
      <c r="O10" s="259"/>
      <c r="P10" s="259"/>
      <c r="Q10" s="259"/>
      <c r="R10" s="259"/>
      <c r="S10" s="259"/>
      <c r="T10" s="259"/>
      <c r="U10" s="259"/>
      <c r="V10" s="259"/>
      <c r="W10" s="259"/>
      <c r="X10" s="259"/>
      <c r="Y10" s="259"/>
      <c r="Z10" s="259"/>
      <c r="AA10" s="259"/>
      <c r="AB10" s="259"/>
      <c r="AC10" s="259"/>
      <c r="AD10" s="259"/>
      <c r="AE10" s="259"/>
      <c r="AF10" s="259"/>
      <c r="AG10" s="259"/>
      <c r="AH10" s="259"/>
      <c r="AI10" s="259"/>
      <c r="AJ10" s="260"/>
      <c r="AK10" s="258" t="s">
        <v>276</v>
      </c>
      <c r="AL10" s="259"/>
      <c r="AM10" s="259"/>
      <c r="AN10" s="259"/>
      <c r="AO10" s="259"/>
      <c r="AP10" s="259"/>
      <c r="AQ10" s="259"/>
      <c r="AR10" s="259"/>
      <c r="AS10" s="259"/>
      <c r="AT10" s="259"/>
      <c r="AU10" s="259"/>
      <c r="AV10" s="259"/>
      <c r="AW10" s="259"/>
      <c r="AX10" s="259"/>
      <c r="AY10" s="259"/>
      <c r="AZ10" s="259"/>
      <c r="BA10" s="259"/>
      <c r="BB10" s="259"/>
      <c r="BC10" s="259"/>
      <c r="BD10" s="259"/>
      <c r="BE10" s="259"/>
      <c r="BF10" s="259"/>
      <c r="BG10" s="259"/>
      <c r="BH10" s="259"/>
      <c r="BI10" s="259"/>
      <c r="BJ10" s="259"/>
      <c r="BK10" s="259"/>
      <c r="BL10" s="259"/>
      <c r="BM10" s="259"/>
      <c r="BN10" s="259"/>
      <c r="BO10" s="259"/>
      <c r="BP10" s="260"/>
    </row>
    <row r="11" spans="1:68" ht="15" customHeight="1">
      <c r="B11" s="140" t="s">
        <v>156</v>
      </c>
      <c r="C11" s="162" t="s">
        <v>105</v>
      </c>
      <c r="D11" s="215"/>
      <c r="E11" s="258" t="s">
        <v>251</v>
      </c>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60"/>
      <c r="AK11" s="258" t="s">
        <v>252</v>
      </c>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60"/>
    </row>
    <row r="12" spans="1:68" ht="15" customHeight="1">
      <c r="B12" s="140" t="s">
        <v>157</v>
      </c>
      <c r="C12" s="162" t="s">
        <v>10</v>
      </c>
      <c r="D12" s="215"/>
      <c r="E12" s="173" t="s">
        <v>277</v>
      </c>
      <c r="F12" s="173" t="s">
        <v>278</v>
      </c>
      <c r="G12" s="173" t="s">
        <v>279</v>
      </c>
      <c r="H12" s="173" t="s">
        <v>280</v>
      </c>
      <c r="I12" s="173" t="s">
        <v>281</v>
      </c>
      <c r="J12" s="173" t="s">
        <v>282</v>
      </c>
      <c r="K12" s="173" t="s">
        <v>283</v>
      </c>
      <c r="L12" s="173" t="s">
        <v>284</v>
      </c>
      <c r="M12" s="173" t="s">
        <v>285</v>
      </c>
      <c r="N12" s="173" t="s">
        <v>286</v>
      </c>
      <c r="O12" s="173" t="s">
        <v>287</v>
      </c>
      <c r="P12" s="173" t="s">
        <v>288</v>
      </c>
      <c r="Q12" s="173" t="s">
        <v>289</v>
      </c>
      <c r="R12" s="173" t="s">
        <v>290</v>
      </c>
      <c r="S12" s="173" t="s">
        <v>291</v>
      </c>
      <c r="T12" s="173" t="s">
        <v>292</v>
      </c>
      <c r="U12" s="173" t="s">
        <v>293</v>
      </c>
      <c r="V12" s="173" t="s">
        <v>294</v>
      </c>
      <c r="W12" s="173" t="s">
        <v>295</v>
      </c>
      <c r="X12" s="173" t="s">
        <v>296</v>
      </c>
      <c r="Y12" s="173" t="s">
        <v>297</v>
      </c>
      <c r="Z12" s="173" t="s">
        <v>298</v>
      </c>
      <c r="AA12" s="173" t="s">
        <v>299</v>
      </c>
      <c r="AB12" s="173" t="s">
        <v>300</v>
      </c>
      <c r="AC12" s="173" t="s">
        <v>301</v>
      </c>
      <c r="AD12" s="173" t="s">
        <v>301</v>
      </c>
      <c r="AE12" s="173" t="s">
        <v>302</v>
      </c>
      <c r="AF12" s="173" t="s">
        <v>302</v>
      </c>
      <c r="AG12" s="173" t="s">
        <v>303</v>
      </c>
      <c r="AH12" s="173" t="s">
        <v>303</v>
      </c>
      <c r="AI12" s="173" t="s">
        <v>304</v>
      </c>
      <c r="AJ12" s="173" t="s">
        <v>304</v>
      </c>
      <c r="AK12" s="173" t="s">
        <v>305</v>
      </c>
      <c r="AL12" s="173" t="s">
        <v>306</v>
      </c>
      <c r="AM12" s="173" t="s">
        <v>307</v>
      </c>
      <c r="AN12" s="173" t="s">
        <v>308</v>
      </c>
      <c r="AO12" s="173" t="s">
        <v>309</v>
      </c>
      <c r="AP12" s="173" t="s">
        <v>310</v>
      </c>
      <c r="AQ12" s="173" t="s">
        <v>311</v>
      </c>
      <c r="AR12" s="173" t="s">
        <v>312</v>
      </c>
      <c r="AS12" s="173" t="s">
        <v>313</v>
      </c>
      <c r="AT12" s="173" t="s">
        <v>314</v>
      </c>
      <c r="AU12" s="173" t="s">
        <v>315</v>
      </c>
      <c r="AV12" s="173" t="s">
        <v>316</v>
      </c>
      <c r="AW12" s="173" t="s">
        <v>317</v>
      </c>
      <c r="AX12" s="173" t="s">
        <v>318</v>
      </c>
      <c r="AY12" s="173" t="s">
        <v>319</v>
      </c>
      <c r="AZ12" s="173" t="s">
        <v>320</v>
      </c>
      <c r="BA12" s="173" t="s">
        <v>321</v>
      </c>
      <c r="BB12" s="173" t="s">
        <v>322</v>
      </c>
      <c r="BC12" s="173" t="s">
        <v>323</v>
      </c>
      <c r="BD12" s="173" t="s">
        <v>323</v>
      </c>
      <c r="BE12" s="173" t="s">
        <v>324</v>
      </c>
      <c r="BF12" s="173" t="s">
        <v>325</v>
      </c>
      <c r="BG12" s="173" t="s">
        <v>325</v>
      </c>
      <c r="BH12" s="173" t="s">
        <v>325</v>
      </c>
      <c r="BI12" s="173" t="s">
        <v>326</v>
      </c>
      <c r="BJ12" s="173" t="s">
        <v>326</v>
      </c>
      <c r="BK12" s="173" t="s">
        <v>327</v>
      </c>
      <c r="BL12" s="173" t="s">
        <v>327</v>
      </c>
      <c r="BM12" s="173" t="s">
        <v>328</v>
      </c>
      <c r="BN12" s="173" t="s">
        <v>328</v>
      </c>
      <c r="BO12" s="173" t="s">
        <v>329</v>
      </c>
      <c r="BP12" s="173" t="s">
        <v>329</v>
      </c>
    </row>
    <row r="13" spans="1:68" ht="15" customHeight="1">
      <c r="B13" s="140" t="s">
        <v>158</v>
      </c>
      <c r="C13" s="162" t="s">
        <v>106</v>
      </c>
      <c r="D13" s="215"/>
      <c r="E13" s="174" t="s">
        <v>330</v>
      </c>
      <c r="F13" s="174" t="s">
        <v>331</v>
      </c>
      <c r="G13" s="174" t="s">
        <v>332</v>
      </c>
      <c r="H13" s="174" t="s">
        <v>333</v>
      </c>
      <c r="I13" s="174" t="s">
        <v>334</v>
      </c>
      <c r="J13" s="174" t="s">
        <v>335</v>
      </c>
      <c r="K13" s="174" t="s">
        <v>336</v>
      </c>
      <c r="L13" s="174" t="s">
        <v>337</v>
      </c>
      <c r="M13" s="174" t="s">
        <v>338</v>
      </c>
      <c r="N13" s="174" t="s">
        <v>339</v>
      </c>
      <c r="O13" s="174" t="s">
        <v>340</v>
      </c>
      <c r="P13" s="174" t="s">
        <v>341</v>
      </c>
      <c r="Q13" s="174" t="s">
        <v>342</v>
      </c>
      <c r="R13" s="174" t="s">
        <v>343</v>
      </c>
      <c r="S13" s="174" t="s">
        <v>344</v>
      </c>
      <c r="T13" s="174" t="s">
        <v>345</v>
      </c>
      <c r="U13" s="174" t="s">
        <v>346</v>
      </c>
      <c r="V13" s="174" t="s">
        <v>347</v>
      </c>
      <c r="W13" s="174" t="s">
        <v>348</v>
      </c>
      <c r="X13" s="174" t="s">
        <v>349</v>
      </c>
      <c r="Y13" s="174" t="s">
        <v>350</v>
      </c>
      <c r="Z13" s="174" t="s">
        <v>351</v>
      </c>
      <c r="AA13" s="174" t="s">
        <v>352</v>
      </c>
      <c r="AB13" s="174" t="s">
        <v>353</v>
      </c>
      <c r="AC13" s="174" t="s">
        <v>253</v>
      </c>
      <c r="AD13" s="174" t="s">
        <v>254</v>
      </c>
      <c r="AE13" s="174" t="s">
        <v>255</v>
      </c>
      <c r="AF13" s="174" t="s">
        <v>256</v>
      </c>
      <c r="AG13" s="174" t="s">
        <v>257</v>
      </c>
      <c r="AH13" s="174" t="s">
        <v>258</v>
      </c>
      <c r="AI13" s="174" t="s">
        <v>259</v>
      </c>
      <c r="AJ13" s="174" t="s">
        <v>260</v>
      </c>
      <c r="AK13" s="174" t="s">
        <v>354</v>
      </c>
      <c r="AL13" s="174" t="s">
        <v>355</v>
      </c>
      <c r="AM13" s="174" t="s">
        <v>356</v>
      </c>
      <c r="AN13" s="174" t="s">
        <v>357</v>
      </c>
      <c r="AO13" s="174" t="s">
        <v>358</v>
      </c>
      <c r="AP13" s="174" t="s">
        <v>359</v>
      </c>
      <c r="AQ13" s="174" t="s">
        <v>360</v>
      </c>
      <c r="AR13" s="174" t="s">
        <v>361</v>
      </c>
      <c r="AS13" s="174" t="s">
        <v>362</v>
      </c>
      <c r="AT13" s="174" t="s">
        <v>363</v>
      </c>
      <c r="AU13" s="174" t="s">
        <v>364</v>
      </c>
      <c r="AV13" s="174" t="s">
        <v>365</v>
      </c>
      <c r="AW13" s="174" t="s">
        <v>366</v>
      </c>
      <c r="AX13" s="174" t="s">
        <v>367</v>
      </c>
      <c r="AY13" s="174" t="s">
        <v>368</v>
      </c>
      <c r="AZ13" s="174" t="s">
        <v>369</v>
      </c>
      <c r="BA13" s="174" t="s">
        <v>370</v>
      </c>
      <c r="BB13" s="174" t="s">
        <v>371</v>
      </c>
      <c r="BC13" s="174" t="s">
        <v>261</v>
      </c>
      <c r="BD13" s="174" t="s">
        <v>262</v>
      </c>
      <c r="BE13" s="174" t="s">
        <v>263</v>
      </c>
      <c r="BF13" s="174" t="s">
        <v>264</v>
      </c>
      <c r="BG13" s="174" t="s">
        <v>265</v>
      </c>
      <c r="BH13" s="174" t="s">
        <v>266</v>
      </c>
      <c r="BI13" s="174" t="s">
        <v>267</v>
      </c>
      <c r="BJ13" s="174" t="s">
        <v>268</v>
      </c>
      <c r="BK13" s="174" t="s">
        <v>269</v>
      </c>
      <c r="BL13" s="174" t="s">
        <v>270</v>
      </c>
      <c r="BM13" s="174" t="s">
        <v>271</v>
      </c>
      <c r="BN13" s="174" t="s">
        <v>272</v>
      </c>
      <c r="BO13" s="174" t="s">
        <v>273</v>
      </c>
      <c r="BP13" s="174" t="s">
        <v>274</v>
      </c>
    </row>
    <row r="14" spans="1:68" ht="15" customHeight="1">
      <c r="B14" s="140" t="s">
        <v>159</v>
      </c>
      <c r="C14" s="162" t="s">
        <v>107</v>
      </c>
      <c r="D14" s="215"/>
      <c r="E14" s="175" t="s">
        <v>141</v>
      </c>
      <c r="F14" s="175" t="s">
        <v>142</v>
      </c>
      <c r="G14" s="175" t="s">
        <v>140</v>
      </c>
      <c r="H14" s="175" t="s">
        <v>141</v>
      </c>
      <c r="I14" s="175" t="s">
        <v>141</v>
      </c>
      <c r="J14" s="175" t="s">
        <v>142</v>
      </c>
      <c r="K14" s="175" t="s">
        <v>142</v>
      </c>
      <c r="L14" s="175" t="s">
        <v>140</v>
      </c>
      <c r="M14" s="175" t="s">
        <v>140</v>
      </c>
      <c r="N14" s="175" t="s">
        <v>141</v>
      </c>
      <c r="O14" s="175" t="s">
        <v>142</v>
      </c>
      <c r="P14" s="175" t="s">
        <v>142</v>
      </c>
      <c r="Q14" s="175" t="s">
        <v>142</v>
      </c>
      <c r="R14" s="175" t="s">
        <v>142</v>
      </c>
      <c r="S14" s="175" t="s">
        <v>142</v>
      </c>
      <c r="T14" s="175" t="s">
        <v>142</v>
      </c>
      <c r="U14" s="175" t="s">
        <v>140</v>
      </c>
      <c r="V14" s="175" t="s">
        <v>140</v>
      </c>
      <c r="W14" s="175" t="s">
        <v>140</v>
      </c>
      <c r="X14" s="175" t="s">
        <v>141</v>
      </c>
      <c r="Y14" s="175" t="s">
        <v>141</v>
      </c>
      <c r="Z14" s="175" t="s">
        <v>141</v>
      </c>
      <c r="AA14" s="175" t="s">
        <v>141</v>
      </c>
      <c r="AB14" s="175" t="s">
        <v>141</v>
      </c>
      <c r="AC14" s="175" t="s">
        <v>142</v>
      </c>
      <c r="AD14" s="175" t="s">
        <v>142</v>
      </c>
      <c r="AE14" s="175" t="s">
        <v>140</v>
      </c>
      <c r="AF14" s="175" t="s">
        <v>140</v>
      </c>
      <c r="AG14" s="175" t="s">
        <v>141</v>
      </c>
      <c r="AH14" s="175" t="s">
        <v>141</v>
      </c>
      <c r="AI14" s="175" t="s">
        <v>141</v>
      </c>
      <c r="AJ14" s="175" t="s">
        <v>141</v>
      </c>
      <c r="AK14" s="175" t="s">
        <v>141</v>
      </c>
      <c r="AL14" s="175" t="s">
        <v>141</v>
      </c>
      <c r="AM14" s="175" t="s">
        <v>141</v>
      </c>
      <c r="AN14" s="175" t="s">
        <v>142</v>
      </c>
      <c r="AO14" s="175" t="s">
        <v>140</v>
      </c>
      <c r="AP14" s="175" t="s">
        <v>142</v>
      </c>
      <c r="AQ14" s="175" t="s">
        <v>142</v>
      </c>
      <c r="AR14" s="175" t="s">
        <v>140</v>
      </c>
      <c r="AS14" s="175" t="s">
        <v>140</v>
      </c>
      <c r="AT14" s="175" t="s">
        <v>141</v>
      </c>
      <c r="AU14" s="175" t="s">
        <v>141</v>
      </c>
      <c r="AV14" s="175" t="s">
        <v>141</v>
      </c>
      <c r="AW14" s="175" t="s">
        <v>141</v>
      </c>
      <c r="AX14" s="175" t="s">
        <v>141</v>
      </c>
      <c r="AY14" s="175" t="s">
        <v>141</v>
      </c>
      <c r="AZ14" s="175" t="s">
        <v>140</v>
      </c>
      <c r="BA14" s="175" t="s">
        <v>142</v>
      </c>
      <c r="BB14" s="175" t="s">
        <v>142</v>
      </c>
      <c r="BC14" s="175" t="s">
        <v>140</v>
      </c>
      <c r="BD14" s="175" t="s">
        <v>140</v>
      </c>
      <c r="BE14" s="175" t="s">
        <v>142</v>
      </c>
      <c r="BF14" s="175" t="s">
        <v>142</v>
      </c>
      <c r="BG14" s="175" t="s">
        <v>142</v>
      </c>
      <c r="BH14" s="175" t="s">
        <v>142</v>
      </c>
      <c r="BI14" s="175" t="s">
        <v>141</v>
      </c>
      <c r="BJ14" s="175" t="s">
        <v>141</v>
      </c>
      <c r="BK14" s="175" t="s">
        <v>141</v>
      </c>
      <c r="BL14" s="175" t="s">
        <v>141</v>
      </c>
      <c r="BM14" s="175" t="s">
        <v>140</v>
      </c>
      <c r="BN14" s="175" t="s">
        <v>140</v>
      </c>
      <c r="BO14" s="175" t="s">
        <v>142</v>
      </c>
      <c r="BP14" s="175" t="s">
        <v>142</v>
      </c>
    </row>
    <row r="15" spans="1:68" ht="15" customHeight="1">
      <c r="B15" s="140" t="s">
        <v>160</v>
      </c>
      <c r="C15" s="162" t="s">
        <v>26</v>
      </c>
      <c r="D15" s="215"/>
      <c r="E15" s="176">
        <v>0.70009999999999994</v>
      </c>
      <c r="F15" s="176">
        <v>0.64390000000000003</v>
      </c>
      <c r="G15" s="176">
        <v>0.7802</v>
      </c>
      <c r="H15" s="176">
        <v>0.70069999999999999</v>
      </c>
      <c r="I15" s="176">
        <v>0.70009999999999994</v>
      </c>
      <c r="J15" s="176">
        <v>0.6421</v>
      </c>
      <c r="K15" s="176">
        <v>0.64759999999999995</v>
      </c>
      <c r="L15" s="176">
        <v>0.7802</v>
      </c>
      <c r="M15" s="176">
        <v>0.80900000000000005</v>
      </c>
      <c r="N15" s="176">
        <v>0.70040000000000002</v>
      </c>
      <c r="O15" s="176">
        <v>0.64100000000000001</v>
      </c>
      <c r="P15" s="176">
        <v>0.64100000000000001</v>
      </c>
      <c r="Q15" s="176">
        <v>0.64100000000000001</v>
      </c>
      <c r="R15" s="176">
        <v>0.64800000000000002</v>
      </c>
      <c r="S15" s="176">
        <v>0.64800000000000002</v>
      </c>
      <c r="T15" s="176">
        <v>0.64800000000000002</v>
      </c>
      <c r="U15" s="176">
        <v>0.80400000000000005</v>
      </c>
      <c r="V15" s="176">
        <v>0.80400000000000005</v>
      </c>
      <c r="W15" s="176">
        <v>0.80400000000000005</v>
      </c>
      <c r="X15" s="176">
        <v>0.70299999999999996</v>
      </c>
      <c r="Y15" s="176">
        <v>0.70299999999999996</v>
      </c>
      <c r="Z15" s="176">
        <v>0.70299999999999996</v>
      </c>
      <c r="AA15" s="176">
        <v>0.70199999999999996</v>
      </c>
      <c r="AB15" s="176">
        <v>0.70199999999999996</v>
      </c>
      <c r="AC15" s="176">
        <v>0.64100000000000001</v>
      </c>
      <c r="AD15" s="176">
        <v>0.64100000000000001</v>
      </c>
      <c r="AE15" s="176">
        <v>0.78</v>
      </c>
      <c r="AF15" s="176">
        <v>0.78</v>
      </c>
      <c r="AG15" s="176">
        <v>0.71299999999999997</v>
      </c>
      <c r="AH15" s="176">
        <v>0.71299999999999997</v>
      </c>
      <c r="AI15" s="176">
        <v>0.7</v>
      </c>
      <c r="AJ15" s="176">
        <v>0.7</v>
      </c>
      <c r="AK15" s="176">
        <v>0.70009999999999994</v>
      </c>
      <c r="AL15" s="176">
        <v>0.70009999999999994</v>
      </c>
      <c r="AM15" s="176">
        <v>0.70069999999999999</v>
      </c>
      <c r="AN15" s="176">
        <v>0.64390000000000003</v>
      </c>
      <c r="AO15" s="176">
        <v>0.7802</v>
      </c>
      <c r="AP15" s="176">
        <v>0.6421</v>
      </c>
      <c r="AQ15" s="176">
        <v>0.64759999999999995</v>
      </c>
      <c r="AR15" s="176">
        <v>0.7802</v>
      </c>
      <c r="AS15" s="176">
        <v>0.80900000000000005</v>
      </c>
      <c r="AT15" s="176">
        <v>0.70040000000000002</v>
      </c>
      <c r="AU15" s="176">
        <v>0.70199999999999996</v>
      </c>
      <c r="AV15" s="176">
        <v>0.70199999999999996</v>
      </c>
      <c r="AW15" s="176">
        <v>0.70299999999999996</v>
      </c>
      <c r="AX15" s="176">
        <v>0.70299999999999996</v>
      </c>
      <c r="AY15" s="176">
        <v>0.70299999999999996</v>
      </c>
      <c r="AZ15" s="176">
        <v>0.80400000000000005</v>
      </c>
      <c r="BA15" s="176">
        <v>0.64800000000000002</v>
      </c>
      <c r="BB15" s="176">
        <v>0.64800000000000002</v>
      </c>
      <c r="BC15" s="176">
        <v>0.80400000000000005</v>
      </c>
      <c r="BD15" s="176">
        <v>0.80400000000000005</v>
      </c>
      <c r="BE15" s="176">
        <v>0.64800000000000002</v>
      </c>
      <c r="BF15" s="176">
        <v>0.64100000000000001</v>
      </c>
      <c r="BG15" s="176">
        <v>0.64100000000000001</v>
      </c>
      <c r="BH15" s="176">
        <v>0.64100000000000001</v>
      </c>
      <c r="BI15" s="176">
        <v>0.7</v>
      </c>
      <c r="BJ15" s="176">
        <v>0.7</v>
      </c>
      <c r="BK15" s="176">
        <v>0.71</v>
      </c>
      <c r="BL15" s="176">
        <v>0.71</v>
      </c>
      <c r="BM15" s="176">
        <v>0.78</v>
      </c>
      <c r="BN15" s="176">
        <v>0.78</v>
      </c>
      <c r="BO15" s="176">
        <v>0.64100000000000001</v>
      </c>
      <c r="BP15" s="176">
        <v>0.64100000000000001</v>
      </c>
    </row>
    <row r="16" spans="1:68" ht="15" customHeight="1">
      <c r="B16" s="140" t="s">
        <v>161</v>
      </c>
      <c r="C16" s="162" t="s">
        <v>80</v>
      </c>
      <c r="D16" s="215"/>
      <c r="E16" s="173" t="s">
        <v>82</v>
      </c>
      <c r="F16" s="173" t="s">
        <v>82</v>
      </c>
      <c r="G16" s="173" t="s">
        <v>82</v>
      </c>
      <c r="H16" s="173" t="s">
        <v>82</v>
      </c>
      <c r="I16" s="173" t="s">
        <v>82</v>
      </c>
      <c r="J16" s="173" t="s">
        <v>81</v>
      </c>
      <c r="K16" s="173" t="s">
        <v>81</v>
      </c>
      <c r="L16" s="173" t="s">
        <v>81</v>
      </c>
      <c r="M16" s="173" t="s">
        <v>81</v>
      </c>
      <c r="N16" s="173" t="s">
        <v>81</v>
      </c>
      <c r="O16" s="173" t="s">
        <v>83</v>
      </c>
      <c r="P16" s="173" t="s">
        <v>83</v>
      </c>
      <c r="Q16" s="173" t="s">
        <v>83</v>
      </c>
      <c r="R16" s="173" t="s">
        <v>83</v>
      </c>
      <c r="S16" s="173" t="s">
        <v>83</v>
      </c>
      <c r="T16" s="173" t="s">
        <v>83</v>
      </c>
      <c r="U16" s="173" t="s">
        <v>83</v>
      </c>
      <c r="V16" s="173" t="s">
        <v>83</v>
      </c>
      <c r="W16" s="173" t="s">
        <v>83</v>
      </c>
      <c r="X16" s="173" t="s">
        <v>83</v>
      </c>
      <c r="Y16" s="173" t="s">
        <v>83</v>
      </c>
      <c r="Z16" s="173" t="s">
        <v>83</v>
      </c>
      <c r="AA16" s="173" t="s">
        <v>83</v>
      </c>
      <c r="AB16" s="173" t="s">
        <v>83</v>
      </c>
      <c r="AC16" s="173" t="s">
        <v>83</v>
      </c>
      <c r="AD16" s="173" t="s">
        <v>83</v>
      </c>
      <c r="AE16" s="173" t="s">
        <v>83</v>
      </c>
      <c r="AF16" s="173" t="s">
        <v>83</v>
      </c>
      <c r="AG16" s="173" t="s">
        <v>83</v>
      </c>
      <c r="AH16" s="173" t="s">
        <v>83</v>
      </c>
      <c r="AI16" s="173" t="s">
        <v>83</v>
      </c>
      <c r="AJ16" s="173" t="s">
        <v>83</v>
      </c>
      <c r="AK16" s="173" t="s">
        <v>82</v>
      </c>
      <c r="AL16" s="173" t="s">
        <v>82</v>
      </c>
      <c r="AM16" s="173" t="s">
        <v>82</v>
      </c>
      <c r="AN16" s="173" t="s">
        <v>82</v>
      </c>
      <c r="AO16" s="173" t="s">
        <v>82</v>
      </c>
      <c r="AP16" s="173" t="s">
        <v>81</v>
      </c>
      <c r="AQ16" s="173" t="s">
        <v>81</v>
      </c>
      <c r="AR16" s="173" t="s">
        <v>81</v>
      </c>
      <c r="AS16" s="173" t="s">
        <v>81</v>
      </c>
      <c r="AT16" s="173" t="s">
        <v>81</v>
      </c>
      <c r="AU16" s="173" t="s">
        <v>83</v>
      </c>
      <c r="AV16" s="173" t="s">
        <v>83</v>
      </c>
      <c r="AW16" s="173" t="s">
        <v>83</v>
      </c>
      <c r="AX16" s="173" t="s">
        <v>83</v>
      </c>
      <c r="AY16" s="173" t="s">
        <v>83</v>
      </c>
      <c r="AZ16" s="173" t="s">
        <v>83</v>
      </c>
      <c r="BA16" s="173" t="s">
        <v>83</v>
      </c>
      <c r="BB16" s="173" t="s">
        <v>83</v>
      </c>
      <c r="BC16" s="173" t="s">
        <v>83</v>
      </c>
      <c r="BD16" s="173" t="s">
        <v>83</v>
      </c>
      <c r="BE16" s="173" t="s">
        <v>83</v>
      </c>
      <c r="BF16" s="173" t="s">
        <v>83</v>
      </c>
      <c r="BG16" s="173" t="s">
        <v>83</v>
      </c>
      <c r="BH16" s="173" t="s">
        <v>83</v>
      </c>
      <c r="BI16" s="173" t="s">
        <v>83</v>
      </c>
      <c r="BJ16" s="173" t="s">
        <v>83</v>
      </c>
      <c r="BK16" s="173" t="s">
        <v>83</v>
      </c>
      <c r="BL16" s="173" t="s">
        <v>83</v>
      </c>
      <c r="BM16" s="173" t="s">
        <v>83</v>
      </c>
      <c r="BN16" s="173" t="s">
        <v>83</v>
      </c>
      <c r="BO16" s="173" t="s">
        <v>83</v>
      </c>
      <c r="BP16" s="173" t="s">
        <v>83</v>
      </c>
    </row>
    <row r="17" spans="1:68" ht="15" customHeight="1">
      <c r="B17" s="140" t="s">
        <v>154</v>
      </c>
      <c r="C17" s="163" t="s">
        <v>108</v>
      </c>
      <c r="D17" s="215"/>
      <c r="E17" s="173" t="s">
        <v>249</v>
      </c>
      <c r="F17" s="173" t="s">
        <v>249</v>
      </c>
      <c r="G17" s="173" t="s">
        <v>249</v>
      </c>
      <c r="H17" s="173" t="s">
        <v>249</v>
      </c>
      <c r="I17" s="173" t="s">
        <v>249</v>
      </c>
      <c r="J17" s="173" t="s">
        <v>249</v>
      </c>
      <c r="K17" s="173" t="s">
        <v>249</v>
      </c>
      <c r="L17" s="173" t="s">
        <v>249</v>
      </c>
      <c r="M17" s="173" t="s">
        <v>249</v>
      </c>
      <c r="N17" s="173" t="s">
        <v>249</v>
      </c>
      <c r="O17" s="173" t="s">
        <v>249</v>
      </c>
      <c r="P17" s="173" t="s">
        <v>249</v>
      </c>
      <c r="Q17" s="173" t="s">
        <v>249</v>
      </c>
      <c r="R17" s="173" t="s">
        <v>249</v>
      </c>
      <c r="S17" s="173" t="s">
        <v>249</v>
      </c>
      <c r="T17" s="173" t="s">
        <v>249</v>
      </c>
      <c r="U17" s="173" t="s">
        <v>249</v>
      </c>
      <c r="V17" s="173" t="s">
        <v>249</v>
      </c>
      <c r="W17" s="173" t="s">
        <v>249</v>
      </c>
      <c r="X17" s="173" t="s">
        <v>249</v>
      </c>
      <c r="Y17" s="173" t="s">
        <v>249</v>
      </c>
      <c r="Z17" s="173" t="s">
        <v>249</v>
      </c>
      <c r="AA17" s="173" t="s">
        <v>249</v>
      </c>
      <c r="AB17" s="173" t="s">
        <v>249</v>
      </c>
      <c r="AC17" s="173" t="s">
        <v>249</v>
      </c>
      <c r="AD17" s="173" t="s">
        <v>249</v>
      </c>
      <c r="AE17" s="173" t="s">
        <v>249</v>
      </c>
      <c r="AF17" s="173" t="s">
        <v>249</v>
      </c>
      <c r="AG17" s="173" t="s">
        <v>249</v>
      </c>
      <c r="AH17" s="173" t="s">
        <v>249</v>
      </c>
      <c r="AI17" s="173" t="s">
        <v>249</v>
      </c>
      <c r="AJ17" s="173" t="s">
        <v>249</v>
      </c>
      <c r="AK17" s="173" t="s">
        <v>249</v>
      </c>
      <c r="AL17" s="173" t="s">
        <v>249</v>
      </c>
      <c r="AM17" s="173" t="s">
        <v>249</v>
      </c>
      <c r="AN17" s="173" t="s">
        <v>249</v>
      </c>
      <c r="AO17" s="173" t="s">
        <v>249</v>
      </c>
      <c r="AP17" s="173" t="s">
        <v>249</v>
      </c>
      <c r="AQ17" s="173" t="s">
        <v>249</v>
      </c>
      <c r="AR17" s="173" t="s">
        <v>249</v>
      </c>
      <c r="AS17" s="173" t="s">
        <v>249</v>
      </c>
      <c r="AT17" s="173" t="s">
        <v>249</v>
      </c>
      <c r="AU17" s="173" t="s">
        <v>249</v>
      </c>
      <c r="AV17" s="173" t="s">
        <v>249</v>
      </c>
      <c r="AW17" s="173" t="s">
        <v>249</v>
      </c>
      <c r="AX17" s="173" t="s">
        <v>249</v>
      </c>
      <c r="AY17" s="173" t="s">
        <v>249</v>
      </c>
      <c r="AZ17" s="173" t="s">
        <v>249</v>
      </c>
      <c r="BA17" s="173" t="s">
        <v>249</v>
      </c>
      <c r="BB17" s="173" t="s">
        <v>249</v>
      </c>
      <c r="BC17" s="173" t="s">
        <v>249</v>
      </c>
      <c r="BD17" s="173" t="s">
        <v>249</v>
      </c>
      <c r="BE17" s="173" t="s">
        <v>249</v>
      </c>
      <c r="BF17" s="173" t="s">
        <v>249</v>
      </c>
      <c r="BG17" s="173" t="s">
        <v>249</v>
      </c>
      <c r="BH17" s="173" t="s">
        <v>249</v>
      </c>
      <c r="BI17" s="173" t="s">
        <v>249</v>
      </c>
      <c r="BJ17" s="173" t="s">
        <v>249</v>
      </c>
      <c r="BK17" s="173" t="s">
        <v>249</v>
      </c>
      <c r="BL17" s="173" t="s">
        <v>249</v>
      </c>
      <c r="BM17" s="173" t="s">
        <v>249</v>
      </c>
      <c r="BN17" s="173" t="s">
        <v>249</v>
      </c>
      <c r="BO17" s="173" t="s">
        <v>249</v>
      </c>
      <c r="BP17" s="173" t="s">
        <v>249</v>
      </c>
    </row>
    <row r="18" spans="1:68" ht="15" customHeight="1">
      <c r="B18" s="140" t="s">
        <v>153</v>
      </c>
      <c r="C18" s="162" t="s">
        <v>16</v>
      </c>
      <c r="D18" s="215"/>
      <c r="E18" s="177" t="s">
        <v>145</v>
      </c>
      <c r="F18" s="177" t="s">
        <v>145</v>
      </c>
      <c r="G18" s="177" t="s">
        <v>145</v>
      </c>
      <c r="H18" s="177" t="s">
        <v>145</v>
      </c>
      <c r="I18" s="177" t="s">
        <v>145</v>
      </c>
      <c r="J18" s="177" t="s">
        <v>145</v>
      </c>
      <c r="K18" s="177" t="s">
        <v>145</v>
      </c>
      <c r="L18" s="177" t="s">
        <v>145</v>
      </c>
      <c r="M18" s="177" t="s">
        <v>145</v>
      </c>
      <c r="N18" s="177" t="s">
        <v>145</v>
      </c>
      <c r="O18" s="177" t="s">
        <v>146</v>
      </c>
      <c r="P18" s="177" t="s">
        <v>146</v>
      </c>
      <c r="Q18" s="177" t="s">
        <v>146</v>
      </c>
      <c r="R18" s="177" t="s">
        <v>146</v>
      </c>
      <c r="S18" s="177" t="s">
        <v>146</v>
      </c>
      <c r="T18" s="177" t="s">
        <v>146</v>
      </c>
      <c r="U18" s="177" t="s">
        <v>146</v>
      </c>
      <c r="V18" s="177" t="s">
        <v>146</v>
      </c>
      <c r="W18" s="177" t="s">
        <v>146</v>
      </c>
      <c r="X18" s="177" t="s">
        <v>146</v>
      </c>
      <c r="Y18" s="177" t="s">
        <v>146</v>
      </c>
      <c r="Z18" s="177" t="s">
        <v>146</v>
      </c>
      <c r="AA18" s="177" t="s">
        <v>146</v>
      </c>
      <c r="AB18" s="177" t="s">
        <v>146</v>
      </c>
      <c r="AC18" s="177" t="s">
        <v>146</v>
      </c>
      <c r="AD18" s="177" t="s">
        <v>146</v>
      </c>
      <c r="AE18" s="177" t="s">
        <v>146</v>
      </c>
      <c r="AF18" s="177" t="s">
        <v>146</v>
      </c>
      <c r="AG18" s="177" t="s">
        <v>146</v>
      </c>
      <c r="AH18" s="177" t="s">
        <v>146</v>
      </c>
      <c r="AI18" s="177" t="s">
        <v>146</v>
      </c>
      <c r="AJ18" s="177" t="s">
        <v>146</v>
      </c>
      <c r="AK18" s="177" t="s">
        <v>146</v>
      </c>
      <c r="AL18" s="177" t="s">
        <v>146</v>
      </c>
      <c r="AM18" s="177" t="s">
        <v>146</v>
      </c>
      <c r="AN18" s="177" t="s">
        <v>146</v>
      </c>
      <c r="AO18" s="177" t="s">
        <v>146</v>
      </c>
      <c r="AP18" s="177" t="s">
        <v>146</v>
      </c>
      <c r="AQ18" s="177" t="s">
        <v>146</v>
      </c>
      <c r="AR18" s="177" t="s">
        <v>146</v>
      </c>
      <c r="AS18" s="177" t="s">
        <v>146</v>
      </c>
      <c r="AT18" s="177" t="s">
        <v>146</v>
      </c>
      <c r="AU18" s="177" t="s">
        <v>146</v>
      </c>
      <c r="AV18" s="177" t="s">
        <v>146</v>
      </c>
      <c r="AW18" s="177" t="s">
        <v>146</v>
      </c>
      <c r="AX18" s="177" t="s">
        <v>146</v>
      </c>
      <c r="AY18" s="177" t="s">
        <v>146</v>
      </c>
      <c r="AZ18" s="177" t="s">
        <v>146</v>
      </c>
      <c r="BA18" s="177" t="s">
        <v>146</v>
      </c>
      <c r="BB18" s="177" t="s">
        <v>146</v>
      </c>
      <c r="BC18" s="177" t="s">
        <v>146</v>
      </c>
      <c r="BD18" s="177" t="s">
        <v>146</v>
      </c>
      <c r="BE18" s="177" t="s">
        <v>146</v>
      </c>
      <c r="BF18" s="177" t="s">
        <v>146</v>
      </c>
      <c r="BG18" s="177" t="s">
        <v>146</v>
      </c>
      <c r="BH18" s="177" t="s">
        <v>146</v>
      </c>
      <c r="BI18" s="177" t="s">
        <v>146</v>
      </c>
      <c r="BJ18" s="177" t="s">
        <v>146</v>
      </c>
      <c r="BK18" s="177" t="s">
        <v>146</v>
      </c>
      <c r="BL18" s="177" t="s">
        <v>146</v>
      </c>
      <c r="BM18" s="177" t="s">
        <v>146</v>
      </c>
      <c r="BN18" s="177" t="s">
        <v>146</v>
      </c>
      <c r="BO18" s="177" t="s">
        <v>146</v>
      </c>
      <c r="BP18" s="177" t="s">
        <v>146</v>
      </c>
    </row>
    <row r="19" spans="1:68" ht="15" customHeight="1">
      <c r="B19" s="140" t="s">
        <v>149</v>
      </c>
      <c r="C19" s="162" t="s">
        <v>25</v>
      </c>
      <c r="D19" s="215"/>
      <c r="E19" s="178">
        <v>45292</v>
      </c>
      <c r="F19" s="178">
        <v>45292</v>
      </c>
      <c r="G19" s="178">
        <v>45292</v>
      </c>
      <c r="H19" s="178">
        <v>45292</v>
      </c>
      <c r="I19" s="178">
        <v>45292</v>
      </c>
      <c r="J19" s="178">
        <v>45292</v>
      </c>
      <c r="K19" s="178">
        <v>45292</v>
      </c>
      <c r="L19" s="178">
        <v>45292</v>
      </c>
      <c r="M19" s="178">
        <v>45292</v>
      </c>
      <c r="N19" s="178">
        <v>45292</v>
      </c>
      <c r="O19" s="178">
        <v>45292</v>
      </c>
      <c r="P19" s="178">
        <v>45292</v>
      </c>
      <c r="Q19" s="178">
        <v>45292</v>
      </c>
      <c r="R19" s="178">
        <v>45292</v>
      </c>
      <c r="S19" s="178">
        <v>45292</v>
      </c>
      <c r="T19" s="178">
        <v>45292</v>
      </c>
      <c r="U19" s="178">
        <v>45292</v>
      </c>
      <c r="V19" s="178">
        <v>45292</v>
      </c>
      <c r="W19" s="178">
        <v>45292</v>
      </c>
      <c r="X19" s="178">
        <v>45292</v>
      </c>
      <c r="Y19" s="178">
        <v>45292</v>
      </c>
      <c r="Z19" s="178">
        <v>45292</v>
      </c>
      <c r="AA19" s="178">
        <v>45292</v>
      </c>
      <c r="AB19" s="178">
        <v>45292</v>
      </c>
      <c r="AC19" s="178">
        <v>45292</v>
      </c>
      <c r="AD19" s="178">
        <v>45292</v>
      </c>
      <c r="AE19" s="178">
        <v>45292</v>
      </c>
      <c r="AF19" s="178">
        <v>45292</v>
      </c>
      <c r="AG19" s="178">
        <v>45292</v>
      </c>
      <c r="AH19" s="178">
        <v>45292</v>
      </c>
      <c r="AI19" s="178">
        <v>45292</v>
      </c>
      <c r="AJ19" s="178">
        <v>45292</v>
      </c>
      <c r="AK19" s="178">
        <v>45292</v>
      </c>
      <c r="AL19" s="178">
        <v>45292</v>
      </c>
      <c r="AM19" s="178">
        <v>45292</v>
      </c>
      <c r="AN19" s="178">
        <v>45292</v>
      </c>
      <c r="AO19" s="178">
        <v>45292</v>
      </c>
      <c r="AP19" s="178">
        <v>45292</v>
      </c>
      <c r="AQ19" s="178">
        <v>45292</v>
      </c>
      <c r="AR19" s="178">
        <v>45292</v>
      </c>
      <c r="AS19" s="178">
        <v>45292</v>
      </c>
      <c r="AT19" s="178">
        <v>45292</v>
      </c>
      <c r="AU19" s="178">
        <v>45292</v>
      </c>
      <c r="AV19" s="178">
        <v>45292</v>
      </c>
      <c r="AW19" s="178">
        <v>45292</v>
      </c>
      <c r="AX19" s="178">
        <v>45292</v>
      </c>
      <c r="AY19" s="178">
        <v>45292</v>
      </c>
      <c r="AZ19" s="178">
        <v>45292</v>
      </c>
      <c r="BA19" s="178">
        <v>45292</v>
      </c>
      <c r="BB19" s="178">
        <v>45292</v>
      </c>
      <c r="BC19" s="178">
        <v>45292</v>
      </c>
      <c r="BD19" s="178">
        <v>45292</v>
      </c>
      <c r="BE19" s="178">
        <v>45292</v>
      </c>
      <c r="BF19" s="178">
        <v>45292</v>
      </c>
      <c r="BG19" s="178">
        <v>45292</v>
      </c>
      <c r="BH19" s="178">
        <v>45292</v>
      </c>
      <c r="BI19" s="178">
        <v>45292</v>
      </c>
      <c r="BJ19" s="178">
        <v>45292</v>
      </c>
      <c r="BK19" s="178">
        <v>45292</v>
      </c>
      <c r="BL19" s="178">
        <v>45292</v>
      </c>
      <c r="BM19" s="178">
        <v>45292</v>
      </c>
      <c r="BN19" s="178">
        <v>45292</v>
      </c>
      <c r="BO19" s="178">
        <v>45292</v>
      </c>
      <c r="BP19" s="178">
        <v>45292</v>
      </c>
    </row>
    <row r="20" spans="1:68" ht="15" customHeight="1">
      <c r="B20" s="140" t="s">
        <v>150</v>
      </c>
      <c r="C20" s="162" t="s">
        <v>109</v>
      </c>
      <c r="D20" s="215"/>
      <c r="E20" s="179">
        <v>6.4218541803906959E-2</v>
      </c>
      <c r="F20" s="179">
        <v>3.8633655366435482E-2</v>
      </c>
      <c r="G20" s="179">
        <v>7.1754741892411156E-2</v>
      </c>
      <c r="H20" s="179">
        <v>4.2707572582486364E-2</v>
      </c>
      <c r="I20" s="179">
        <v>0.13226885788729992</v>
      </c>
      <c r="J20" s="179">
        <v>0</v>
      </c>
      <c r="K20" s="179">
        <v>0</v>
      </c>
      <c r="L20" s="179">
        <v>0</v>
      </c>
      <c r="M20" s="179">
        <v>0</v>
      </c>
      <c r="N20" s="179">
        <v>0</v>
      </c>
      <c r="O20" s="179">
        <v>0</v>
      </c>
      <c r="P20" s="179">
        <v>0</v>
      </c>
      <c r="Q20" s="179">
        <v>0</v>
      </c>
      <c r="R20" s="179">
        <v>0</v>
      </c>
      <c r="S20" s="179">
        <v>0</v>
      </c>
      <c r="T20" s="179">
        <v>0</v>
      </c>
      <c r="U20" s="179">
        <v>0</v>
      </c>
      <c r="V20" s="179">
        <v>0</v>
      </c>
      <c r="W20" s="179">
        <v>0</v>
      </c>
      <c r="X20" s="179">
        <v>0</v>
      </c>
      <c r="Y20" s="179">
        <v>0</v>
      </c>
      <c r="Z20" s="179">
        <v>0</v>
      </c>
      <c r="AA20" s="179">
        <v>0</v>
      </c>
      <c r="AB20" s="179">
        <v>0</v>
      </c>
      <c r="AC20" s="179">
        <v>0</v>
      </c>
      <c r="AD20" s="179">
        <v>0</v>
      </c>
      <c r="AE20" s="179">
        <v>0</v>
      </c>
      <c r="AF20" s="179">
        <v>0</v>
      </c>
      <c r="AG20" s="179">
        <v>0</v>
      </c>
      <c r="AH20" s="179">
        <v>0</v>
      </c>
      <c r="AI20" s="179">
        <v>0</v>
      </c>
      <c r="AJ20" s="179">
        <v>0</v>
      </c>
      <c r="AK20" s="179">
        <v>5.0438651487004771E-2</v>
      </c>
      <c r="AL20" s="179">
        <v>-3.021221176418265E-2</v>
      </c>
      <c r="AM20" s="179">
        <v>2.8816698350524694E-2</v>
      </c>
      <c r="AN20" s="179">
        <v>4.2415849620883295E-2</v>
      </c>
      <c r="AO20" s="179">
        <v>7.5790998942572241E-2</v>
      </c>
      <c r="AP20" s="179">
        <v>0</v>
      </c>
      <c r="AQ20" s="179">
        <v>0</v>
      </c>
      <c r="AR20" s="179">
        <v>0</v>
      </c>
      <c r="AS20" s="179">
        <v>0</v>
      </c>
      <c r="AT20" s="179">
        <v>0</v>
      </c>
      <c r="AU20" s="179">
        <v>0</v>
      </c>
      <c r="AV20" s="179">
        <v>0</v>
      </c>
      <c r="AW20" s="179">
        <v>0</v>
      </c>
      <c r="AX20" s="179">
        <v>0</v>
      </c>
      <c r="AY20" s="179">
        <v>0</v>
      </c>
      <c r="AZ20" s="179">
        <v>0</v>
      </c>
      <c r="BA20" s="179">
        <v>0</v>
      </c>
      <c r="BB20" s="179">
        <v>0</v>
      </c>
      <c r="BC20" s="179">
        <v>0</v>
      </c>
      <c r="BD20" s="179">
        <v>0</v>
      </c>
      <c r="BE20" s="179">
        <v>0</v>
      </c>
      <c r="BF20" s="179">
        <v>0</v>
      </c>
      <c r="BG20" s="179">
        <v>0</v>
      </c>
      <c r="BH20" s="179">
        <v>0</v>
      </c>
      <c r="BI20" s="179">
        <v>0</v>
      </c>
      <c r="BJ20" s="179">
        <v>0</v>
      </c>
      <c r="BK20" s="179">
        <v>0</v>
      </c>
      <c r="BL20" s="179">
        <v>0</v>
      </c>
      <c r="BM20" s="179">
        <v>0</v>
      </c>
      <c r="BN20" s="179">
        <v>0</v>
      </c>
      <c r="BO20" s="179">
        <v>0</v>
      </c>
      <c r="BP20" s="179">
        <v>0</v>
      </c>
    </row>
    <row r="21" spans="1:68" ht="15" customHeight="1">
      <c r="B21" s="140" t="s">
        <v>151</v>
      </c>
      <c r="C21" s="162" t="s">
        <v>84</v>
      </c>
      <c r="D21" s="215"/>
      <c r="E21" s="261">
        <f t="array" ref="E21">IF(SUMPRODUCT((E16:AJ16="Renewing")*((E14:AJ14="Platinum")+(E14:AJ14="Gold")+(E14:AJ14="Silver")+(E14:AJ14="Bronze")+(E14:AJ14="Catastrophic")))=0, 0, ROUND(ROUND(SUMPRODUCT(1+E20:AJ20,E34:AJ34,E35:AJ35,--(E16:AJ16="Renewing")*((E14:AJ14="Platinum")+(E14:AJ14="Gold")+(E14:AJ14="Silver")+(E14:AJ14="Bronze")+(E14:AJ14="Catastrophic")))/SUMPRODUCT(E34:AJ34,E35:AJ35,--(E16:AJ16="Renewing")*((E14:AJ14="Platinum")+(E14:AJ14="Gold")+(E14:AJ14="Silver")+(E14:AJ14="Bronze")+(E14:AJ14="Catastrophic"))), 4)-1, 4))</f>
        <v>0.12540000000000001</v>
      </c>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3"/>
      <c r="AK21" s="261" t="e">
        <f t="array" ref="AK21">IF(SUMPRODUCT((AK16:BP16="Renewing")*((AK14:BP14="Platinum")+(AK14:BP14="Gold")+(AK14:BP14="Silver")+(AK14:BP14="Bronze")+(AK14:BP14="Catastrophic")))=0, 0, ROUND(ROUND(SUMPRODUCT(1+AK20:BP20,AK34:BP34,AK35:BP35,--(AK16:BP16="Renewing")*((AK14:BP14="Platinum")+(AK14:BP14="Gold")+(AK14:BP14="Silver")+(AK14:BP14="Bronze")+(AK14:BP14="Catastrophic")))/SUMPRODUCT(AK34:BP34,AK35:BP35,--(AK16:BP16="Renewing")*((AK14:BP14="Platinum")+(AK14:BP14="Gold")+(AK14:BP14="Silver")+(AK14:BP14="Bronze")+(AK14:BP14="Catastrophic"))), 4)-1, 4))</f>
        <v>#DIV/0!</v>
      </c>
      <c r="AL21" s="262"/>
      <c r="AM21" s="262"/>
      <c r="AN21" s="262"/>
      <c r="AO21" s="262"/>
      <c r="AP21" s="262"/>
      <c r="AQ21" s="262"/>
      <c r="AR21" s="262"/>
      <c r="AS21" s="262"/>
      <c r="AT21" s="262"/>
      <c r="AU21" s="262"/>
      <c r="AV21" s="262"/>
      <c r="AW21" s="262"/>
      <c r="AX21" s="262"/>
      <c r="AY21" s="262"/>
      <c r="AZ21" s="262"/>
      <c r="BA21" s="262"/>
      <c r="BB21" s="262"/>
      <c r="BC21" s="262"/>
      <c r="BD21" s="262"/>
      <c r="BE21" s="262"/>
      <c r="BF21" s="262"/>
      <c r="BG21" s="262"/>
      <c r="BH21" s="262"/>
      <c r="BI21" s="262"/>
      <c r="BJ21" s="262"/>
      <c r="BK21" s="262"/>
      <c r="BL21" s="262"/>
      <c r="BM21" s="262"/>
      <c r="BN21" s="262"/>
      <c r="BO21" s="262"/>
      <c r="BP21" s="263"/>
    </row>
    <row r="22" spans="1:68" ht="15" customHeight="1">
      <c r="B22" s="142" t="s">
        <v>152</v>
      </c>
      <c r="C22" s="134" t="s">
        <v>212</v>
      </c>
      <c r="D22" s="216"/>
      <c r="E22" s="261">
        <f t="array" ref="E22">IF(SUMPRODUCT((E16:BP16="Renewing")*((E14:BP14="Platinum")+(E14:BP14="Gold")+(E14:BP14="Silver")+(E14:BP14="Bronze")+(E14:BP14="Catastrophic")))=0, 0, ROUND(ROUND(SUMPRODUCT(1+E20:BP20,E34:BP34,E35:BP35,--(E16:BP16="Renewing")*((E14:BP14="Platinum")+(E14:BP14="Gold")+(E14:BP14="Silver")+(E14:BP14="Bronze")+(E14:BP14="Catastrophic")))/SUMPRODUCT(E34:BP34,E35:BP35,--(E16:BP16="Renewing")*((E14:BP14="Platinum")+(E14:BP14="Gold")+(E14:BP14="Silver")+(E14:BP14="Bronze")+(E14:BP14="Catastrophic"))), 4)-1, 4))</f>
        <v>0.12540000000000001</v>
      </c>
      <c r="F22" s="262"/>
      <c r="G22" s="262"/>
      <c r="H22" s="262"/>
      <c r="I22" s="262"/>
      <c r="J22" s="262"/>
      <c r="K22" s="262"/>
      <c r="L22" s="262"/>
      <c r="M22" s="262"/>
      <c r="N22" s="262"/>
      <c r="O22" s="262"/>
      <c r="P22" s="262"/>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262"/>
      <c r="BC22" s="262"/>
      <c r="BD22" s="262"/>
      <c r="BE22" s="262"/>
      <c r="BF22" s="262"/>
      <c r="BG22" s="262"/>
      <c r="BH22" s="262"/>
      <c r="BI22" s="262"/>
      <c r="BJ22" s="262"/>
      <c r="BK22" s="262"/>
      <c r="BL22" s="262"/>
      <c r="BM22" s="262"/>
      <c r="BN22" s="262"/>
      <c r="BO22" s="262"/>
      <c r="BP22" s="263"/>
    </row>
    <row r="23" spans="1:68" ht="15" customHeight="1">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row>
    <row r="24" spans="1:68" ht="15" customHeight="1">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row>
    <row r="25" spans="1:68" ht="15" customHeight="1">
      <c r="A25" s="143"/>
      <c r="B25" s="140" t="s">
        <v>162</v>
      </c>
      <c r="C25" s="146" t="s">
        <v>106</v>
      </c>
      <c r="D25" s="144" t="s">
        <v>2</v>
      </c>
      <c r="E25" s="89" t="str">
        <f t="shared" ref="E25:J25" si="0">IF(E13&lt;&gt;"",E13,"")</f>
        <v>82824GA0110013</v>
      </c>
      <c r="F25" s="89" t="str">
        <f t="shared" si="0"/>
        <v>82824GA0110016</v>
      </c>
      <c r="G25" s="89" t="str">
        <f t="shared" si="0"/>
        <v>82824GA0110019</v>
      </c>
      <c r="H25" s="89" t="str">
        <f t="shared" si="0"/>
        <v>82824GA0110022</v>
      </c>
      <c r="I25" s="89" t="str">
        <f t="shared" si="0"/>
        <v>82824GA0110025</v>
      </c>
      <c r="J25" s="89" t="str">
        <f t="shared" si="0"/>
        <v>82824GA0110028</v>
      </c>
      <c r="K25" s="89" t="str">
        <f t="shared" ref="K25:BA25" si="1">IF(K13&lt;&gt;"",K13,"")</f>
        <v>82824GA0110029</v>
      </c>
      <c r="L25" s="89" t="str">
        <f t="shared" si="1"/>
        <v>82824GA0110030</v>
      </c>
      <c r="M25" s="89" t="str">
        <f t="shared" si="1"/>
        <v>82824GA0110031</v>
      </c>
      <c r="N25" s="89" t="str">
        <f t="shared" si="1"/>
        <v>82824GA0110032</v>
      </c>
      <c r="O25" s="89" t="str">
        <f t="shared" si="1"/>
        <v>82824GA0110001</v>
      </c>
      <c r="P25" s="89" t="str">
        <f t="shared" si="1"/>
        <v>82824GA0110002</v>
      </c>
      <c r="Q25" s="89" t="str">
        <f t="shared" si="1"/>
        <v>82824GA0110003</v>
      </c>
      <c r="R25" s="89" t="str">
        <f t="shared" si="1"/>
        <v>82824GA0110004</v>
      </c>
      <c r="S25" s="89" t="str">
        <f t="shared" si="1"/>
        <v>82824GA0110005</v>
      </c>
      <c r="T25" s="89" t="str">
        <f t="shared" si="1"/>
        <v>82824GA0110006</v>
      </c>
      <c r="U25" s="89" t="str">
        <f t="shared" si="1"/>
        <v>82824GA0110007</v>
      </c>
      <c r="V25" s="89" t="str">
        <f t="shared" si="1"/>
        <v>82824GA0110008</v>
      </c>
      <c r="W25" s="89" t="str">
        <f t="shared" si="1"/>
        <v>82824GA0110009</v>
      </c>
      <c r="X25" s="89" t="str">
        <f t="shared" ref="X25:AJ25" si="2">IF(X13&lt;&gt;"",X13,"")</f>
        <v>82824GA0110010</v>
      </c>
      <c r="Y25" s="89" t="str">
        <f t="shared" si="2"/>
        <v>82824GA0110011</v>
      </c>
      <c r="Z25" s="89" t="str">
        <f t="shared" si="2"/>
        <v>82824GA0110012</v>
      </c>
      <c r="AA25" s="89" t="str">
        <f t="shared" si="2"/>
        <v>82824GA0110014</v>
      </c>
      <c r="AB25" s="89" t="str">
        <f t="shared" si="2"/>
        <v>82824GA0110015</v>
      </c>
      <c r="AC25" s="89" t="str">
        <f t="shared" si="2"/>
        <v>82824GA0110017</v>
      </c>
      <c r="AD25" s="89" t="str">
        <f t="shared" si="2"/>
        <v>82824GA0110018</v>
      </c>
      <c r="AE25" s="89" t="str">
        <f t="shared" si="2"/>
        <v>82824GA0110020</v>
      </c>
      <c r="AF25" s="89" t="str">
        <f t="shared" si="2"/>
        <v>82824GA0110021</v>
      </c>
      <c r="AG25" s="89" t="str">
        <f t="shared" si="2"/>
        <v>82824GA0110023</v>
      </c>
      <c r="AH25" s="89" t="str">
        <f t="shared" si="2"/>
        <v>82824GA0110024</v>
      </c>
      <c r="AI25" s="89" t="str">
        <f t="shared" si="2"/>
        <v>82824GA0110026</v>
      </c>
      <c r="AJ25" s="89" t="str">
        <f t="shared" si="2"/>
        <v>82824GA0110027</v>
      </c>
      <c r="AK25" s="89" t="str">
        <f t="shared" si="1"/>
        <v>82824GA0120003</v>
      </c>
      <c r="AL25" s="89" t="str">
        <f t="shared" si="1"/>
        <v>82824GA0120018</v>
      </c>
      <c r="AM25" s="89" t="str">
        <f t="shared" si="1"/>
        <v>82824GA0120021</v>
      </c>
      <c r="AN25" s="89" t="str">
        <f t="shared" si="1"/>
        <v>82824GA0120024</v>
      </c>
      <c r="AO25" s="89" t="str">
        <f t="shared" si="1"/>
        <v>82824GA0120027</v>
      </c>
      <c r="AP25" s="89" t="str">
        <f t="shared" si="1"/>
        <v>82824GA0120028</v>
      </c>
      <c r="AQ25" s="89" t="str">
        <f t="shared" si="1"/>
        <v>82824GA0120029</v>
      </c>
      <c r="AR25" s="89" t="str">
        <f t="shared" si="1"/>
        <v>82824GA0120030</v>
      </c>
      <c r="AS25" s="89" t="str">
        <f t="shared" si="1"/>
        <v>82824GA0120031</v>
      </c>
      <c r="AT25" s="89" t="str">
        <f t="shared" si="1"/>
        <v>82824GA0120032</v>
      </c>
      <c r="AU25" s="89" t="str">
        <f t="shared" si="1"/>
        <v>82824GA0120001</v>
      </c>
      <c r="AV25" s="89" t="str">
        <f t="shared" si="1"/>
        <v>82824GA0120002</v>
      </c>
      <c r="AW25" s="89" t="str">
        <f t="shared" si="1"/>
        <v>82824GA0120004</v>
      </c>
      <c r="AX25" s="89" t="str">
        <f t="shared" si="1"/>
        <v>82824GA0120005</v>
      </c>
      <c r="AY25" s="89" t="str">
        <f t="shared" si="1"/>
        <v>82824GA0120006</v>
      </c>
      <c r="AZ25" s="89" t="str">
        <f t="shared" si="1"/>
        <v>82824GA0120008</v>
      </c>
      <c r="BA25" s="89" t="str">
        <f t="shared" si="1"/>
        <v>82824GA0120010</v>
      </c>
      <c r="BB25" s="89" t="str">
        <f t="shared" ref="BB25:BP25" si="3">IF(BB13&lt;&gt;"",BB13,"")</f>
        <v>82824GA0120011</v>
      </c>
      <c r="BC25" s="89" t="str">
        <f t="shared" si="3"/>
        <v>82824GA0120007</v>
      </c>
      <c r="BD25" s="89" t="str">
        <f t="shared" si="3"/>
        <v>82824GA0120009</v>
      </c>
      <c r="BE25" s="89" t="str">
        <f t="shared" si="3"/>
        <v>82824GA0120012</v>
      </c>
      <c r="BF25" s="89" t="str">
        <f t="shared" si="3"/>
        <v>82824GA0120013</v>
      </c>
      <c r="BG25" s="89" t="str">
        <f t="shared" si="3"/>
        <v>82824GA0120014</v>
      </c>
      <c r="BH25" s="89" t="str">
        <f t="shared" si="3"/>
        <v>82824GA0120015</v>
      </c>
      <c r="BI25" s="89" t="str">
        <f t="shared" si="3"/>
        <v>82824GA0120016</v>
      </c>
      <c r="BJ25" s="89" t="str">
        <f t="shared" si="3"/>
        <v>82824GA0120017</v>
      </c>
      <c r="BK25" s="89" t="str">
        <f t="shared" si="3"/>
        <v>82824GA0120019</v>
      </c>
      <c r="BL25" s="89" t="str">
        <f t="shared" si="3"/>
        <v>82824GA0120020</v>
      </c>
      <c r="BM25" s="89" t="str">
        <f t="shared" si="3"/>
        <v>82824GA0120022</v>
      </c>
      <c r="BN25" s="89" t="str">
        <f t="shared" si="3"/>
        <v>82824GA0120023</v>
      </c>
      <c r="BO25" s="89" t="str">
        <f t="shared" si="3"/>
        <v>82824GA0120025</v>
      </c>
      <c r="BP25" s="89" t="str">
        <f t="shared" si="3"/>
        <v>82824GA0120026</v>
      </c>
    </row>
    <row r="26" spans="1:68" ht="15" customHeight="1">
      <c r="A26" s="145">
        <f>'Wksh 1 - Market Experience'!E14</f>
        <v>26358820.129999999</v>
      </c>
      <c r="B26" s="140" t="s">
        <v>163</v>
      </c>
      <c r="C26" s="194" t="s">
        <v>86</v>
      </c>
      <c r="D26" s="192">
        <f>SUM(E26:BP26)</f>
        <v>26358820.130000003</v>
      </c>
      <c r="E26" s="181">
        <v>0</v>
      </c>
      <c r="F26" s="181">
        <v>0</v>
      </c>
      <c r="G26" s="181">
        <v>0</v>
      </c>
      <c r="H26" s="181">
        <v>0</v>
      </c>
      <c r="I26" s="181">
        <v>0</v>
      </c>
      <c r="J26" s="181">
        <v>0</v>
      </c>
      <c r="K26" s="181">
        <v>0</v>
      </c>
      <c r="L26" s="181">
        <v>0</v>
      </c>
      <c r="M26" s="181">
        <v>0</v>
      </c>
      <c r="N26" s="181">
        <v>0</v>
      </c>
      <c r="O26" s="181">
        <v>54221.574234610998</v>
      </c>
      <c r="P26" s="181">
        <v>2767320.0180251556</v>
      </c>
      <c r="Q26" s="181">
        <v>59254.500907560716</v>
      </c>
      <c r="R26" s="181">
        <v>123641.78213744696</v>
      </c>
      <c r="S26" s="181">
        <v>1512506.9991477085</v>
      </c>
      <c r="T26" s="181">
        <v>72483.638302499749</v>
      </c>
      <c r="U26" s="181">
        <v>43759.412771824944</v>
      </c>
      <c r="V26" s="181">
        <v>10401382.650792547</v>
      </c>
      <c r="W26" s="181">
        <v>154397.77606335061</v>
      </c>
      <c r="X26" s="181">
        <v>31828.67535679854</v>
      </c>
      <c r="Y26" s="181">
        <v>9546176.8499361072</v>
      </c>
      <c r="Z26" s="181">
        <v>573701.96806406404</v>
      </c>
      <c r="AA26" s="181">
        <v>586015.17283461476</v>
      </c>
      <c r="AB26" s="181">
        <v>10891.860994435854</v>
      </c>
      <c r="AC26" s="181">
        <v>0</v>
      </c>
      <c r="AD26" s="181">
        <v>0</v>
      </c>
      <c r="AE26" s="181">
        <v>0</v>
      </c>
      <c r="AF26" s="181">
        <v>0</v>
      </c>
      <c r="AG26" s="181">
        <v>0</v>
      </c>
      <c r="AH26" s="181">
        <v>0</v>
      </c>
      <c r="AI26" s="181">
        <v>0</v>
      </c>
      <c r="AJ26" s="181">
        <v>0</v>
      </c>
      <c r="AK26" s="181">
        <v>0</v>
      </c>
      <c r="AL26" s="181">
        <v>0</v>
      </c>
      <c r="AM26" s="181">
        <v>0</v>
      </c>
      <c r="AN26" s="181">
        <v>0</v>
      </c>
      <c r="AO26" s="181">
        <v>0</v>
      </c>
      <c r="AP26" s="181">
        <v>0</v>
      </c>
      <c r="AQ26" s="181">
        <v>0</v>
      </c>
      <c r="AR26" s="181">
        <v>0</v>
      </c>
      <c r="AS26" s="181">
        <v>0</v>
      </c>
      <c r="AT26" s="181">
        <v>0</v>
      </c>
      <c r="AU26" s="181">
        <v>5056.1316413369141</v>
      </c>
      <c r="AV26" s="181">
        <v>71420.835482979353</v>
      </c>
      <c r="AW26" s="181">
        <v>60.478046737900286</v>
      </c>
      <c r="AX26" s="181">
        <v>167092.66466450639</v>
      </c>
      <c r="AY26" s="181">
        <v>2966.5743250428313</v>
      </c>
      <c r="AZ26" s="181">
        <v>174067.06709298654</v>
      </c>
      <c r="BA26" s="181">
        <v>211.61584373783094</v>
      </c>
      <c r="BB26" s="181">
        <v>361.8833339517048</v>
      </c>
      <c r="BC26" s="181">
        <v>0</v>
      </c>
      <c r="BD26" s="181">
        <v>0</v>
      </c>
      <c r="BE26" s="181">
        <v>0</v>
      </c>
      <c r="BF26" s="181">
        <v>0</v>
      </c>
      <c r="BG26" s="181">
        <v>0</v>
      </c>
      <c r="BH26" s="181">
        <v>0</v>
      </c>
      <c r="BI26" s="181">
        <v>0</v>
      </c>
      <c r="BJ26" s="181">
        <v>0</v>
      </c>
      <c r="BK26" s="181">
        <v>0</v>
      </c>
      <c r="BL26" s="181">
        <v>0</v>
      </c>
      <c r="BM26" s="181">
        <v>0</v>
      </c>
      <c r="BN26" s="181">
        <v>0</v>
      </c>
      <c r="BO26" s="181">
        <v>0</v>
      </c>
      <c r="BP26" s="181">
        <v>0</v>
      </c>
    </row>
    <row r="27" spans="1:68" ht="15" customHeight="1">
      <c r="A27" s="147">
        <f>'Wksh 1 - Market Experience'!E15</f>
        <v>1157958</v>
      </c>
      <c r="B27" s="140" t="s">
        <v>164</v>
      </c>
      <c r="C27" s="194" t="s">
        <v>87</v>
      </c>
      <c r="D27" s="192">
        <f>SUM(E27:BP27)</f>
        <v>1157958</v>
      </c>
      <c r="E27" s="181">
        <v>0</v>
      </c>
      <c r="F27" s="181">
        <v>0</v>
      </c>
      <c r="G27" s="181">
        <v>0</v>
      </c>
      <c r="H27" s="181">
        <v>0</v>
      </c>
      <c r="I27" s="181">
        <v>0</v>
      </c>
      <c r="J27" s="181">
        <v>0</v>
      </c>
      <c r="K27" s="181">
        <v>0</v>
      </c>
      <c r="L27" s="181">
        <v>0</v>
      </c>
      <c r="M27" s="181">
        <v>0</v>
      </c>
      <c r="N27" s="181">
        <v>0</v>
      </c>
      <c r="O27" s="181">
        <v>2509.8402075435733</v>
      </c>
      <c r="P27" s="181">
        <v>126785.20943262291</v>
      </c>
      <c r="Q27" s="181">
        <v>2621.6492987519923</v>
      </c>
      <c r="R27" s="181">
        <v>6342.2219444431012</v>
      </c>
      <c r="S27" s="181">
        <v>69118.950602835903</v>
      </c>
      <c r="T27" s="181">
        <v>3224.3698693029487</v>
      </c>
      <c r="U27" s="181">
        <v>1781.5774444489155</v>
      </c>
      <c r="V27" s="181">
        <v>433106.6312945438</v>
      </c>
      <c r="W27" s="181">
        <v>5783.6072133037333</v>
      </c>
      <c r="X27" s="181">
        <v>1618.2147353630814</v>
      </c>
      <c r="Y27" s="181">
        <v>433729.82440203079</v>
      </c>
      <c r="Z27" s="181">
        <v>26170.101129174622</v>
      </c>
      <c r="AA27" s="181">
        <v>26840.660312991655</v>
      </c>
      <c r="AB27" s="181">
        <v>432.75456062457005</v>
      </c>
      <c r="AC27" s="181">
        <v>0</v>
      </c>
      <c r="AD27" s="181">
        <v>0</v>
      </c>
      <c r="AE27" s="181">
        <v>0</v>
      </c>
      <c r="AF27" s="181">
        <v>0</v>
      </c>
      <c r="AG27" s="181">
        <v>0</v>
      </c>
      <c r="AH27" s="181">
        <v>0</v>
      </c>
      <c r="AI27" s="181">
        <v>0</v>
      </c>
      <c r="AJ27" s="181">
        <v>0</v>
      </c>
      <c r="AK27" s="181">
        <v>0</v>
      </c>
      <c r="AL27" s="181">
        <v>0</v>
      </c>
      <c r="AM27" s="181">
        <v>0</v>
      </c>
      <c r="AN27" s="181">
        <v>0</v>
      </c>
      <c r="AO27" s="181">
        <v>0</v>
      </c>
      <c r="AP27" s="181">
        <v>0</v>
      </c>
      <c r="AQ27" s="181">
        <v>0</v>
      </c>
      <c r="AR27" s="181">
        <v>0</v>
      </c>
      <c r="AS27" s="181">
        <v>0</v>
      </c>
      <c r="AT27" s="181">
        <v>0</v>
      </c>
      <c r="AU27" s="181">
        <v>207.98205476785543</v>
      </c>
      <c r="AV27" s="181">
        <v>2667.2084247979624</v>
      </c>
      <c r="AW27" s="181">
        <v>1.6913689657675786</v>
      </c>
      <c r="AX27" s="181">
        <v>7264.0944534106811</v>
      </c>
      <c r="AY27" s="181">
        <v>141.66918718454471</v>
      </c>
      <c r="AZ27" s="181">
        <v>7584.9870316721626</v>
      </c>
      <c r="BA27" s="181">
        <v>6.1128911840337796</v>
      </c>
      <c r="BB27" s="181">
        <v>18.642140035616745</v>
      </c>
      <c r="BC27" s="181">
        <v>0</v>
      </c>
      <c r="BD27" s="181">
        <v>0</v>
      </c>
      <c r="BE27" s="181">
        <v>0</v>
      </c>
      <c r="BF27" s="181">
        <v>0</v>
      </c>
      <c r="BG27" s="181">
        <v>0</v>
      </c>
      <c r="BH27" s="181">
        <v>0</v>
      </c>
      <c r="BI27" s="181">
        <v>0</v>
      </c>
      <c r="BJ27" s="181">
        <v>0</v>
      </c>
      <c r="BK27" s="181">
        <v>0</v>
      </c>
      <c r="BL27" s="181">
        <v>0</v>
      </c>
      <c r="BM27" s="181">
        <v>0</v>
      </c>
      <c r="BN27" s="181">
        <v>0</v>
      </c>
      <c r="BO27" s="181">
        <v>0</v>
      </c>
      <c r="BP27" s="181">
        <v>0</v>
      </c>
    </row>
    <row r="28" spans="1:68" ht="15" customHeight="1">
      <c r="A28" s="148"/>
      <c r="B28" s="140" t="s">
        <v>165</v>
      </c>
      <c r="C28" s="141" t="s">
        <v>111</v>
      </c>
      <c r="D28" s="195">
        <f>SUM(E28:BP28)</f>
        <v>5703537.9036942413</v>
      </c>
      <c r="E28" s="181">
        <v>0</v>
      </c>
      <c r="F28" s="181">
        <v>0</v>
      </c>
      <c r="G28" s="181">
        <v>0</v>
      </c>
      <c r="H28" s="181">
        <v>0</v>
      </c>
      <c r="I28" s="181">
        <v>0</v>
      </c>
      <c r="J28" s="181">
        <v>0</v>
      </c>
      <c r="K28" s="181">
        <v>0</v>
      </c>
      <c r="L28" s="181">
        <v>0</v>
      </c>
      <c r="M28" s="181">
        <v>0</v>
      </c>
      <c r="N28" s="181">
        <v>0</v>
      </c>
      <c r="O28" s="181">
        <v>8345.5779214528393</v>
      </c>
      <c r="P28" s="181">
        <v>618711.51719751814</v>
      </c>
      <c r="Q28" s="181">
        <v>27242.659786298453</v>
      </c>
      <c r="R28" s="181">
        <v>1905.5361273230733</v>
      </c>
      <c r="S28" s="181">
        <v>315607.02650247281</v>
      </c>
      <c r="T28" s="181">
        <v>18255.419792578323</v>
      </c>
      <c r="U28" s="181">
        <v>15101.047671724718</v>
      </c>
      <c r="V28" s="181">
        <v>2620967.9061155859</v>
      </c>
      <c r="W28" s="181">
        <v>58021.334955398634</v>
      </c>
      <c r="X28" s="181">
        <v>776.70324791793769</v>
      </c>
      <c r="Y28" s="181">
        <v>1695116.4462754661</v>
      </c>
      <c r="Z28" s="181">
        <v>102145.75715192662</v>
      </c>
      <c r="AA28" s="181">
        <v>86437.794483050777</v>
      </c>
      <c r="AB28" s="181">
        <v>4819.6844284830358</v>
      </c>
      <c r="AC28" s="181">
        <v>0</v>
      </c>
      <c r="AD28" s="181">
        <v>0</v>
      </c>
      <c r="AE28" s="181">
        <v>0</v>
      </c>
      <c r="AF28" s="181">
        <v>0</v>
      </c>
      <c r="AG28" s="181">
        <v>0</v>
      </c>
      <c r="AH28" s="181">
        <v>0</v>
      </c>
      <c r="AI28" s="181">
        <v>0</v>
      </c>
      <c r="AJ28" s="181">
        <v>0</v>
      </c>
      <c r="AK28" s="181">
        <v>0</v>
      </c>
      <c r="AL28" s="181">
        <v>0</v>
      </c>
      <c r="AM28" s="181">
        <v>0</v>
      </c>
      <c r="AN28" s="181">
        <v>0</v>
      </c>
      <c r="AO28" s="181">
        <v>0</v>
      </c>
      <c r="AP28" s="181">
        <v>0</v>
      </c>
      <c r="AQ28" s="181">
        <v>0</v>
      </c>
      <c r="AR28" s="181">
        <v>0</v>
      </c>
      <c r="AS28" s="181">
        <v>0</v>
      </c>
      <c r="AT28" s="181">
        <v>0</v>
      </c>
      <c r="AU28" s="181">
        <v>1854.3859003043126</v>
      </c>
      <c r="AV28" s="181">
        <v>26950.738564125932</v>
      </c>
      <c r="AW28" s="181">
        <v>257.90787238597392</v>
      </c>
      <c r="AX28" s="181">
        <v>58810.12385659857</v>
      </c>
      <c r="AY28" s="181">
        <v>625.61620431358847</v>
      </c>
      <c r="AZ28" s="181">
        <v>41190.825231961273</v>
      </c>
      <c r="BA28" s="181">
        <v>198.54480245113169</v>
      </c>
      <c r="BB28" s="181">
        <v>195.34960490226337</v>
      </c>
      <c r="BC28" s="181">
        <v>0</v>
      </c>
      <c r="BD28" s="181">
        <v>0</v>
      </c>
      <c r="BE28" s="181">
        <v>0</v>
      </c>
      <c r="BF28" s="181">
        <v>0</v>
      </c>
      <c r="BG28" s="181">
        <v>0</v>
      </c>
      <c r="BH28" s="181">
        <v>0</v>
      </c>
      <c r="BI28" s="181">
        <v>0</v>
      </c>
      <c r="BJ28" s="181">
        <v>0</v>
      </c>
      <c r="BK28" s="181">
        <v>0</v>
      </c>
      <c r="BL28" s="181">
        <v>0</v>
      </c>
      <c r="BM28" s="181">
        <v>0</v>
      </c>
      <c r="BN28" s="181">
        <v>0</v>
      </c>
      <c r="BO28" s="181">
        <v>0</v>
      </c>
      <c r="BP28" s="181">
        <v>0</v>
      </c>
    </row>
    <row r="29" spans="1:68" ht="15" customHeight="1">
      <c r="A29" s="148"/>
      <c r="B29" s="140" t="s">
        <v>166</v>
      </c>
      <c r="C29" s="150" t="s">
        <v>112</v>
      </c>
      <c r="D29" s="195">
        <f>SUM(E29:BP29)</f>
        <v>0</v>
      </c>
      <c r="E29" s="181">
        <v>0</v>
      </c>
      <c r="F29" s="181">
        <v>0</v>
      </c>
      <c r="G29" s="181">
        <v>0</v>
      </c>
      <c r="H29" s="181">
        <v>0</v>
      </c>
      <c r="I29" s="181">
        <v>0</v>
      </c>
      <c r="J29" s="181">
        <v>0</v>
      </c>
      <c r="K29" s="181">
        <v>0</v>
      </c>
      <c r="L29" s="181">
        <v>0</v>
      </c>
      <c r="M29" s="181">
        <v>0</v>
      </c>
      <c r="N29" s="181">
        <v>0</v>
      </c>
      <c r="O29" s="181">
        <v>0</v>
      </c>
      <c r="P29" s="181">
        <v>0</v>
      </c>
      <c r="Q29" s="181">
        <v>0</v>
      </c>
      <c r="R29" s="181">
        <v>0</v>
      </c>
      <c r="S29" s="181">
        <v>0</v>
      </c>
      <c r="T29" s="181">
        <v>0</v>
      </c>
      <c r="U29" s="181">
        <v>0</v>
      </c>
      <c r="V29" s="181">
        <v>0</v>
      </c>
      <c r="W29" s="181">
        <v>0</v>
      </c>
      <c r="X29" s="181">
        <v>0</v>
      </c>
      <c r="Y29" s="181">
        <v>0</v>
      </c>
      <c r="Z29" s="181">
        <v>0</v>
      </c>
      <c r="AA29" s="181">
        <v>0</v>
      </c>
      <c r="AB29" s="181">
        <v>0</v>
      </c>
      <c r="AC29" s="181">
        <v>0</v>
      </c>
      <c r="AD29" s="181">
        <v>0</v>
      </c>
      <c r="AE29" s="181">
        <v>0</v>
      </c>
      <c r="AF29" s="181">
        <v>0</v>
      </c>
      <c r="AG29" s="181">
        <v>0</v>
      </c>
      <c r="AH29" s="181">
        <v>0</v>
      </c>
      <c r="AI29" s="181">
        <v>0</v>
      </c>
      <c r="AJ29" s="181">
        <v>0</v>
      </c>
      <c r="AK29" s="181">
        <v>0</v>
      </c>
      <c r="AL29" s="181">
        <v>0</v>
      </c>
      <c r="AM29" s="181">
        <v>0</v>
      </c>
      <c r="AN29" s="181">
        <v>0</v>
      </c>
      <c r="AO29" s="181">
        <v>0</v>
      </c>
      <c r="AP29" s="181">
        <v>0</v>
      </c>
      <c r="AQ29" s="181">
        <v>0</v>
      </c>
      <c r="AR29" s="181">
        <v>0</v>
      </c>
      <c r="AS29" s="181">
        <v>0</v>
      </c>
      <c r="AT29" s="181">
        <v>0</v>
      </c>
      <c r="AU29" s="181">
        <v>0</v>
      </c>
      <c r="AV29" s="181">
        <v>0</v>
      </c>
      <c r="AW29" s="181">
        <v>0</v>
      </c>
      <c r="AX29" s="181">
        <v>0</v>
      </c>
      <c r="AY29" s="181">
        <v>0</v>
      </c>
      <c r="AZ29" s="181">
        <v>0</v>
      </c>
      <c r="BA29" s="181">
        <v>0</v>
      </c>
      <c r="BB29" s="181">
        <v>0</v>
      </c>
      <c r="BC29" s="181">
        <v>0</v>
      </c>
      <c r="BD29" s="181">
        <v>0</v>
      </c>
      <c r="BE29" s="181">
        <v>0</v>
      </c>
      <c r="BF29" s="181">
        <v>0</v>
      </c>
      <c r="BG29" s="181">
        <v>0</v>
      </c>
      <c r="BH29" s="181">
        <v>0</v>
      </c>
      <c r="BI29" s="181">
        <v>0</v>
      </c>
      <c r="BJ29" s="181">
        <v>0</v>
      </c>
      <c r="BK29" s="181">
        <v>0</v>
      </c>
      <c r="BL29" s="181">
        <v>0</v>
      </c>
      <c r="BM29" s="181">
        <v>0</v>
      </c>
      <c r="BN29" s="181">
        <v>0</v>
      </c>
      <c r="BO29" s="181">
        <v>0</v>
      </c>
      <c r="BP29" s="181">
        <v>0</v>
      </c>
    </row>
    <row r="30" spans="1:68" ht="15" customHeight="1">
      <c r="A30" s="147">
        <f>'Wksh 1 - Market Experience'!E16</f>
        <v>19497389.34</v>
      </c>
      <c r="B30" s="140" t="s">
        <v>167</v>
      </c>
      <c r="C30" s="141" t="s">
        <v>113</v>
      </c>
      <c r="D30" s="195">
        <f>D26-D27-D28-D29</f>
        <v>19497324.22630576</v>
      </c>
      <c r="E30" s="211">
        <f t="shared" ref="E30:J30" si="4">E26-E27-E28-E29</f>
        <v>0</v>
      </c>
      <c r="F30" s="211">
        <f t="shared" si="4"/>
        <v>0</v>
      </c>
      <c r="G30" s="211">
        <f t="shared" si="4"/>
        <v>0</v>
      </c>
      <c r="H30" s="211">
        <f t="shared" si="4"/>
        <v>0</v>
      </c>
      <c r="I30" s="211">
        <f t="shared" si="4"/>
        <v>0</v>
      </c>
      <c r="J30" s="211">
        <f t="shared" si="4"/>
        <v>0</v>
      </c>
      <c r="K30" s="211">
        <f t="shared" ref="K30:BA30" si="5">K26-K27-K28-K29</f>
        <v>0</v>
      </c>
      <c r="L30" s="211">
        <f t="shared" si="5"/>
        <v>0</v>
      </c>
      <c r="M30" s="211">
        <f t="shared" si="5"/>
        <v>0</v>
      </c>
      <c r="N30" s="211">
        <f t="shared" si="5"/>
        <v>0</v>
      </c>
      <c r="O30" s="211">
        <f t="shared" si="5"/>
        <v>43366.156105614587</v>
      </c>
      <c r="P30" s="211">
        <f t="shared" si="5"/>
        <v>2021823.2913950146</v>
      </c>
      <c r="Q30" s="211">
        <f t="shared" si="5"/>
        <v>29390.191822510267</v>
      </c>
      <c r="R30" s="211">
        <f t="shared" si="5"/>
        <v>115394.0240656808</v>
      </c>
      <c r="S30" s="211">
        <f t="shared" si="5"/>
        <v>1127781.0220423997</v>
      </c>
      <c r="T30" s="211">
        <f t="shared" si="5"/>
        <v>51003.848640618482</v>
      </c>
      <c r="U30" s="211">
        <f t="shared" si="5"/>
        <v>26876.787655651311</v>
      </c>
      <c r="V30" s="211">
        <f t="shared" si="5"/>
        <v>7347308.1133824177</v>
      </c>
      <c r="W30" s="211">
        <f t="shared" si="5"/>
        <v>90592.83389464824</v>
      </c>
      <c r="X30" s="211">
        <f t="shared" ref="X30:AJ30" si="6">X26-X27-X28-X29</f>
        <v>29433.757373517521</v>
      </c>
      <c r="Y30" s="211">
        <f t="shared" si="6"/>
        <v>7417330.5792586105</v>
      </c>
      <c r="Z30" s="211">
        <f t="shared" si="6"/>
        <v>445386.10978296283</v>
      </c>
      <c r="AA30" s="211">
        <f t="shared" si="6"/>
        <v>472736.71803857229</v>
      </c>
      <c r="AB30" s="211">
        <f t="shared" si="6"/>
        <v>5639.4220053282488</v>
      </c>
      <c r="AC30" s="211">
        <f t="shared" si="6"/>
        <v>0</v>
      </c>
      <c r="AD30" s="211">
        <f t="shared" si="6"/>
        <v>0</v>
      </c>
      <c r="AE30" s="211">
        <f t="shared" si="6"/>
        <v>0</v>
      </c>
      <c r="AF30" s="211">
        <f t="shared" si="6"/>
        <v>0</v>
      </c>
      <c r="AG30" s="211">
        <f t="shared" si="6"/>
        <v>0</v>
      </c>
      <c r="AH30" s="211">
        <f t="shared" si="6"/>
        <v>0</v>
      </c>
      <c r="AI30" s="211">
        <f t="shared" si="6"/>
        <v>0</v>
      </c>
      <c r="AJ30" s="211">
        <f t="shared" si="6"/>
        <v>0</v>
      </c>
      <c r="AK30" s="211">
        <f t="shared" si="5"/>
        <v>0</v>
      </c>
      <c r="AL30" s="211">
        <f t="shared" si="5"/>
        <v>0</v>
      </c>
      <c r="AM30" s="211">
        <f t="shared" si="5"/>
        <v>0</v>
      </c>
      <c r="AN30" s="211">
        <f t="shared" si="5"/>
        <v>0</v>
      </c>
      <c r="AO30" s="211">
        <f t="shared" si="5"/>
        <v>0</v>
      </c>
      <c r="AP30" s="211">
        <f t="shared" si="5"/>
        <v>0</v>
      </c>
      <c r="AQ30" s="211">
        <f t="shared" si="5"/>
        <v>0</v>
      </c>
      <c r="AR30" s="211">
        <f t="shared" si="5"/>
        <v>0</v>
      </c>
      <c r="AS30" s="211">
        <f t="shared" si="5"/>
        <v>0</v>
      </c>
      <c r="AT30" s="211">
        <f t="shared" si="5"/>
        <v>0</v>
      </c>
      <c r="AU30" s="211">
        <f t="shared" si="5"/>
        <v>2993.763686264746</v>
      </c>
      <c r="AV30" s="211">
        <f t="shared" si="5"/>
        <v>41802.888494055456</v>
      </c>
      <c r="AW30" s="211">
        <f t="shared" si="5"/>
        <v>-199.12119461384123</v>
      </c>
      <c r="AX30" s="211">
        <f t="shared" si="5"/>
        <v>101018.44635449714</v>
      </c>
      <c r="AY30" s="211">
        <f t="shared" si="5"/>
        <v>2199.288933544698</v>
      </c>
      <c r="AZ30" s="211">
        <f t="shared" si="5"/>
        <v>125291.25482935313</v>
      </c>
      <c r="BA30" s="211">
        <f t="shared" si="5"/>
        <v>6.9581501026654848</v>
      </c>
      <c r="BB30" s="211">
        <f t="shared" ref="BB30:BP30" si="7">BB26-BB27-BB28-BB29</f>
        <v>147.89158901382467</v>
      </c>
      <c r="BC30" s="211">
        <f t="shared" si="7"/>
        <v>0</v>
      </c>
      <c r="BD30" s="211">
        <f t="shared" si="7"/>
        <v>0</v>
      </c>
      <c r="BE30" s="211">
        <f t="shared" si="7"/>
        <v>0</v>
      </c>
      <c r="BF30" s="211">
        <f t="shared" si="7"/>
        <v>0</v>
      </c>
      <c r="BG30" s="211">
        <f t="shared" si="7"/>
        <v>0</v>
      </c>
      <c r="BH30" s="211">
        <f t="shared" si="7"/>
        <v>0</v>
      </c>
      <c r="BI30" s="211">
        <f t="shared" si="7"/>
        <v>0</v>
      </c>
      <c r="BJ30" s="211">
        <f t="shared" si="7"/>
        <v>0</v>
      </c>
      <c r="BK30" s="211">
        <f t="shared" si="7"/>
        <v>0</v>
      </c>
      <c r="BL30" s="211">
        <f t="shared" si="7"/>
        <v>0</v>
      </c>
      <c r="BM30" s="211">
        <f t="shared" si="7"/>
        <v>0</v>
      </c>
      <c r="BN30" s="211">
        <f t="shared" si="7"/>
        <v>0</v>
      </c>
      <c r="BO30" s="211">
        <f t="shared" si="7"/>
        <v>0</v>
      </c>
      <c r="BP30" s="211">
        <f t="shared" si="7"/>
        <v>0</v>
      </c>
    </row>
    <row r="31" spans="1:68" ht="15" customHeight="1">
      <c r="A31" s="147">
        <f>'Wksh 1 - Market Experience'!E17</f>
        <v>-1886495.08</v>
      </c>
      <c r="B31" s="140" t="s">
        <v>168</v>
      </c>
      <c r="C31" s="150" t="s">
        <v>114</v>
      </c>
      <c r="D31" s="195">
        <f>SUM(E31:BP31)</f>
        <v>-1886495.0789540692</v>
      </c>
      <c r="E31" s="181">
        <v>-557.85292577152882</v>
      </c>
      <c r="F31" s="181">
        <v>0</v>
      </c>
      <c r="G31" s="181">
        <v>0</v>
      </c>
      <c r="H31" s="181">
        <v>0</v>
      </c>
      <c r="I31" s="181">
        <v>0</v>
      </c>
      <c r="J31" s="181">
        <v>0</v>
      </c>
      <c r="K31" s="181">
        <v>0</v>
      </c>
      <c r="L31" s="181">
        <v>0</v>
      </c>
      <c r="M31" s="181">
        <v>0</v>
      </c>
      <c r="N31" s="181">
        <v>0</v>
      </c>
      <c r="O31" s="181">
        <v>2963.106125345033</v>
      </c>
      <c r="P31" s="181">
        <v>-2067753.3133473378</v>
      </c>
      <c r="Q31" s="181">
        <v>-232404.50468116687</v>
      </c>
      <c r="R31" s="181">
        <v>28922.561544253942</v>
      </c>
      <c r="S31" s="181">
        <v>-685197.37751408096</v>
      </c>
      <c r="T31" s="181">
        <v>-83502.154040246489</v>
      </c>
      <c r="U31" s="181">
        <v>-12033.649099181015</v>
      </c>
      <c r="V31" s="181">
        <v>20121.51080525928</v>
      </c>
      <c r="W31" s="181">
        <v>-48602.188804814206</v>
      </c>
      <c r="X31" s="181">
        <v>34054.859844418206</v>
      </c>
      <c r="Y31" s="181">
        <v>309913.51932081033</v>
      </c>
      <c r="Z31" s="181">
        <v>150704.88546591805</v>
      </c>
      <c r="AA31" s="181">
        <v>784821.2166461196</v>
      </c>
      <c r="AB31" s="181">
        <v>2831.7050378816784</v>
      </c>
      <c r="AC31" s="181">
        <v>0</v>
      </c>
      <c r="AD31" s="181">
        <v>0</v>
      </c>
      <c r="AE31" s="181">
        <v>0</v>
      </c>
      <c r="AF31" s="181">
        <v>0</v>
      </c>
      <c r="AG31" s="181">
        <v>0</v>
      </c>
      <c r="AH31" s="181">
        <v>0</v>
      </c>
      <c r="AI31" s="181">
        <v>0</v>
      </c>
      <c r="AJ31" s="181">
        <v>0</v>
      </c>
      <c r="AK31" s="181">
        <v>0</v>
      </c>
      <c r="AL31" s="181">
        <v>0</v>
      </c>
      <c r="AM31" s="181">
        <v>0</v>
      </c>
      <c r="AN31" s="181">
        <v>0</v>
      </c>
      <c r="AO31" s="181">
        <v>0</v>
      </c>
      <c r="AP31" s="181">
        <v>0</v>
      </c>
      <c r="AQ31" s="181">
        <v>0</v>
      </c>
      <c r="AR31" s="181">
        <v>0</v>
      </c>
      <c r="AS31" s="181">
        <v>0</v>
      </c>
      <c r="AT31" s="181">
        <v>0</v>
      </c>
      <c r="AU31" s="181">
        <v>-25643.26489678233</v>
      </c>
      <c r="AV31" s="181">
        <v>14229.830534977458</v>
      </c>
      <c r="AW31" s="181">
        <v>-2221.1896269212157</v>
      </c>
      <c r="AX31" s="181">
        <v>-364257.41029493633</v>
      </c>
      <c r="AY31" s="181">
        <v>-9330.6595258506313</v>
      </c>
      <c r="AZ31" s="181">
        <v>299252.78049179731</v>
      </c>
      <c r="BA31" s="181">
        <v>-1017.2418012025956</v>
      </c>
      <c r="BB31" s="181">
        <v>-1790.2482125582465</v>
      </c>
      <c r="BC31" s="181">
        <v>0</v>
      </c>
      <c r="BD31" s="181">
        <v>0</v>
      </c>
      <c r="BE31" s="181">
        <v>0</v>
      </c>
      <c r="BF31" s="181">
        <v>0</v>
      </c>
      <c r="BG31" s="181">
        <v>0</v>
      </c>
      <c r="BH31" s="181">
        <v>0</v>
      </c>
      <c r="BI31" s="181">
        <v>0</v>
      </c>
      <c r="BJ31" s="181">
        <v>0</v>
      </c>
      <c r="BK31" s="181">
        <v>0</v>
      </c>
      <c r="BL31" s="181">
        <v>0</v>
      </c>
      <c r="BM31" s="181">
        <v>0</v>
      </c>
      <c r="BN31" s="181">
        <v>0</v>
      </c>
      <c r="BO31" s="181">
        <v>0</v>
      </c>
      <c r="BP31" s="181">
        <v>0</v>
      </c>
    </row>
    <row r="32" spans="1:68" ht="15" customHeight="1">
      <c r="A32" s="147">
        <f>'Wksh 1 - Market Experience'!E18</f>
        <v>24362983.530000001</v>
      </c>
      <c r="B32" s="140" t="s">
        <v>169</v>
      </c>
      <c r="C32" s="150" t="s">
        <v>115</v>
      </c>
      <c r="D32" s="195">
        <f>SUM(E32:BP32)</f>
        <v>24362983.530000146</v>
      </c>
      <c r="E32" s="181">
        <v>966.7</v>
      </c>
      <c r="F32" s="181">
        <v>0</v>
      </c>
      <c r="G32" s="181">
        <v>0</v>
      </c>
      <c r="H32" s="181">
        <v>0</v>
      </c>
      <c r="I32" s="181">
        <v>0</v>
      </c>
      <c r="J32" s="181">
        <v>0</v>
      </c>
      <c r="K32" s="181">
        <v>0</v>
      </c>
      <c r="L32" s="181">
        <v>0</v>
      </c>
      <c r="M32" s="181">
        <v>0</v>
      </c>
      <c r="N32" s="181">
        <v>0</v>
      </c>
      <c r="O32" s="181">
        <v>29842.53</v>
      </c>
      <c r="P32" s="181">
        <v>4046036.8600000502</v>
      </c>
      <c r="Q32" s="181">
        <v>249526.34</v>
      </c>
      <c r="R32" s="181">
        <v>20088.080000000002</v>
      </c>
      <c r="S32" s="181">
        <v>1958245.46000001</v>
      </c>
      <c r="T32" s="181">
        <v>115989.03</v>
      </c>
      <c r="U32" s="181">
        <v>69766.53</v>
      </c>
      <c r="V32" s="181">
        <v>7749469.0700001195</v>
      </c>
      <c r="W32" s="181">
        <v>260920.06</v>
      </c>
      <c r="X32" s="181">
        <v>4334.8499999999995</v>
      </c>
      <c r="Y32" s="181">
        <v>8364484.1199999703</v>
      </c>
      <c r="Z32" s="181">
        <v>503657.59</v>
      </c>
      <c r="AA32" s="181">
        <v>350602.46999999986</v>
      </c>
      <c r="AB32" s="181">
        <v>28686.33</v>
      </c>
      <c r="AC32" s="181">
        <v>0</v>
      </c>
      <c r="AD32" s="181">
        <v>0</v>
      </c>
      <c r="AE32" s="181">
        <v>0</v>
      </c>
      <c r="AF32" s="181">
        <v>0</v>
      </c>
      <c r="AG32" s="181">
        <v>0</v>
      </c>
      <c r="AH32" s="181">
        <v>0</v>
      </c>
      <c r="AI32" s="181">
        <v>0</v>
      </c>
      <c r="AJ32" s="181">
        <v>0</v>
      </c>
      <c r="AK32" s="181">
        <v>0</v>
      </c>
      <c r="AL32" s="181">
        <v>0</v>
      </c>
      <c r="AM32" s="181">
        <v>0</v>
      </c>
      <c r="AN32" s="181">
        <v>0</v>
      </c>
      <c r="AO32" s="181">
        <v>0</v>
      </c>
      <c r="AP32" s="181">
        <v>0</v>
      </c>
      <c r="AQ32" s="181">
        <v>0</v>
      </c>
      <c r="AR32" s="181">
        <v>0</v>
      </c>
      <c r="AS32" s="181">
        <v>0</v>
      </c>
      <c r="AT32" s="181">
        <v>0</v>
      </c>
      <c r="AU32" s="181">
        <v>19160.990000000002</v>
      </c>
      <c r="AV32" s="181">
        <v>65363.5799999999</v>
      </c>
      <c r="AW32" s="181">
        <v>1903.58</v>
      </c>
      <c r="AX32" s="181">
        <v>331184.08000000101</v>
      </c>
      <c r="AY32" s="181">
        <v>8119.92</v>
      </c>
      <c r="AZ32" s="181">
        <v>182041.16</v>
      </c>
      <c r="BA32" s="181">
        <v>925.96</v>
      </c>
      <c r="BB32" s="181">
        <v>1668.24</v>
      </c>
      <c r="BC32" s="181">
        <v>0</v>
      </c>
      <c r="BD32" s="181">
        <v>0</v>
      </c>
      <c r="BE32" s="181">
        <v>0</v>
      </c>
      <c r="BF32" s="181">
        <v>0</v>
      </c>
      <c r="BG32" s="181">
        <v>0</v>
      </c>
      <c r="BH32" s="181">
        <v>0</v>
      </c>
      <c r="BI32" s="181">
        <v>0</v>
      </c>
      <c r="BJ32" s="181">
        <v>0</v>
      </c>
      <c r="BK32" s="181">
        <v>0</v>
      </c>
      <c r="BL32" s="181">
        <v>0</v>
      </c>
      <c r="BM32" s="181">
        <v>0</v>
      </c>
      <c r="BN32" s="181">
        <v>0</v>
      </c>
      <c r="BO32" s="181">
        <v>0</v>
      </c>
      <c r="BP32" s="181">
        <v>0</v>
      </c>
    </row>
    <row r="33" spans="1:72" ht="15" customHeight="1">
      <c r="A33" s="151">
        <f>'Wksh 1 - Market Experience'!E19</f>
        <v>45845</v>
      </c>
      <c r="B33" s="140" t="s">
        <v>170</v>
      </c>
      <c r="C33" s="150" t="s">
        <v>22</v>
      </c>
      <c r="D33" s="196">
        <f>SUM(E33:BP33)</f>
        <v>45845</v>
      </c>
      <c r="E33" s="212">
        <v>2</v>
      </c>
      <c r="F33" s="212">
        <v>0</v>
      </c>
      <c r="G33" s="212">
        <v>0</v>
      </c>
      <c r="H33" s="212">
        <v>0</v>
      </c>
      <c r="I33" s="212">
        <v>0</v>
      </c>
      <c r="J33" s="212">
        <v>0</v>
      </c>
      <c r="K33" s="212">
        <v>0</v>
      </c>
      <c r="L33" s="212">
        <v>0</v>
      </c>
      <c r="M33" s="212">
        <v>0</v>
      </c>
      <c r="N33" s="212">
        <v>0</v>
      </c>
      <c r="O33" s="212">
        <v>73</v>
      </c>
      <c r="P33" s="212">
        <v>8799</v>
      </c>
      <c r="Q33" s="212">
        <v>558</v>
      </c>
      <c r="R33" s="212">
        <v>41</v>
      </c>
      <c r="S33" s="212">
        <v>4002</v>
      </c>
      <c r="T33" s="212">
        <v>231</v>
      </c>
      <c r="U33" s="212">
        <v>158</v>
      </c>
      <c r="V33" s="212">
        <v>14044</v>
      </c>
      <c r="W33" s="212">
        <v>378</v>
      </c>
      <c r="X33" s="212">
        <v>10</v>
      </c>
      <c r="Y33" s="212">
        <v>14515</v>
      </c>
      <c r="Z33" s="212">
        <v>948</v>
      </c>
      <c r="AA33" s="212">
        <v>489</v>
      </c>
      <c r="AB33" s="212">
        <v>65</v>
      </c>
      <c r="AC33" s="212">
        <v>0</v>
      </c>
      <c r="AD33" s="212">
        <v>0</v>
      </c>
      <c r="AE33" s="212">
        <v>0</v>
      </c>
      <c r="AF33" s="212">
        <v>0</v>
      </c>
      <c r="AG33" s="212">
        <v>0</v>
      </c>
      <c r="AH33" s="212">
        <v>0</v>
      </c>
      <c r="AI33" s="212">
        <v>0</v>
      </c>
      <c r="AJ33" s="212">
        <v>0</v>
      </c>
      <c r="AK33" s="212">
        <v>0</v>
      </c>
      <c r="AL33" s="212">
        <v>0</v>
      </c>
      <c r="AM33" s="212">
        <v>0</v>
      </c>
      <c r="AN33" s="212">
        <v>0</v>
      </c>
      <c r="AO33" s="212">
        <v>0</v>
      </c>
      <c r="AP33" s="212">
        <v>0</v>
      </c>
      <c r="AQ33" s="212">
        <v>0</v>
      </c>
      <c r="AR33" s="212">
        <v>0</v>
      </c>
      <c r="AS33" s="212">
        <v>0</v>
      </c>
      <c r="AT33" s="212">
        <v>0</v>
      </c>
      <c r="AU33" s="212">
        <v>23</v>
      </c>
      <c r="AV33" s="212">
        <v>173</v>
      </c>
      <c r="AW33" s="212">
        <v>7</v>
      </c>
      <c r="AX33" s="212">
        <v>937</v>
      </c>
      <c r="AY33" s="212">
        <v>12</v>
      </c>
      <c r="AZ33" s="212">
        <v>371</v>
      </c>
      <c r="BA33" s="212">
        <v>3</v>
      </c>
      <c r="BB33" s="212">
        <v>6</v>
      </c>
      <c r="BC33" s="212">
        <v>0</v>
      </c>
      <c r="BD33" s="212">
        <v>0</v>
      </c>
      <c r="BE33" s="212">
        <v>0</v>
      </c>
      <c r="BF33" s="212">
        <v>0</v>
      </c>
      <c r="BG33" s="212">
        <v>0</v>
      </c>
      <c r="BH33" s="212">
        <v>0</v>
      </c>
      <c r="BI33" s="212">
        <v>0</v>
      </c>
      <c r="BJ33" s="212">
        <v>0</v>
      </c>
      <c r="BK33" s="212">
        <v>0</v>
      </c>
      <c r="BL33" s="212">
        <v>0</v>
      </c>
      <c r="BM33" s="212">
        <v>0</v>
      </c>
      <c r="BN33" s="212">
        <v>0</v>
      </c>
      <c r="BO33" s="212">
        <v>0</v>
      </c>
      <c r="BP33" s="212">
        <v>0</v>
      </c>
    </row>
    <row r="34" spans="1:72" ht="15" customHeight="1">
      <c r="A34" s="148"/>
      <c r="B34" s="140" t="s">
        <v>171</v>
      </c>
      <c r="C34" s="150" t="s">
        <v>116</v>
      </c>
      <c r="D34" s="196">
        <f>SUM(E34:BP34)</f>
        <v>28669</v>
      </c>
      <c r="E34" s="212">
        <v>58</v>
      </c>
      <c r="F34" s="212">
        <v>283</v>
      </c>
      <c r="G34" s="212">
        <v>2</v>
      </c>
      <c r="H34" s="212">
        <v>4</v>
      </c>
      <c r="I34" s="212">
        <v>3877</v>
      </c>
      <c r="J34" s="212">
        <v>0</v>
      </c>
      <c r="K34" s="212">
        <v>0</v>
      </c>
      <c r="L34" s="212">
        <v>0</v>
      </c>
      <c r="M34" s="212">
        <v>0</v>
      </c>
      <c r="N34" s="212">
        <v>0</v>
      </c>
      <c r="O34" s="212">
        <v>0</v>
      </c>
      <c r="P34" s="212">
        <v>0</v>
      </c>
      <c r="Q34" s="212">
        <v>0</v>
      </c>
      <c r="R34" s="212">
        <v>0</v>
      </c>
      <c r="S34" s="212">
        <v>0</v>
      </c>
      <c r="T34" s="212">
        <v>0</v>
      </c>
      <c r="U34" s="212">
        <v>19</v>
      </c>
      <c r="V34" s="212">
        <v>1905</v>
      </c>
      <c r="W34" s="212">
        <v>100</v>
      </c>
      <c r="X34" s="212">
        <v>966</v>
      </c>
      <c r="Y34" s="212">
        <v>2335</v>
      </c>
      <c r="Z34" s="212">
        <v>574</v>
      </c>
      <c r="AA34" s="212">
        <v>613</v>
      </c>
      <c r="AB34" s="212">
        <v>128</v>
      </c>
      <c r="AC34" s="212">
        <v>4464</v>
      </c>
      <c r="AD34" s="212">
        <v>781</v>
      </c>
      <c r="AE34" s="212">
        <v>388</v>
      </c>
      <c r="AF34" s="212">
        <v>41</v>
      </c>
      <c r="AG34" s="212">
        <v>361</v>
      </c>
      <c r="AH34" s="212">
        <v>51</v>
      </c>
      <c r="AI34" s="212">
        <v>7553</v>
      </c>
      <c r="AJ34" s="212">
        <v>3906</v>
      </c>
      <c r="AK34" s="212">
        <v>0</v>
      </c>
      <c r="AL34" s="212">
        <v>0</v>
      </c>
      <c r="AM34" s="212">
        <v>0</v>
      </c>
      <c r="AN34" s="212">
        <v>0</v>
      </c>
      <c r="AO34" s="212">
        <v>0</v>
      </c>
      <c r="AP34" s="212">
        <v>0</v>
      </c>
      <c r="AQ34" s="212">
        <v>0</v>
      </c>
      <c r="AR34" s="212">
        <v>0</v>
      </c>
      <c r="AS34" s="212">
        <v>0</v>
      </c>
      <c r="AT34" s="212">
        <v>0</v>
      </c>
      <c r="AU34" s="212">
        <v>5</v>
      </c>
      <c r="AV34" s="212">
        <v>24</v>
      </c>
      <c r="AW34" s="212">
        <v>6</v>
      </c>
      <c r="AX34" s="212">
        <v>160</v>
      </c>
      <c r="AY34" s="212">
        <v>2</v>
      </c>
      <c r="AZ34" s="212">
        <v>50</v>
      </c>
      <c r="BA34" s="212">
        <v>0</v>
      </c>
      <c r="BB34" s="212">
        <v>0</v>
      </c>
      <c r="BC34" s="212">
        <v>0</v>
      </c>
      <c r="BD34" s="212">
        <v>0</v>
      </c>
      <c r="BE34" s="212">
        <v>0</v>
      </c>
      <c r="BF34" s="212">
        <v>0</v>
      </c>
      <c r="BG34" s="212">
        <v>0</v>
      </c>
      <c r="BH34" s="212">
        <v>0</v>
      </c>
      <c r="BI34" s="212">
        <v>0</v>
      </c>
      <c r="BJ34" s="212">
        <v>1</v>
      </c>
      <c r="BK34" s="212">
        <v>0</v>
      </c>
      <c r="BL34" s="212">
        <v>8</v>
      </c>
      <c r="BM34" s="212">
        <v>0</v>
      </c>
      <c r="BN34" s="212">
        <v>4</v>
      </c>
      <c r="BO34" s="212">
        <v>0</v>
      </c>
      <c r="BP34" s="212">
        <v>0</v>
      </c>
      <c r="BR34" s="5"/>
      <c r="BS34" s="5"/>
    </row>
    <row r="35" spans="1:72" ht="15" customHeight="1">
      <c r="A35" s="143"/>
      <c r="B35" s="142" t="s">
        <v>172</v>
      </c>
      <c r="C35" s="133" t="s">
        <v>117</v>
      </c>
      <c r="D35" s="197">
        <f>SUMPRODUCT(E35:BP35,E34:BP34)/D34</f>
        <v>545.89542816282403</v>
      </c>
      <c r="E35" s="181">
        <v>482.24862068965513</v>
      </c>
      <c r="F35" s="181">
        <v>448.32392226148409</v>
      </c>
      <c r="G35" s="181">
        <v>510.64</v>
      </c>
      <c r="H35" s="181">
        <v>545.21749999999997</v>
      </c>
      <c r="I35" s="181">
        <v>487.58959246840345</v>
      </c>
      <c r="J35" s="181">
        <v>0</v>
      </c>
      <c r="K35" s="181">
        <v>0</v>
      </c>
      <c r="L35" s="181">
        <v>0</v>
      </c>
      <c r="M35" s="181">
        <v>0</v>
      </c>
      <c r="N35" s="181">
        <v>0</v>
      </c>
      <c r="O35" s="181">
        <v>0</v>
      </c>
      <c r="P35" s="181">
        <v>0</v>
      </c>
      <c r="Q35" s="181">
        <v>0</v>
      </c>
      <c r="R35" s="181">
        <v>0</v>
      </c>
      <c r="S35" s="181">
        <v>0</v>
      </c>
      <c r="T35" s="181">
        <v>0</v>
      </c>
      <c r="U35" s="181">
        <v>564.56105263157895</v>
      </c>
      <c r="V35" s="181">
        <v>597.51058792650917</v>
      </c>
      <c r="W35" s="181">
        <v>648.79820000000007</v>
      </c>
      <c r="X35" s="181">
        <v>508.85285714285715</v>
      </c>
      <c r="Y35" s="181">
        <v>584.01163169164886</v>
      </c>
      <c r="Z35" s="181">
        <v>550.87818815331013</v>
      </c>
      <c r="AA35" s="181">
        <v>567.62119086460041</v>
      </c>
      <c r="AB35" s="181">
        <v>565.73312499999997</v>
      </c>
      <c r="AC35" s="182">
        <v>498.00610663082443</v>
      </c>
      <c r="AD35" s="182">
        <v>485.01371318822021</v>
      </c>
      <c r="AE35" s="182">
        <v>617.96041237113411</v>
      </c>
      <c r="AF35" s="182">
        <v>642.7509756097561</v>
      </c>
      <c r="AG35" s="182">
        <v>578.6019944598338</v>
      </c>
      <c r="AH35" s="182">
        <v>561.81274509803927</v>
      </c>
      <c r="AI35" s="182">
        <v>590.42810274063288</v>
      </c>
      <c r="AJ35" s="182">
        <v>540.78666666666675</v>
      </c>
      <c r="AK35" s="181">
        <v>0</v>
      </c>
      <c r="AL35" s="181">
        <v>0</v>
      </c>
      <c r="AM35" s="181">
        <v>0</v>
      </c>
      <c r="AN35" s="181">
        <v>0</v>
      </c>
      <c r="AO35" s="181">
        <v>0</v>
      </c>
      <c r="AP35" s="181">
        <v>0</v>
      </c>
      <c r="AQ35" s="181">
        <v>0</v>
      </c>
      <c r="AR35" s="181">
        <v>0</v>
      </c>
      <c r="AS35" s="181">
        <v>0</v>
      </c>
      <c r="AT35" s="181">
        <v>0</v>
      </c>
      <c r="AU35" s="181">
        <v>495.04599999999999</v>
      </c>
      <c r="AV35" s="181">
        <v>391.66291666666666</v>
      </c>
      <c r="AW35" s="181">
        <v>514.48500000000001</v>
      </c>
      <c r="AX35" s="181">
        <v>442.8621875</v>
      </c>
      <c r="AY35" s="181">
        <v>420.66</v>
      </c>
      <c r="AZ35" s="181">
        <v>525.55600000000004</v>
      </c>
      <c r="BA35" s="181">
        <v>0</v>
      </c>
      <c r="BB35" s="181">
        <v>0</v>
      </c>
      <c r="BC35" s="181">
        <v>0</v>
      </c>
      <c r="BD35" s="182">
        <v>0</v>
      </c>
      <c r="BE35" s="182">
        <v>0</v>
      </c>
      <c r="BF35" s="182">
        <v>0</v>
      </c>
      <c r="BG35" s="182">
        <v>0</v>
      </c>
      <c r="BH35" s="182">
        <v>0</v>
      </c>
      <c r="BI35" s="182">
        <v>0</v>
      </c>
      <c r="BJ35" s="182">
        <v>430.61</v>
      </c>
      <c r="BK35" s="182">
        <v>0</v>
      </c>
      <c r="BL35" s="182">
        <v>432.565</v>
      </c>
      <c r="BM35" s="182">
        <v>0</v>
      </c>
      <c r="BN35" s="182">
        <v>499.86500000000001</v>
      </c>
      <c r="BO35" s="182">
        <v>0</v>
      </c>
      <c r="BP35" s="182">
        <v>0</v>
      </c>
      <c r="BR35" s="5"/>
      <c r="BS35" s="20"/>
    </row>
    <row r="36" spans="1:72" ht="15" customHeight="1">
      <c r="A36" s="143"/>
      <c r="B36" s="198" t="s">
        <v>173</v>
      </c>
      <c r="C36" s="199" t="s">
        <v>118</v>
      </c>
      <c r="D36" s="152">
        <f>D30/(D31+D32)</f>
        <v>0.86745419636039001</v>
      </c>
      <c r="E36" s="87">
        <f t="shared" ref="E36:J36" si="8">E30/(E31+E32)</f>
        <v>0</v>
      </c>
      <c r="F36" s="87" t="e">
        <f t="shared" si="8"/>
        <v>#DIV/0!</v>
      </c>
      <c r="G36" s="87" t="e">
        <f t="shared" si="8"/>
        <v>#DIV/0!</v>
      </c>
      <c r="H36" s="87" t="e">
        <f t="shared" si="8"/>
        <v>#DIV/0!</v>
      </c>
      <c r="I36" s="87" t="e">
        <f t="shared" si="8"/>
        <v>#DIV/0!</v>
      </c>
      <c r="J36" s="87" t="e">
        <f t="shared" si="8"/>
        <v>#DIV/0!</v>
      </c>
      <c r="K36" s="87" t="e">
        <f t="shared" ref="K36:BA36" si="9">K30/(K31+K32)</f>
        <v>#DIV/0!</v>
      </c>
      <c r="L36" s="87" t="e">
        <f t="shared" si="9"/>
        <v>#DIV/0!</v>
      </c>
      <c r="M36" s="87" t="e">
        <f t="shared" si="9"/>
        <v>#DIV/0!</v>
      </c>
      <c r="N36" s="87" t="e">
        <f t="shared" si="9"/>
        <v>#DIV/0!</v>
      </c>
      <c r="O36" s="87">
        <f t="shared" si="9"/>
        <v>1.3219117574772676</v>
      </c>
      <c r="P36" s="87">
        <f t="shared" si="9"/>
        <v>1.0220088494472757</v>
      </c>
      <c r="Q36" s="87">
        <f t="shared" si="9"/>
        <v>1.7165327942491417</v>
      </c>
      <c r="R36" s="87">
        <f t="shared" si="9"/>
        <v>2.35446875269907</v>
      </c>
      <c r="S36" s="87">
        <f t="shared" si="9"/>
        <v>0.88589035839097219</v>
      </c>
      <c r="T36" s="87">
        <f t="shared" si="9"/>
        <v>1.5699831742456491</v>
      </c>
      <c r="U36" s="87">
        <f t="shared" si="9"/>
        <v>0.46553692170366029</v>
      </c>
      <c r="V36" s="87">
        <f t="shared" si="9"/>
        <v>0.9456493282327898</v>
      </c>
      <c r="W36" s="87">
        <f t="shared" si="9"/>
        <v>0.42668492004314329</v>
      </c>
      <c r="X36" s="87">
        <f t="shared" ref="X36:AJ36" si="10">X30/(X31+X32)</f>
        <v>0.76670955557631382</v>
      </c>
      <c r="Y36" s="87">
        <f t="shared" si="10"/>
        <v>0.85508307177850318</v>
      </c>
      <c r="Z36" s="87">
        <f t="shared" si="10"/>
        <v>0.68064127525931217</v>
      </c>
      <c r="AA36" s="87">
        <f t="shared" si="10"/>
        <v>0.41635270040470046</v>
      </c>
      <c r="AB36" s="87">
        <f t="shared" si="10"/>
        <v>0.17892682708646654</v>
      </c>
      <c r="AC36" s="87" t="e">
        <f t="shared" si="10"/>
        <v>#DIV/0!</v>
      </c>
      <c r="AD36" s="87" t="e">
        <f t="shared" si="10"/>
        <v>#DIV/0!</v>
      </c>
      <c r="AE36" s="87" t="e">
        <f t="shared" si="10"/>
        <v>#DIV/0!</v>
      </c>
      <c r="AF36" s="87" t="e">
        <f t="shared" si="10"/>
        <v>#DIV/0!</v>
      </c>
      <c r="AG36" s="87" t="e">
        <f t="shared" si="10"/>
        <v>#DIV/0!</v>
      </c>
      <c r="AH36" s="87" t="e">
        <f t="shared" si="10"/>
        <v>#DIV/0!</v>
      </c>
      <c r="AI36" s="87" t="e">
        <f t="shared" si="10"/>
        <v>#DIV/0!</v>
      </c>
      <c r="AJ36" s="87" t="e">
        <f t="shared" si="10"/>
        <v>#DIV/0!</v>
      </c>
      <c r="AK36" s="87" t="e">
        <f t="shared" si="9"/>
        <v>#DIV/0!</v>
      </c>
      <c r="AL36" s="87" t="e">
        <f t="shared" si="9"/>
        <v>#DIV/0!</v>
      </c>
      <c r="AM36" s="87" t="e">
        <f t="shared" si="9"/>
        <v>#DIV/0!</v>
      </c>
      <c r="AN36" s="87" t="e">
        <f t="shared" si="9"/>
        <v>#DIV/0!</v>
      </c>
      <c r="AO36" s="87" t="e">
        <f t="shared" si="9"/>
        <v>#DIV/0!</v>
      </c>
      <c r="AP36" s="87" t="e">
        <f t="shared" si="9"/>
        <v>#DIV/0!</v>
      </c>
      <c r="AQ36" s="87" t="e">
        <f t="shared" si="9"/>
        <v>#DIV/0!</v>
      </c>
      <c r="AR36" s="87" t="e">
        <f t="shared" si="9"/>
        <v>#DIV/0!</v>
      </c>
      <c r="AS36" s="87" t="e">
        <f t="shared" si="9"/>
        <v>#DIV/0!</v>
      </c>
      <c r="AT36" s="87" t="e">
        <f t="shared" si="9"/>
        <v>#DIV/0!</v>
      </c>
      <c r="AU36" s="87">
        <f t="shared" si="9"/>
        <v>-0.46183843387308221</v>
      </c>
      <c r="AV36" s="87">
        <f t="shared" si="9"/>
        <v>0.52520539342493888</v>
      </c>
      <c r="AW36" s="87">
        <f t="shared" si="9"/>
        <v>0.62693689906078942</v>
      </c>
      <c r="AX36" s="87">
        <f t="shared" si="9"/>
        <v>-3.0543778160122743</v>
      </c>
      <c r="AY36" s="87">
        <f t="shared" si="9"/>
        <v>-1.8164839642114929</v>
      </c>
      <c r="AZ36" s="87">
        <f t="shared" si="9"/>
        <v>0.26032169592936827</v>
      </c>
      <c r="BA36" s="87">
        <f t="shared" si="9"/>
        <v>-7.6227134116494955E-2</v>
      </c>
      <c r="BB36" s="87">
        <f t="shared" ref="BB36:BP36" si="11">BB30/(BB31+BB32)</f>
        <v>-1.2121445426734825</v>
      </c>
      <c r="BC36" s="87" t="e">
        <f t="shared" si="11"/>
        <v>#DIV/0!</v>
      </c>
      <c r="BD36" s="87" t="e">
        <f t="shared" si="11"/>
        <v>#DIV/0!</v>
      </c>
      <c r="BE36" s="87" t="e">
        <f t="shared" si="11"/>
        <v>#DIV/0!</v>
      </c>
      <c r="BF36" s="87" t="e">
        <f t="shared" si="11"/>
        <v>#DIV/0!</v>
      </c>
      <c r="BG36" s="87" t="e">
        <f t="shared" si="11"/>
        <v>#DIV/0!</v>
      </c>
      <c r="BH36" s="87" t="e">
        <f t="shared" si="11"/>
        <v>#DIV/0!</v>
      </c>
      <c r="BI36" s="87" t="e">
        <f t="shared" si="11"/>
        <v>#DIV/0!</v>
      </c>
      <c r="BJ36" s="87" t="e">
        <f t="shared" si="11"/>
        <v>#DIV/0!</v>
      </c>
      <c r="BK36" s="87" t="e">
        <f t="shared" si="11"/>
        <v>#DIV/0!</v>
      </c>
      <c r="BL36" s="87" t="e">
        <f t="shared" si="11"/>
        <v>#DIV/0!</v>
      </c>
      <c r="BM36" s="87" t="e">
        <f t="shared" si="11"/>
        <v>#DIV/0!</v>
      </c>
      <c r="BN36" s="87" t="e">
        <f t="shared" si="11"/>
        <v>#DIV/0!</v>
      </c>
      <c r="BO36" s="87" t="e">
        <f t="shared" si="11"/>
        <v>#DIV/0!</v>
      </c>
      <c r="BP36" s="87" t="e">
        <f t="shared" si="11"/>
        <v>#DIV/0!</v>
      </c>
    </row>
    <row r="37" spans="1:72" ht="15" customHeight="1">
      <c r="A37" s="72"/>
      <c r="C37" s="76" t="s">
        <v>120</v>
      </c>
      <c r="D37" s="25"/>
      <c r="BR37" s="5"/>
      <c r="BS37" s="5"/>
      <c r="BT37" s="5"/>
    </row>
    <row r="38" spans="1:72" ht="15" customHeight="1">
      <c r="A38" s="143"/>
      <c r="B38" s="140" t="s">
        <v>174</v>
      </c>
      <c r="C38" s="150" t="s">
        <v>86</v>
      </c>
      <c r="D38" s="85">
        <f>D26/D33</f>
        <v>574.95517788199368</v>
      </c>
      <c r="E38" s="85">
        <f t="shared" ref="E38:J38" si="12">E26/E33</f>
        <v>0</v>
      </c>
      <c r="F38" s="85" t="e">
        <f t="shared" si="12"/>
        <v>#DIV/0!</v>
      </c>
      <c r="G38" s="85" t="e">
        <f t="shared" si="12"/>
        <v>#DIV/0!</v>
      </c>
      <c r="H38" s="85" t="e">
        <f t="shared" si="12"/>
        <v>#DIV/0!</v>
      </c>
      <c r="I38" s="85" t="e">
        <f t="shared" si="12"/>
        <v>#DIV/0!</v>
      </c>
      <c r="J38" s="85" t="e">
        <f t="shared" si="12"/>
        <v>#DIV/0!</v>
      </c>
      <c r="K38" s="85" t="e">
        <f t="shared" ref="K38:BA38" si="13">K26/K33</f>
        <v>#DIV/0!</v>
      </c>
      <c r="L38" s="85" t="e">
        <f t="shared" si="13"/>
        <v>#DIV/0!</v>
      </c>
      <c r="M38" s="85" t="e">
        <f t="shared" si="13"/>
        <v>#DIV/0!</v>
      </c>
      <c r="N38" s="85" t="e">
        <f t="shared" si="13"/>
        <v>#DIV/0!</v>
      </c>
      <c r="O38" s="85">
        <f t="shared" si="13"/>
        <v>742.76129088508219</v>
      </c>
      <c r="P38" s="85">
        <f t="shared" si="13"/>
        <v>314.50392294864821</v>
      </c>
      <c r="Q38" s="85">
        <f t="shared" si="13"/>
        <v>106.19086184150666</v>
      </c>
      <c r="R38" s="85">
        <f t="shared" si="13"/>
        <v>3015.6532228645601</v>
      </c>
      <c r="S38" s="85">
        <f t="shared" si="13"/>
        <v>377.9377808964789</v>
      </c>
      <c r="T38" s="85">
        <f t="shared" si="13"/>
        <v>313.78198399350538</v>
      </c>
      <c r="U38" s="85">
        <f t="shared" si="13"/>
        <v>276.95830868243632</v>
      </c>
      <c r="V38" s="85">
        <f t="shared" si="13"/>
        <v>740.62821495247408</v>
      </c>
      <c r="W38" s="85">
        <f t="shared" si="13"/>
        <v>408.45972503531908</v>
      </c>
      <c r="X38" s="85">
        <f t="shared" ref="X38:AJ38" si="14">X26/X33</f>
        <v>3182.867535679854</v>
      </c>
      <c r="Y38" s="85">
        <f t="shared" si="14"/>
        <v>657.6766689587397</v>
      </c>
      <c r="Z38" s="85">
        <f t="shared" si="14"/>
        <v>605.17085238825325</v>
      </c>
      <c r="AA38" s="85">
        <f t="shared" si="14"/>
        <v>1198.3950364716047</v>
      </c>
      <c r="AB38" s="85">
        <f t="shared" si="14"/>
        <v>167.56709222209005</v>
      </c>
      <c r="AC38" s="85" t="e">
        <f t="shared" si="14"/>
        <v>#DIV/0!</v>
      </c>
      <c r="AD38" s="85" t="e">
        <f t="shared" si="14"/>
        <v>#DIV/0!</v>
      </c>
      <c r="AE38" s="85" t="e">
        <f t="shared" si="14"/>
        <v>#DIV/0!</v>
      </c>
      <c r="AF38" s="85" t="e">
        <f t="shared" si="14"/>
        <v>#DIV/0!</v>
      </c>
      <c r="AG38" s="85" t="e">
        <f t="shared" si="14"/>
        <v>#DIV/0!</v>
      </c>
      <c r="AH38" s="85" t="e">
        <f t="shared" si="14"/>
        <v>#DIV/0!</v>
      </c>
      <c r="AI38" s="85" t="e">
        <f t="shared" si="14"/>
        <v>#DIV/0!</v>
      </c>
      <c r="AJ38" s="85" t="e">
        <f t="shared" si="14"/>
        <v>#DIV/0!</v>
      </c>
      <c r="AK38" s="85" t="e">
        <f t="shared" si="13"/>
        <v>#DIV/0!</v>
      </c>
      <c r="AL38" s="85" t="e">
        <f t="shared" si="13"/>
        <v>#DIV/0!</v>
      </c>
      <c r="AM38" s="85" t="e">
        <f t="shared" si="13"/>
        <v>#DIV/0!</v>
      </c>
      <c r="AN38" s="85" t="e">
        <f t="shared" si="13"/>
        <v>#DIV/0!</v>
      </c>
      <c r="AO38" s="85" t="e">
        <f t="shared" si="13"/>
        <v>#DIV/0!</v>
      </c>
      <c r="AP38" s="85" t="e">
        <f t="shared" si="13"/>
        <v>#DIV/0!</v>
      </c>
      <c r="AQ38" s="85" t="e">
        <f t="shared" si="13"/>
        <v>#DIV/0!</v>
      </c>
      <c r="AR38" s="85" t="e">
        <f t="shared" si="13"/>
        <v>#DIV/0!</v>
      </c>
      <c r="AS38" s="85" t="e">
        <f t="shared" si="13"/>
        <v>#DIV/0!</v>
      </c>
      <c r="AT38" s="85" t="e">
        <f t="shared" si="13"/>
        <v>#DIV/0!</v>
      </c>
      <c r="AU38" s="85">
        <f t="shared" si="13"/>
        <v>219.83181049290931</v>
      </c>
      <c r="AV38" s="85">
        <f t="shared" si="13"/>
        <v>412.83719932358008</v>
      </c>
      <c r="AW38" s="85">
        <f t="shared" si="13"/>
        <v>8.6397209625571829</v>
      </c>
      <c r="AX38" s="85">
        <f t="shared" si="13"/>
        <v>178.32728352668772</v>
      </c>
      <c r="AY38" s="85">
        <f t="shared" si="13"/>
        <v>247.21452708690262</v>
      </c>
      <c r="AZ38" s="85">
        <f t="shared" si="13"/>
        <v>469.18346925333299</v>
      </c>
      <c r="BA38" s="85">
        <f t="shared" si="13"/>
        <v>70.538614579276981</v>
      </c>
      <c r="BB38" s="85">
        <f t="shared" ref="BB38:BP38" si="15">BB26/BB33</f>
        <v>60.313888991950797</v>
      </c>
      <c r="BC38" s="85" t="e">
        <f t="shared" si="15"/>
        <v>#DIV/0!</v>
      </c>
      <c r="BD38" s="85" t="e">
        <f t="shared" si="15"/>
        <v>#DIV/0!</v>
      </c>
      <c r="BE38" s="85" t="e">
        <f t="shared" si="15"/>
        <v>#DIV/0!</v>
      </c>
      <c r="BF38" s="85" t="e">
        <f t="shared" si="15"/>
        <v>#DIV/0!</v>
      </c>
      <c r="BG38" s="85" t="e">
        <f t="shared" si="15"/>
        <v>#DIV/0!</v>
      </c>
      <c r="BH38" s="85" t="e">
        <f t="shared" si="15"/>
        <v>#DIV/0!</v>
      </c>
      <c r="BI38" s="85" t="e">
        <f t="shared" si="15"/>
        <v>#DIV/0!</v>
      </c>
      <c r="BJ38" s="85" t="e">
        <f t="shared" si="15"/>
        <v>#DIV/0!</v>
      </c>
      <c r="BK38" s="85" t="e">
        <f t="shared" si="15"/>
        <v>#DIV/0!</v>
      </c>
      <c r="BL38" s="85" t="e">
        <f t="shared" si="15"/>
        <v>#DIV/0!</v>
      </c>
      <c r="BM38" s="85" t="e">
        <f t="shared" si="15"/>
        <v>#DIV/0!</v>
      </c>
      <c r="BN38" s="85" t="e">
        <f t="shared" si="15"/>
        <v>#DIV/0!</v>
      </c>
      <c r="BO38" s="85" t="e">
        <f t="shared" si="15"/>
        <v>#DIV/0!</v>
      </c>
      <c r="BP38" s="85" t="e">
        <f t="shared" si="15"/>
        <v>#DIV/0!</v>
      </c>
    </row>
    <row r="39" spans="1:72" ht="15" customHeight="1">
      <c r="A39" s="143"/>
      <c r="B39" s="140" t="s">
        <v>175</v>
      </c>
      <c r="C39" s="150" t="s">
        <v>87</v>
      </c>
      <c r="D39" s="85">
        <f>D27/D33</f>
        <v>25.258108845021269</v>
      </c>
      <c r="E39" s="85">
        <f t="shared" ref="E39:J39" si="16">E27/E33</f>
        <v>0</v>
      </c>
      <c r="F39" s="85" t="e">
        <f t="shared" si="16"/>
        <v>#DIV/0!</v>
      </c>
      <c r="G39" s="85" t="e">
        <f t="shared" si="16"/>
        <v>#DIV/0!</v>
      </c>
      <c r="H39" s="85" t="e">
        <f t="shared" si="16"/>
        <v>#DIV/0!</v>
      </c>
      <c r="I39" s="85" t="e">
        <f t="shared" si="16"/>
        <v>#DIV/0!</v>
      </c>
      <c r="J39" s="85" t="e">
        <f t="shared" si="16"/>
        <v>#DIV/0!</v>
      </c>
      <c r="K39" s="85" t="e">
        <f t="shared" ref="K39:BA39" si="17">K27/K33</f>
        <v>#DIV/0!</v>
      </c>
      <c r="L39" s="85" t="e">
        <f t="shared" si="17"/>
        <v>#DIV/0!</v>
      </c>
      <c r="M39" s="85" t="e">
        <f t="shared" si="17"/>
        <v>#DIV/0!</v>
      </c>
      <c r="N39" s="85" t="e">
        <f t="shared" si="17"/>
        <v>#DIV/0!</v>
      </c>
      <c r="O39" s="85">
        <f t="shared" si="17"/>
        <v>34.381372706076348</v>
      </c>
      <c r="P39" s="85">
        <f t="shared" si="17"/>
        <v>14.409047554565623</v>
      </c>
      <c r="Q39" s="85">
        <f t="shared" si="17"/>
        <v>4.6982962343225667</v>
      </c>
      <c r="R39" s="85">
        <f t="shared" si="17"/>
        <v>154.68834010836832</v>
      </c>
      <c r="S39" s="85">
        <f t="shared" si="17"/>
        <v>17.271102099659146</v>
      </c>
      <c r="T39" s="85">
        <f t="shared" si="17"/>
        <v>13.958311122523588</v>
      </c>
      <c r="U39" s="85">
        <f t="shared" si="17"/>
        <v>11.275806610436174</v>
      </c>
      <c r="V39" s="85">
        <f t="shared" si="17"/>
        <v>30.83926454674906</v>
      </c>
      <c r="W39" s="85">
        <f t="shared" si="17"/>
        <v>15.30054818334321</v>
      </c>
      <c r="X39" s="85">
        <f t="shared" ref="X39:AJ39" si="18">X27/X33</f>
        <v>161.82147353630813</v>
      </c>
      <c r="Y39" s="85">
        <f t="shared" si="18"/>
        <v>29.881489796901882</v>
      </c>
      <c r="Z39" s="85">
        <f t="shared" si="18"/>
        <v>27.605591908412048</v>
      </c>
      <c r="AA39" s="85">
        <f t="shared" si="18"/>
        <v>54.888875895688457</v>
      </c>
      <c r="AB39" s="85">
        <f t="shared" si="18"/>
        <v>6.6577624711472314</v>
      </c>
      <c r="AC39" s="85" t="e">
        <f t="shared" si="18"/>
        <v>#DIV/0!</v>
      </c>
      <c r="AD39" s="85" t="e">
        <f t="shared" si="18"/>
        <v>#DIV/0!</v>
      </c>
      <c r="AE39" s="85" t="e">
        <f t="shared" si="18"/>
        <v>#DIV/0!</v>
      </c>
      <c r="AF39" s="85" t="e">
        <f t="shared" si="18"/>
        <v>#DIV/0!</v>
      </c>
      <c r="AG39" s="85" t="e">
        <f t="shared" si="18"/>
        <v>#DIV/0!</v>
      </c>
      <c r="AH39" s="85" t="e">
        <f t="shared" si="18"/>
        <v>#DIV/0!</v>
      </c>
      <c r="AI39" s="85" t="e">
        <f t="shared" si="18"/>
        <v>#DIV/0!</v>
      </c>
      <c r="AJ39" s="85" t="e">
        <f t="shared" si="18"/>
        <v>#DIV/0!</v>
      </c>
      <c r="AK39" s="85" t="e">
        <f t="shared" si="17"/>
        <v>#DIV/0!</v>
      </c>
      <c r="AL39" s="85" t="e">
        <f t="shared" si="17"/>
        <v>#DIV/0!</v>
      </c>
      <c r="AM39" s="85" t="e">
        <f t="shared" si="17"/>
        <v>#DIV/0!</v>
      </c>
      <c r="AN39" s="85" t="e">
        <f t="shared" si="17"/>
        <v>#DIV/0!</v>
      </c>
      <c r="AO39" s="85" t="e">
        <f t="shared" si="17"/>
        <v>#DIV/0!</v>
      </c>
      <c r="AP39" s="85" t="e">
        <f t="shared" si="17"/>
        <v>#DIV/0!</v>
      </c>
      <c r="AQ39" s="85" t="e">
        <f t="shared" si="17"/>
        <v>#DIV/0!</v>
      </c>
      <c r="AR39" s="85" t="e">
        <f t="shared" si="17"/>
        <v>#DIV/0!</v>
      </c>
      <c r="AS39" s="85" t="e">
        <f t="shared" si="17"/>
        <v>#DIV/0!</v>
      </c>
      <c r="AT39" s="85" t="e">
        <f t="shared" si="17"/>
        <v>#DIV/0!</v>
      </c>
      <c r="AU39" s="85">
        <f t="shared" si="17"/>
        <v>9.0426980333850189</v>
      </c>
      <c r="AV39" s="85">
        <f t="shared" si="17"/>
        <v>15.417389738716546</v>
      </c>
      <c r="AW39" s="85">
        <f t="shared" si="17"/>
        <v>0.24162413796679694</v>
      </c>
      <c r="AX39" s="85">
        <f t="shared" si="17"/>
        <v>7.7525020847499269</v>
      </c>
      <c r="AY39" s="85">
        <f t="shared" si="17"/>
        <v>11.805765598712059</v>
      </c>
      <c r="AZ39" s="85">
        <f t="shared" si="17"/>
        <v>20.444708980248418</v>
      </c>
      <c r="BA39" s="85">
        <f t="shared" si="17"/>
        <v>2.0376303946779264</v>
      </c>
      <c r="BB39" s="85">
        <f t="shared" ref="BB39:BP39" si="19">BB27/BB33</f>
        <v>3.1070233392694573</v>
      </c>
      <c r="BC39" s="85" t="e">
        <f t="shared" si="19"/>
        <v>#DIV/0!</v>
      </c>
      <c r="BD39" s="85" t="e">
        <f t="shared" si="19"/>
        <v>#DIV/0!</v>
      </c>
      <c r="BE39" s="85" t="e">
        <f t="shared" si="19"/>
        <v>#DIV/0!</v>
      </c>
      <c r="BF39" s="85" t="e">
        <f t="shared" si="19"/>
        <v>#DIV/0!</v>
      </c>
      <c r="BG39" s="85" t="e">
        <f t="shared" si="19"/>
        <v>#DIV/0!</v>
      </c>
      <c r="BH39" s="85" t="e">
        <f t="shared" si="19"/>
        <v>#DIV/0!</v>
      </c>
      <c r="BI39" s="85" t="e">
        <f t="shared" si="19"/>
        <v>#DIV/0!</v>
      </c>
      <c r="BJ39" s="85" t="e">
        <f t="shared" si="19"/>
        <v>#DIV/0!</v>
      </c>
      <c r="BK39" s="85" t="e">
        <f t="shared" si="19"/>
        <v>#DIV/0!</v>
      </c>
      <c r="BL39" s="85" t="e">
        <f t="shared" si="19"/>
        <v>#DIV/0!</v>
      </c>
      <c r="BM39" s="85" t="e">
        <f t="shared" si="19"/>
        <v>#DIV/0!</v>
      </c>
      <c r="BN39" s="85" t="e">
        <f t="shared" si="19"/>
        <v>#DIV/0!</v>
      </c>
      <c r="BO39" s="85" t="e">
        <f t="shared" si="19"/>
        <v>#DIV/0!</v>
      </c>
      <c r="BP39" s="85" t="e">
        <f t="shared" si="19"/>
        <v>#DIV/0!</v>
      </c>
    </row>
    <row r="40" spans="1:72" ht="15" customHeight="1">
      <c r="A40" s="143"/>
      <c r="B40" s="140" t="s">
        <v>176</v>
      </c>
      <c r="C40" s="150" t="s">
        <v>111</v>
      </c>
      <c r="D40" s="85">
        <f>D28/D33</f>
        <v>124.40915920371341</v>
      </c>
      <c r="E40" s="85">
        <f t="shared" ref="E40:J40" si="20">E28/E33</f>
        <v>0</v>
      </c>
      <c r="F40" s="85" t="e">
        <f t="shared" si="20"/>
        <v>#DIV/0!</v>
      </c>
      <c r="G40" s="85" t="e">
        <f t="shared" si="20"/>
        <v>#DIV/0!</v>
      </c>
      <c r="H40" s="85" t="e">
        <f t="shared" si="20"/>
        <v>#DIV/0!</v>
      </c>
      <c r="I40" s="85" t="e">
        <f t="shared" si="20"/>
        <v>#DIV/0!</v>
      </c>
      <c r="J40" s="85" t="e">
        <f t="shared" si="20"/>
        <v>#DIV/0!</v>
      </c>
      <c r="K40" s="85" t="e">
        <f t="shared" ref="K40:BA40" si="21">K28/K33</f>
        <v>#DIV/0!</v>
      </c>
      <c r="L40" s="85" t="e">
        <f t="shared" si="21"/>
        <v>#DIV/0!</v>
      </c>
      <c r="M40" s="85" t="e">
        <f t="shared" si="21"/>
        <v>#DIV/0!</v>
      </c>
      <c r="N40" s="85" t="e">
        <f t="shared" si="21"/>
        <v>#DIV/0!</v>
      </c>
      <c r="O40" s="85">
        <f t="shared" si="21"/>
        <v>114.32298522538136</v>
      </c>
      <c r="P40" s="85">
        <f t="shared" si="21"/>
        <v>70.316117422152303</v>
      </c>
      <c r="Q40" s="85">
        <f t="shared" si="21"/>
        <v>48.821970943187189</v>
      </c>
      <c r="R40" s="85">
        <f t="shared" si="21"/>
        <v>46.476490910318859</v>
      </c>
      <c r="S40" s="85">
        <f t="shared" si="21"/>
        <v>78.862325462886758</v>
      </c>
      <c r="T40" s="85">
        <f t="shared" si="21"/>
        <v>79.027791309862863</v>
      </c>
      <c r="U40" s="85">
        <f t="shared" si="21"/>
        <v>95.576251086865312</v>
      </c>
      <c r="V40" s="85">
        <f t="shared" si="21"/>
        <v>186.62545614608274</v>
      </c>
      <c r="W40" s="85">
        <f t="shared" si="21"/>
        <v>153.49559512010219</v>
      </c>
      <c r="X40" s="85">
        <f t="shared" ref="X40:AJ40" si="22">X28/X33</f>
        <v>77.670324791793774</v>
      </c>
      <c r="Y40" s="85">
        <f t="shared" si="22"/>
        <v>116.78377170344238</v>
      </c>
      <c r="Z40" s="85">
        <f t="shared" si="22"/>
        <v>107.74868897882556</v>
      </c>
      <c r="AA40" s="85">
        <f t="shared" si="22"/>
        <v>176.76440589580935</v>
      </c>
      <c r="AB40" s="85">
        <f t="shared" si="22"/>
        <v>74.148991207431322</v>
      </c>
      <c r="AC40" s="85" t="e">
        <f t="shared" si="22"/>
        <v>#DIV/0!</v>
      </c>
      <c r="AD40" s="85" t="e">
        <f t="shared" si="22"/>
        <v>#DIV/0!</v>
      </c>
      <c r="AE40" s="85" t="e">
        <f t="shared" si="22"/>
        <v>#DIV/0!</v>
      </c>
      <c r="AF40" s="85" t="e">
        <f t="shared" si="22"/>
        <v>#DIV/0!</v>
      </c>
      <c r="AG40" s="85" t="e">
        <f t="shared" si="22"/>
        <v>#DIV/0!</v>
      </c>
      <c r="AH40" s="85" t="e">
        <f t="shared" si="22"/>
        <v>#DIV/0!</v>
      </c>
      <c r="AI40" s="85" t="e">
        <f t="shared" si="22"/>
        <v>#DIV/0!</v>
      </c>
      <c r="AJ40" s="85" t="e">
        <f t="shared" si="22"/>
        <v>#DIV/0!</v>
      </c>
      <c r="AK40" s="85" t="e">
        <f t="shared" si="21"/>
        <v>#DIV/0!</v>
      </c>
      <c r="AL40" s="85" t="e">
        <f t="shared" si="21"/>
        <v>#DIV/0!</v>
      </c>
      <c r="AM40" s="85" t="e">
        <f t="shared" si="21"/>
        <v>#DIV/0!</v>
      </c>
      <c r="AN40" s="85" t="e">
        <f t="shared" si="21"/>
        <v>#DIV/0!</v>
      </c>
      <c r="AO40" s="85" t="e">
        <f t="shared" si="21"/>
        <v>#DIV/0!</v>
      </c>
      <c r="AP40" s="85" t="e">
        <f t="shared" si="21"/>
        <v>#DIV/0!</v>
      </c>
      <c r="AQ40" s="85" t="e">
        <f t="shared" si="21"/>
        <v>#DIV/0!</v>
      </c>
      <c r="AR40" s="85" t="e">
        <f t="shared" si="21"/>
        <v>#DIV/0!</v>
      </c>
      <c r="AS40" s="85" t="e">
        <f t="shared" si="21"/>
        <v>#DIV/0!</v>
      </c>
      <c r="AT40" s="85" t="e">
        <f t="shared" si="21"/>
        <v>#DIV/0!</v>
      </c>
      <c r="AU40" s="85">
        <f t="shared" si="21"/>
        <v>80.625473926274466</v>
      </c>
      <c r="AV40" s="85">
        <f t="shared" si="21"/>
        <v>155.78461597760653</v>
      </c>
      <c r="AW40" s="85">
        <f t="shared" si="21"/>
        <v>36.843981769424843</v>
      </c>
      <c r="AX40" s="85">
        <f t="shared" si="21"/>
        <v>62.764273059336787</v>
      </c>
      <c r="AY40" s="85">
        <f t="shared" si="21"/>
        <v>52.134683692799037</v>
      </c>
      <c r="AZ40" s="85">
        <f t="shared" si="21"/>
        <v>111.02648310501691</v>
      </c>
      <c r="BA40" s="85">
        <f t="shared" si="21"/>
        <v>66.181600817043901</v>
      </c>
      <c r="BB40" s="85">
        <f t="shared" ref="BB40:BP40" si="23">BB28/BB33</f>
        <v>32.558267483710559</v>
      </c>
      <c r="BC40" s="85" t="e">
        <f t="shared" si="23"/>
        <v>#DIV/0!</v>
      </c>
      <c r="BD40" s="85" t="e">
        <f t="shared" si="23"/>
        <v>#DIV/0!</v>
      </c>
      <c r="BE40" s="85" t="e">
        <f t="shared" si="23"/>
        <v>#DIV/0!</v>
      </c>
      <c r="BF40" s="85" t="e">
        <f t="shared" si="23"/>
        <v>#DIV/0!</v>
      </c>
      <c r="BG40" s="85" t="e">
        <f t="shared" si="23"/>
        <v>#DIV/0!</v>
      </c>
      <c r="BH40" s="85" t="e">
        <f t="shared" si="23"/>
        <v>#DIV/0!</v>
      </c>
      <c r="BI40" s="85" t="e">
        <f t="shared" si="23"/>
        <v>#DIV/0!</v>
      </c>
      <c r="BJ40" s="85" t="e">
        <f t="shared" si="23"/>
        <v>#DIV/0!</v>
      </c>
      <c r="BK40" s="85" t="e">
        <f t="shared" si="23"/>
        <v>#DIV/0!</v>
      </c>
      <c r="BL40" s="85" t="e">
        <f t="shared" si="23"/>
        <v>#DIV/0!</v>
      </c>
      <c r="BM40" s="85" t="e">
        <f t="shared" si="23"/>
        <v>#DIV/0!</v>
      </c>
      <c r="BN40" s="85" t="e">
        <f t="shared" si="23"/>
        <v>#DIV/0!</v>
      </c>
      <c r="BO40" s="85" t="e">
        <f t="shared" si="23"/>
        <v>#DIV/0!</v>
      </c>
      <c r="BP40" s="85" t="e">
        <f t="shared" si="23"/>
        <v>#DIV/0!</v>
      </c>
    </row>
    <row r="41" spans="1:72" ht="15" customHeight="1">
      <c r="A41" s="143"/>
      <c r="B41" s="140" t="s">
        <v>177</v>
      </c>
      <c r="C41" s="150" t="s">
        <v>112</v>
      </c>
      <c r="D41" s="85">
        <f>D29/D33</f>
        <v>0</v>
      </c>
      <c r="E41" s="85">
        <f t="shared" ref="E41:J41" si="24">E29/E33</f>
        <v>0</v>
      </c>
      <c r="F41" s="85" t="e">
        <f t="shared" si="24"/>
        <v>#DIV/0!</v>
      </c>
      <c r="G41" s="85" t="e">
        <f t="shared" si="24"/>
        <v>#DIV/0!</v>
      </c>
      <c r="H41" s="85" t="e">
        <f t="shared" si="24"/>
        <v>#DIV/0!</v>
      </c>
      <c r="I41" s="85" t="e">
        <f t="shared" si="24"/>
        <v>#DIV/0!</v>
      </c>
      <c r="J41" s="85" t="e">
        <f t="shared" si="24"/>
        <v>#DIV/0!</v>
      </c>
      <c r="K41" s="85" t="e">
        <f t="shared" ref="K41:BA41" si="25">K29/K33</f>
        <v>#DIV/0!</v>
      </c>
      <c r="L41" s="85" t="e">
        <f t="shared" si="25"/>
        <v>#DIV/0!</v>
      </c>
      <c r="M41" s="85" t="e">
        <f t="shared" si="25"/>
        <v>#DIV/0!</v>
      </c>
      <c r="N41" s="85" t="e">
        <f t="shared" si="25"/>
        <v>#DIV/0!</v>
      </c>
      <c r="O41" s="85">
        <f t="shared" si="25"/>
        <v>0</v>
      </c>
      <c r="P41" s="85">
        <f t="shared" si="25"/>
        <v>0</v>
      </c>
      <c r="Q41" s="85">
        <f t="shared" si="25"/>
        <v>0</v>
      </c>
      <c r="R41" s="85">
        <f t="shared" si="25"/>
        <v>0</v>
      </c>
      <c r="S41" s="85">
        <f t="shared" si="25"/>
        <v>0</v>
      </c>
      <c r="T41" s="85">
        <f t="shared" si="25"/>
        <v>0</v>
      </c>
      <c r="U41" s="85">
        <f t="shared" si="25"/>
        <v>0</v>
      </c>
      <c r="V41" s="85">
        <f t="shared" si="25"/>
        <v>0</v>
      </c>
      <c r="W41" s="85">
        <f t="shared" si="25"/>
        <v>0</v>
      </c>
      <c r="X41" s="85">
        <f t="shared" ref="X41:AJ41" si="26">X29/X33</f>
        <v>0</v>
      </c>
      <c r="Y41" s="85">
        <f t="shared" si="26"/>
        <v>0</v>
      </c>
      <c r="Z41" s="85">
        <f t="shared" si="26"/>
        <v>0</v>
      </c>
      <c r="AA41" s="85">
        <f t="shared" si="26"/>
        <v>0</v>
      </c>
      <c r="AB41" s="85">
        <f t="shared" si="26"/>
        <v>0</v>
      </c>
      <c r="AC41" s="85" t="e">
        <f t="shared" si="26"/>
        <v>#DIV/0!</v>
      </c>
      <c r="AD41" s="85" t="e">
        <f t="shared" si="26"/>
        <v>#DIV/0!</v>
      </c>
      <c r="AE41" s="85" t="e">
        <f t="shared" si="26"/>
        <v>#DIV/0!</v>
      </c>
      <c r="AF41" s="85" t="e">
        <f t="shared" si="26"/>
        <v>#DIV/0!</v>
      </c>
      <c r="AG41" s="85" t="e">
        <f t="shared" si="26"/>
        <v>#DIV/0!</v>
      </c>
      <c r="AH41" s="85" t="e">
        <f t="shared" si="26"/>
        <v>#DIV/0!</v>
      </c>
      <c r="AI41" s="85" t="e">
        <f t="shared" si="26"/>
        <v>#DIV/0!</v>
      </c>
      <c r="AJ41" s="85" t="e">
        <f t="shared" si="26"/>
        <v>#DIV/0!</v>
      </c>
      <c r="AK41" s="85" t="e">
        <f t="shared" si="25"/>
        <v>#DIV/0!</v>
      </c>
      <c r="AL41" s="85" t="e">
        <f t="shared" si="25"/>
        <v>#DIV/0!</v>
      </c>
      <c r="AM41" s="85" t="e">
        <f t="shared" si="25"/>
        <v>#DIV/0!</v>
      </c>
      <c r="AN41" s="85" t="e">
        <f t="shared" si="25"/>
        <v>#DIV/0!</v>
      </c>
      <c r="AO41" s="85" t="e">
        <f t="shared" si="25"/>
        <v>#DIV/0!</v>
      </c>
      <c r="AP41" s="85" t="e">
        <f t="shared" si="25"/>
        <v>#DIV/0!</v>
      </c>
      <c r="AQ41" s="85" t="e">
        <f t="shared" si="25"/>
        <v>#DIV/0!</v>
      </c>
      <c r="AR41" s="85" t="e">
        <f t="shared" si="25"/>
        <v>#DIV/0!</v>
      </c>
      <c r="AS41" s="85" t="e">
        <f t="shared" si="25"/>
        <v>#DIV/0!</v>
      </c>
      <c r="AT41" s="85" t="e">
        <f t="shared" si="25"/>
        <v>#DIV/0!</v>
      </c>
      <c r="AU41" s="85">
        <f t="shared" si="25"/>
        <v>0</v>
      </c>
      <c r="AV41" s="85">
        <f t="shared" si="25"/>
        <v>0</v>
      </c>
      <c r="AW41" s="85">
        <f t="shared" si="25"/>
        <v>0</v>
      </c>
      <c r="AX41" s="85">
        <f t="shared" si="25"/>
        <v>0</v>
      </c>
      <c r="AY41" s="85">
        <f t="shared" si="25"/>
        <v>0</v>
      </c>
      <c r="AZ41" s="85">
        <f t="shared" si="25"/>
        <v>0</v>
      </c>
      <c r="BA41" s="85">
        <f t="shared" si="25"/>
        <v>0</v>
      </c>
      <c r="BB41" s="85">
        <f t="shared" ref="BB41:BP41" si="27">BB29/BB33</f>
        <v>0</v>
      </c>
      <c r="BC41" s="85" t="e">
        <f t="shared" si="27"/>
        <v>#DIV/0!</v>
      </c>
      <c r="BD41" s="85" t="e">
        <f t="shared" si="27"/>
        <v>#DIV/0!</v>
      </c>
      <c r="BE41" s="85" t="e">
        <f t="shared" si="27"/>
        <v>#DIV/0!</v>
      </c>
      <c r="BF41" s="85" t="e">
        <f t="shared" si="27"/>
        <v>#DIV/0!</v>
      </c>
      <c r="BG41" s="85" t="e">
        <f t="shared" si="27"/>
        <v>#DIV/0!</v>
      </c>
      <c r="BH41" s="85" t="e">
        <f t="shared" si="27"/>
        <v>#DIV/0!</v>
      </c>
      <c r="BI41" s="85" t="e">
        <f t="shared" si="27"/>
        <v>#DIV/0!</v>
      </c>
      <c r="BJ41" s="85" t="e">
        <f t="shared" si="27"/>
        <v>#DIV/0!</v>
      </c>
      <c r="BK41" s="85" t="e">
        <f t="shared" si="27"/>
        <v>#DIV/0!</v>
      </c>
      <c r="BL41" s="85" t="e">
        <f t="shared" si="27"/>
        <v>#DIV/0!</v>
      </c>
      <c r="BM41" s="85" t="e">
        <f t="shared" si="27"/>
        <v>#DIV/0!</v>
      </c>
      <c r="BN41" s="85" t="e">
        <f t="shared" si="27"/>
        <v>#DIV/0!</v>
      </c>
      <c r="BO41" s="85" t="e">
        <f t="shared" si="27"/>
        <v>#DIV/0!</v>
      </c>
      <c r="BP41" s="85" t="e">
        <f t="shared" si="27"/>
        <v>#DIV/0!</v>
      </c>
    </row>
    <row r="42" spans="1:72" ht="15" customHeight="1">
      <c r="A42" s="143"/>
      <c r="B42" s="140" t="s">
        <v>178</v>
      </c>
      <c r="C42" s="150" t="s">
        <v>113</v>
      </c>
      <c r="D42" s="85">
        <f>D30/D33</f>
        <v>425.28790983325905</v>
      </c>
      <c r="E42" s="85">
        <f t="shared" ref="E42:J42" si="28">E30/E33</f>
        <v>0</v>
      </c>
      <c r="F42" s="85" t="e">
        <f t="shared" si="28"/>
        <v>#DIV/0!</v>
      </c>
      <c r="G42" s="85" t="e">
        <f t="shared" si="28"/>
        <v>#DIV/0!</v>
      </c>
      <c r="H42" s="85" t="e">
        <f t="shared" si="28"/>
        <v>#DIV/0!</v>
      </c>
      <c r="I42" s="85" t="e">
        <f t="shared" si="28"/>
        <v>#DIV/0!</v>
      </c>
      <c r="J42" s="85" t="e">
        <f t="shared" si="28"/>
        <v>#DIV/0!</v>
      </c>
      <c r="K42" s="85" t="e">
        <f t="shared" ref="K42:BA42" si="29">K30/K33</f>
        <v>#DIV/0!</v>
      </c>
      <c r="L42" s="85" t="e">
        <f t="shared" si="29"/>
        <v>#DIV/0!</v>
      </c>
      <c r="M42" s="85" t="e">
        <f t="shared" si="29"/>
        <v>#DIV/0!</v>
      </c>
      <c r="N42" s="85" t="e">
        <f t="shared" si="29"/>
        <v>#DIV/0!</v>
      </c>
      <c r="O42" s="85">
        <f t="shared" si="29"/>
        <v>594.05693295362448</v>
      </c>
      <c r="P42" s="85">
        <f t="shared" si="29"/>
        <v>229.77875797193028</v>
      </c>
      <c r="Q42" s="85">
        <f t="shared" si="29"/>
        <v>52.670594663996894</v>
      </c>
      <c r="R42" s="85">
        <f t="shared" si="29"/>
        <v>2814.4883918458731</v>
      </c>
      <c r="S42" s="85">
        <f t="shared" si="29"/>
        <v>281.80435333393297</v>
      </c>
      <c r="T42" s="85">
        <f t="shared" si="29"/>
        <v>220.79588156111896</v>
      </c>
      <c r="U42" s="85">
        <f t="shared" si="29"/>
        <v>170.10625098513489</v>
      </c>
      <c r="V42" s="85">
        <f t="shared" si="29"/>
        <v>523.16349425964233</v>
      </c>
      <c r="W42" s="85">
        <f t="shared" si="29"/>
        <v>239.66358173187365</v>
      </c>
      <c r="X42" s="85">
        <f t="shared" ref="X42:AJ42" si="30">X30/X33</f>
        <v>2943.3757373517519</v>
      </c>
      <c r="Y42" s="85">
        <f t="shared" si="30"/>
        <v>511.01140745839547</v>
      </c>
      <c r="Z42" s="85">
        <f t="shared" si="30"/>
        <v>469.81657150101563</v>
      </c>
      <c r="AA42" s="85">
        <f t="shared" si="30"/>
        <v>966.74175468010696</v>
      </c>
      <c r="AB42" s="85">
        <f t="shared" si="30"/>
        <v>86.760338543511523</v>
      </c>
      <c r="AC42" s="85" t="e">
        <f t="shared" si="30"/>
        <v>#DIV/0!</v>
      </c>
      <c r="AD42" s="85" t="e">
        <f t="shared" si="30"/>
        <v>#DIV/0!</v>
      </c>
      <c r="AE42" s="85" t="e">
        <f t="shared" si="30"/>
        <v>#DIV/0!</v>
      </c>
      <c r="AF42" s="85" t="e">
        <f t="shared" si="30"/>
        <v>#DIV/0!</v>
      </c>
      <c r="AG42" s="85" t="e">
        <f t="shared" si="30"/>
        <v>#DIV/0!</v>
      </c>
      <c r="AH42" s="85" t="e">
        <f t="shared" si="30"/>
        <v>#DIV/0!</v>
      </c>
      <c r="AI42" s="85" t="e">
        <f t="shared" si="30"/>
        <v>#DIV/0!</v>
      </c>
      <c r="AJ42" s="85" t="e">
        <f t="shared" si="30"/>
        <v>#DIV/0!</v>
      </c>
      <c r="AK42" s="85" t="e">
        <f t="shared" si="29"/>
        <v>#DIV/0!</v>
      </c>
      <c r="AL42" s="85" t="e">
        <f t="shared" si="29"/>
        <v>#DIV/0!</v>
      </c>
      <c r="AM42" s="85" t="e">
        <f t="shared" si="29"/>
        <v>#DIV/0!</v>
      </c>
      <c r="AN42" s="85" t="e">
        <f t="shared" si="29"/>
        <v>#DIV/0!</v>
      </c>
      <c r="AO42" s="85" t="e">
        <f t="shared" si="29"/>
        <v>#DIV/0!</v>
      </c>
      <c r="AP42" s="85" t="e">
        <f t="shared" si="29"/>
        <v>#DIV/0!</v>
      </c>
      <c r="AQ42" s="85" t="e">
        <f t="shared" si="29"/>
        <v>#DIV/0!</v>
      </c>
      <c r="AR42" s="85" t="e">
        <f t="shared" si="29"/>
        <v>#DIV/0!</v>
      </c>
      <c r="AS42" s="85" t="e">
        <f t="shared" si="29"/>
        <v>#DIV/0!</v>
      </c>
      <c r="AT42" s="85" t="e">
        <f t="shared" si="29"/>
        <v>#DIV/0!</v>
      </c>
      <c r="AU42" s="85">
        <f t="shared" si="29"/>
        <v>130.16363853324984</v>
      </c>
      <c r="AV42" s="85">
        <f t="shared" si="29"/>
        <v>241.63519360725698</v>
      </c>
      <c r="AW42" s="85">
        <f t="shared" si="29"/>
        <v>-28.445884944834461</v>
      </c>
      <c r="AX42" s="85">
        <f t="shared" si="29"/>
        <v>107.810508382601</v>
      </c>
      <c r="AY42" s="85">
        <f t="shared" si="29"/>
        <v>183.27407779539149</v>
      </c>
      <c r="AZ42" s="85">
        <f t="shared" si="29"/>
        <v>337.71227716806771</v>
      </c>
      <c r="BA42" s="85">
        <f t="shared" si="29"/>
        <v>2.3193833675551616</v>
      </c>
      <c r="BB42" s="85">
        <f t="shared" ref="BB42:BP42" si="31">BB30/BB33</f>
        <v>24.648598168970778</v>
      </c>
      <c r="BC42" s="85" t="e">
        <f t="shared" si="31"/>
        <v>#DIV/0!</v>
      </c>
      <c r="BD42" s="85" t="e">
        <f t="shared" si="31"/>
        <v>#DIV/0!</v>
      </c>
      <c r="BE42" s="85" t="e">
        <f t="shared" si="31"/>
        <v>#DIV/0!</v>
      </c>
      <c r="BF42" s="85" t="e">
        <f t="shared" si="31"/>
        <v>#DIV/0!</v>
      </c>
      <c r="BG42" s="85" t="e">
        <f t="shared" si="31"/>
        <v>#DIV/0!</v>
      </c>
      <c r="BH42" s="85" t="e">
        <f t="shared" si="31"/>
        <v>#DIV/0!</v>
      </c>
      <c r="BI42" s="85" t="e">
        <f t="shared" si="31"/>
        <v>#DIV/0!</v>
      </c>
      <c r="BJ42" s="85" t="e">
        <f t="shared" si="31"/>
        <v>#DIV/0!</v>
      </c>
      <c r="BK42" s="85" t="e">
        <f t="shared" si="31"/>
        <v>#DIV/0!</v>
      </c>
      <c r="BL42" s="85" t="e">
        <f t="shared" si="31"/>
        <v>#DIV/0!</v>
      </c>
      <c r="BM42" s="85" t="e">
        <f t="shared" si="31"/>
        <v>#DIV/0!</v>
      </c>
      <c r="BN42" s="85" t="e">
        <f t="shared" si="31"/>
        <v>#DIV/0!</v>
      </c>
      <c r="BO42" s="85" t="e">
        <f t="shared" si="31"/>
        <v>#DIV/0!</v>
      </c>
      <c r="BP42" s="85" t="e">
        <f t="shared" si="31"/>
        <v>#DIV/0!</v>
      </c>
    </row>
    <row r="43" spans="1:72" ht="15" customHeight="1">
      <c r="A43" s="143"/>
      <c r="B43" s="140" t="s">
        <v>179</v>
      </c>
      <c r="C43" s="150" t="s">
        <v>114</v>
      </c>
      <c r="D43" s="85">
        <f>D31/D33</f>
        <v>-41.149418234356403</v>
      </c>
      <c r="E43" s="85">
        <f t="shared" ref="E43:J43" si="32">E31/E33</f>
        <v>-278.92646288576441</v>
      </c>
      <c r="F43" s="85" t="e">
        <f t="shared" si="32"/>
        <v>#DIV/0!</v>
      </c>
      <c r="G43" s="85" t="e">
        <f t="shared" si="32"/>
        <v>#DIV/0!</v>
      </c>
      <c r="H43" s="85" t="e">
        <f t="shared" si="32"/>
        <v>#DIV/0!</v>
      </c>
      <c r="I43" s="85" t="e">
        <f t="shared" si="32"/>
        <v>#DIV/0!</v>
      </c>
      <c r="J43" s="85" t="e">
        <f t="shared" si="32"/>
        <v>#DIV/0!</v>
      </c>
      <c r="K43" s="85" t="e">
        <f t="shared" ref="K43:BA43" si="33">K31/K33</f>
        <v>#DIV/0!</v>
      </c>
      <c r="L43" s="85" t="e">
        <f t="shared" si="33"/>
        <v>#DIV/0!</v>
      </c>
      <c r="M43" s="85" t="e">
        <f t="shared" si="33"/>
        <v>#DIV/0!</v>
      </c>
      <c r="N43" s="85" t="e">
        <f t="shared" si="33"/>
        <v>#DIV/0!</v>
      </c>
      <c r="O43" s="85">
        <f t="shared" si="33"/>
        <v>40.590494867740176</v>
      </c>
      <c r="P43" s="85">
        <f t="shared" si="33"/>
        <v>-234.99867182035888</v>
      </c>
      <c r="Q43" s="85">
        <f t="shared" si="33"/>
        <v>-416.49552810244961</v>
      </c>
      <c r="R43" s="85">
        <f t="shared" si="33"/>
        <v>705.42833034765715</v>
      </c>
      <c r="S43" s="85">
        <f t="shared" si="33"/>
        <v>-171.21373750976537</v>
      </c>
      <c r="T43" s="85">
        <f t="shared" si="33"/>
        <v>-361.48118632141336</v>
      </c>
      <c r="U43" s="85">
        <f t="shared" si="33"/>
        <v>-76.162336070765917</v>
      </c>
      <c r="V43" s="85">
        <f t="shared" si="33"/>
        <v>1.4327478499899802</v>
      </c>
      <c r="W43" s="85">
        <f t="shared" si="33"/>
        <v>-128.57721906035505</v>
      </c>
      <c r="X43" s="85">
        <f t="shared" ref="X43:AJ43" si="34">X31/X33</f>
        <v>3405.4859844418206</v>
      </c>
      <c r="Y43" s="85">
        <f t="shared" si="34"/>
        <v>21.351258651106463</v>
      </c>
      <c r="Z43" s="85">
        <f t="shared" si="34"/>
        <v>158.97139817079963</v>
      </c>
      <c r="AA43" s="85">
        <f t="shared" si="34"/>
        <v>1604.9513632844983</v>
      </c>
      <c r="AB43" s="85">
        <f t="shared" si="34"/>
        <v>43.564692890487358</v>
      </c>
      <c r="AC43" s="85" t="e">
        <f t="shared" si="34"/>
        <v>#DIV/0!</v>
      </c>
      <c r="AD43" s="85" t="e">
        <f t="shared" si="34"/>
        <v>#DIV/0!</v>
      </c>
      <c r="AE43" s="85" t="e">
        <f t="shared" si="34"/>
        <v>#DIV/0!</v>
      </c>
      <c r="AF43" s="85" t="e">
        <f t="shared" si="34"/>
        <v>#DIV/0!</v>
      </c>
      <c r="AG43" s="85" t="e">
        <f t="shared" si="34"/>
        <v>#DIV/0!</v>
      </c>
      <c r="AH43" s="85" t="e">
        <f t="shared" si="34"/>
        <v>#DIV/0!</v>
      </c>
      <c r="AI43" s="85" t="e">
        <f t="shared" si="34"/>
        <v>#DIV/0!</v>
      </c>
      <c r="AJ43" s="85" t="e">
        <f t="shared" si="34"/>
        <v>#DIV/0!</v>
      </c>
      <c r="AK43" s="85" t="e">
        <f t="shared" si="33"/>
        <v>#DIV/0!</v>
      </c>
      <c r="AL43" s="85" t="e">
        <f t="shared" si="33"/>
        <v>#DIV/0!</v>
      </c>
      <c r="AM43" s="85" t="e">
        <f t="shared" si="33"/>
        <v>#DIV/0!</v>
      </c>
      <c r="AN43" s="85" t="e">
        <f t="shared" si="33"/>
        <v>#DIV/0!</v>
      </c>
      <c r="AO43" s="85" t="e">
        <f t="shared" si="33"/>
        <v>#DIV/0!</v>
      </c>
      <c r="AP43" s="85" t="e">
        <f t="shared" si="33"/>
        <v>#DIV/0!</v>
      </c>
      <c r="AQ43" s="85" t="e">
        <f t="shared" si="33"/>
        <v>#DIV/0!</v>
      </c>
      <c r="AR43" s="85" t="e">
        <f t="shared" si="33"/>
        <v>#DIV/0!</v>
      </c>
      <c r="AS43" s="85" t="e">
        <f t="shared" si="33"/>
        <v>#DIV/0!</v>
      </c>
      <c r="AT43" s="85" t="e">
        <f t="shared" si="33"/>
        <v>#DIV/0!</v>
      </c>
      <c r="AU43" s="85">
        <f t="shared" si="33"/>
        <v>-1114.9245607296666</v>
      </c>
      <c r="AV43" s="85">
        <f t="shared" si="33"/>
        <v>82.253355693511324</v>
      </c>
      <c r="AW43" s="85">
        <f t="shared" si="33"/>
        <v>-317.31280384588797</v>
      </c>
      <c r="AX43" s="85">
        <f t="shared" si="33"/>
        <v>-388.74857021871537</v>
      </c>
      <c r="AY43" s="85">
        <f t="shared" si="33"/>
        <v>-777.55496048755265</v>
      </c>
      <c r="AZ43" s="85">
        <f t="shared" si="33"/>
        <v>806.61126817196043</v>
      </c>
      <c r="BA43" s="85">
        <f t="shared" si="33"/>
        <v>-339.08060040086519</v>
      </c>
      <c r="BB43" s="85">
        <f t="shared" ref="BB43:BP43" si="35">BB31/BB33</f>
        <v>-298.37470209304109</v>
      </c>
      <c r="BC43" s="85" t="e">
        <f t="shared" si="35"/>
        <v>#DIV/0!</v>
      </c>
      <c r="BD43" s="85" t="e">
        <f t="shared" si="35"/>
        <v>#DIV/0!</v>
      </c>
      <c r="BE43" s="85" t="e">
        <f t="shared" si="35"/>
        <v>#DIV/0!</v>
      </c>
      <c r="BF43" s="85" t="e">
        <f t="shared" si="35"/>
        <v>#DIV/0!</v>
      </c>
      <c r="BG43" s="85" t="e">
        <f t="shared" si="35"/>
        <v>#DIV/0!</v>
      </c>
      <c r="BH43" s="85" t="e">
        <f t="shared" si="35"/>
        <v>#DIV/0!</v>
      </c>
      <c r="BI43" s="85" t="e">
        <f t="shared" si="35"/>
        <v>#DIV/0!</v>
      </c>
      <c r="BJ43" s="85" t="e">
        <f t="shared" si="35"/>
        <v>#DIV/0!</v>
      </c>
      <c r="BK43" s="85" t="e">
        <f t="shared" si="35"/>
        <v>#DIV/0!</v>
      </c>
      <c r="BL43" s="85" t="e">
        <f t="shared" si="35"/>
        <v>#DIV/0!</v>
      </c>
      <c r="BM43" s="85" t="e">
        <f t="shared" si="35"/>
        <v>#DIV/0!</v>
      </c>
      <c r="BN43" s="85" t="e">
        <f t="shared" si="35"/>
        <v>#DIV/0!</v>
      </c>
      <c r="BO43" s="85" t="e">
        <f t="shared" si="35"/>
        <v>#DIV/0!</v>
      </c>
      <c r="BP43" s="85" t="e">
        <f t="shared" si="35"/>
        <v>#DIV/0!</v>
      </c>
    </row>
    <row r="44" spans="1:72" ht="15" customHeight="1">
      <c r="A44" s="143"/>
      <c r="B44" s="142" t="s">
        <v>180</v>
      </c>
      <c r="C44" s="149" t="s">
        <v>115</v>
      </c>
      <c r="D44" s="85">
        <f>D32/D33</f>
        <v>531.42073355873367</v>
      </c>
      <c r="E44" s="85">
        <f t="shared" ref="E44:J44" si="36">E32/E33</f>
        <v>483.35</v>
      </c>
      <c r="F44" s="85" t="e">
        <f t="shared" si="36"/>
        <v>#DIV/0!</v>
      </c>
      <c r="G44" s="85" t="e">
        <f t="shared" si="36"/>
        <v>#DIV/0!</v>
      </c>
      <c r="H44" s="85" t="e">
        <f t="shared" si="36"/>
        <v>#DIV/0!</v>
      </c>
      <c r="I44" s="85" t="e">
        <f t="shared" si="36"/>
        <v>#DIV/0!</v>
      </c>
      <c r="J44" s="85" t="e">
        <f t="shared" si="36"/>
        <v>#DIV/0!</v>
      </c>
      <c r="K44" s="85" t="e">
        <f t="shared" ref="K44:BA44" si="37">K32/K33</f>
        <v>#DIV/0!</v>
      </c>
      <c r="L44" s="85" t="e">
        <f t="shared" si="37"/>
        <v>#DIV/0!</v>
      </c>
      <c r="M44" s="85" t="e">
        <f t="shared" si="37"/>
        <v>#DIV/0!</v>
      </c>
      <c r="N44" s="85" t="e">
        <f t="shared" si="37"/>
        <v>#DIV/0!</v>
      </c>
      <c r="O44" s="85">
        <f t="shared" si="37"/>
        <v>408.80178082191782</v>
      </c>
      <c r="P44" s="85">
        <f t="shared" si="37"/>
        <v>459.82916922378115</v>
      </c>
      <c r="Q44" s="85">
        <f t="shared" si="37"/>
        <v>447.17982078853044</v>
      </c>
      <c r="R44" s="85">
        <f t="shared" si="37"/>
        <v>489.95317073170736</v>
      </c>
      <c r="S44" s="85">
        <f t="shared" si="37"/>
        <v>489.31670664667917</v>
      </c>
      <c r="T44" s="85">
        <f t="shared" si="37"/>
        <v>502.11701298701297</v>
      </c>
      <c r="U44" s="85">
        <f t="shared" si="37"/>
        <v>441.56031645569618</v>
      </c>
      <c r="V44" s="85">
        <f t="shared" si="37"/>
        <v>551.79927869553683</v>
      </c>
      <c r="W44" s="85">
        <f t="shared" si="37"/>
        <v>690.26470899470894</v>
      </c>
      <c r="X44" s="85">
        <f t="shared" ref="X44:AJ44" si="38">X32/X33</f>
        <v>433.48499999999996</v>
      </c>
      <c r="Y44" s="85">
        <f t="shared" si="38"/>
        <v>576.26483775404552</v>
      </c>
      <c r="Z44" s="85">
        <f t="shared" si="38"/>
        <v>531.28437763713077</v>
      </c>
      <c r="AA44" s="85">
        <f t="shared" si="38"/>
        <v>716.9784662576684</v>
      </c>
      <c r="AB44" s="85">
        <f t="shared" si="38"/>
        <v>441.3281538461539</v>
      </c>
      <c r="AC44" s="85" t="e">
        <f t="shared" si="38"/>
        <v>#DIV/0!</v>
      </c>
      <c r="AD44" s="85" t="e">
        <f t="shared" si="38"/>
        <v>#DIV/0!</v>
      </c>
      <c r="AE44" s="85" t="e">
        <f t="shared" si="38"/>
        <v>#DIV/0!</v>
      </c>
      <c r="AF44" s="85" t="e">
        <f t="shared" si="38"/>
        <v>#DIV/0!</v>
      </c>
      <c r="AG44" s="85" t="e">
        <f t="shared" si="38"/>
        <v>#DIV/0!</v>
      </c>
      <c r="AH44" s="85" t="e">
        <f t="shared" si="38"/>
        <v>#DIV/0!</v>
      </c>
      <c r="AI44" s="85" t="e">
        <f t="shared" si="38"/>
        <v>#DIV/0!</v>
      </c>
      <c r="AJ44" s="85" t="e">
        <f t="shared" si="38"/>
        <v>#DIV/0!</v>
      </c>
      <c r="AK44" s="85" t="e">
        <f t="shared" si="37"/>
        <v>#DIV/0!</v>
      </c>
      <c r="AL44" s="85" t="e">
        <f t="shared" si="37"/>
        <v>#DIV/0!</v>
      </c>
      <c r="AM44" s="85" t="e">
        <f t="shared" si="37"/>
        <v>#DIV/0!</v>
      </c>
      <c r="AN44" s="85" t="e">
        <f t="shared" si="37"/>
        <v>#DIV/0!</v>
      </c>
      <c r="AO44" s="85" t="e">
        <f t="shared" si="37"/>
        <v>#DIV/0!</v>
      </c>
      <c r="AP44" s="85" t="e">
        <f t="shared" si="37"/>
        <v>#DIV/0!</v>
      </c>
      <c r="AQ44" s="85" t="e">
        <f t="shared" si="37"/>
        <v>#DIV/0!</v>
      </c>
      <c r="AR44" s="85" t="e">
        <f t="shared" si="37"/>
        <v>#DIV/0!</v>
      </c>
      <c r="AS44" s="85" t="e">
        <f t="shared" si="37"/>
        <v>#DIV/0!</v>
      </c>
      <c r="AT44" s="85" t="e">
        <f t="shared" si="37"/>
        <v>#DIV/0!</v>
      </c>
      <c r="AU44" s="85">
        <f t="shared" si="37"/>
        <v>833.08652173913049</v>
      </c>
      <c r="AV44" s="85">
        <f t="shared" si="37"/>
        <v>377.82416184971038</v>
      </c>
      <c r="AW44" s="85">
        <f t="shared" si="37"/>
        <v>271.94</v>
      </c>
      <c r="AX44" s="85">
        <f t="shared" si="37"/>
        <v>353.45152614727959</v>
      </c>
      <c r="AY44" s="85">
        <f t="shared" si="37"/>
        <v>676.66</v>
      </c>
      <c r="AZ44" s="85">
        <f t="shared" si="37"/>
        <v>490.67698113207547</v>
      </c>
      <c r="BA44" s="85">
        <f t="shared" si="37"/>
        <v>308.65333333333336</v>
      </c>
      <c r="BB44" s="85">
        <f t="shared" ref="BB44:BP44" si="39">BB32/BB33</f>
        <v>278.04000000000002</v>
      </c>
      <c r="BC44" s="85" t="e">
        <f t="shared" si="39"/>
        <v>#DIV/0!</v>
      </c>
      <c r="BD44" s="85" t="e">
        <f t="shared" si="39"/>
        <v>#DIV/0!</v>
      </c>
      <c r="BE44" s="85" t="e">
        <f t="shared" si="39"/>
        <v>#DIV/0!</v>
      </c>
      <c r="BF44" s="85" t="e">
        <f t="shared" si="39"/>
        <v>#DIV/0!</v>
      </c>
      <c r="BG44" s="85" t="e">
        <f t="shared" si="39"/>
        <v>#DIV/0!</v>
      </c>
      <c r="BH44" s="85" t="e">
        <f t="shared" si="39"/>
        <v>#DIV/0!</v>
      </c>
      <c r="BI44" s="85" t="e">
        <f t="shared" si="39"/>
        <v>#DIV/0!</v>
      </c>
      <c r="BJ44" s="85" t="e">
        <f t="shared" si="39"/>
        <v>#DIV/0!</v>
      </c>
      <c r="BK44" s="85" t="e">
        <f t="shared" si="39"/>
        <v>#DIV/0!</v>
      </c>
      <c r="BL44" s="85" t="e">
        <f t="shared" si="39"/>
        <v>#DIV/0!</v>
      </c>
      <c r="BM44" s="85" t="e">
        <f t="shared" si="39"/>
        <v>#DIV/0!</v>
      </c>
      <c r="BN44" s="85" t="e">
        <f t="shared" si="39"/>
        <v>#DIV/0!</v>
      </c>
      <c r="BO44" s="85" t="e">
        <f t="shared" si="39"/>
        <v>#DIV/0!</v>
      </c>
      <c r="BP44" s="85" t="e">
        <f t="shared" si="39"/>
        <v>#DIV/0!</v>
      </c>
    </row>
    <row r="45" spans="1:72" ht="15" customHeight="1"/>
    <row r="46" spans="1:72" ht="15" customHeight="1">
      <c r="C46" s="76" t="s">
        <v>121</v>
      </c>
    </row>
    <row r="47" spans="1:72" ht="15" customHeight="1">
      <c r="B47" s="140" t="s">
        <v>181</v>
      </c>
      <c r="C47" s="157" t="s">
        <v>106</v>
      </c>
      <c r="D47" s="159"/>
      <c r="E47" s="185" t="str">
        <f t="shared" ref="E47:J47" si="40">IF(E13&lt;&gt;"",E13,"")</f>
        <v>82824GA0110013</v>
      </c>
      <c r="F47" s="185" t="str">
        <f t="shared" si="40"/>
        <v>82824GA0110016</v>
      </c>
      <c r="G47" s="185" t="str">
        <f t="shared" si="40"/>
        <v>82824GA0110019</v>
      </c>
      <c r="H47" s="185" t="str">
        <f t="shared" si="40"/>
        <v>82824GA0110022</v>
      </c>
      <c r="I47" s="185" t="str">
        <f t="shared" si="40"/>
        <v>82824GA0110025</v>
      </c>
      <c r="J47" s="185" t="str">
        <f t="shared" si="40"/>
        <v>82824GA0110028</v>
      </c>
      <c r="K47" s="185" t="str">
        <f t="shared" ref="K47:BA47" si="41">IF(K13&lt;&gt;"",K13,"")</f>
        <v>82824GA0110029</v>
      </c>
      <c r="L47" s="185" t="str">
        <f t="shared" si="41"/>
        <v>82824GA0110030</v>
      </c>
      <c r="M47" s="185" t="str">
        <f t="shared" si="41"/>
        <v>82824GA0110031</v>
      </c>
      <c r="N47" s="185" t="str">
        <f t="shared" si="41"/>
        <v>82824GA0110032</v>
      </c>
      <c r="O47" s="185" t="str">
        <f t="shared" si="41"/>
        <v>82824GA0110001</v>
      </c>
      <c r="P47" s="185" t="str">
        <f t="shared" si="41"/>
        <v>82824GA0110002</v>
      </c>
      <c r="Q47" s="185" t="str">
        <f t="shared" si="41"/>
        <v>82824GA0110003</v>
      </c>
      <c r="R47" s="185" t="str">
        <f t="shared" si="41"/>
        <v>82824GA0110004</v>
      </c>
      <c r="S47" s="185" t="str">
        <f t="shared" si="41"/>
        <v>82824GA0110005</v>
      </c>
      <c r="T47" s="185" t="str">
        <f t="shared" si="41"/>
        <v>82824GA0110006</v>
      </c>
      <c r="U47" s="185" t="str">
        <f t="shared" si="41"/>
        <v>82824GA0110007</v>
      </c>
      <c r="V47" s="185" t="str">
        <f t="shared" si="41"/>
        <v>82824GA0110008</v>
      </c>
      <c r="W47" s="185" t="str">
        <f t="shared" si="41"/>
        <v>82824GA0110009</v>
      </c>
      <c r="X47" s="185" t="str">
        <f t="shared" ref="X47:AJ47" si="42">IF(X13&lt;&gt;"",X13,"")</f>
        <v>82824GA0110010</v>
      </c>
      <c r="Y47" s="185" t="str">
        <f t="shared" si="42"/>
        <v>82824GA0110011</v>
      </c>
      <c r="Z47" s="185" t="str">
        <f t="shared" si="42"/>
        <v>82824GA0110012</v>
      </c>
      <c r="AA47" s="185" t="str">
        <f t="shared" si="42"/>
        <v>82824GA0110014</v>
      </c>
      <c r="AB47" s="185" t="str">
        <f t="shared" si="42"/>
        <v>82824GA0110015</v>
      </c>
      <c r="AC47" s="185" t="str">
        <f t="shared" si="42"/>
        <v>82824GA0110017</v>
      </c>
      <c r="AD47" s="185" t="str">
        <f t="shared" si="42"/>
        <v>82824GA0110018</v>
      </c>
      <c r="AE47" s="185" t="str">
        <f t="shared" si="42"/>
        <v>82824GA0110020</v>
      </c>
      <c r="AF47" s="185" t="str">
        <f t="shared" si="42"/>
        <v>82824GA0110021</v>
      </c>
      <c r="AG47" s="185" t="str">
        <f t="shared" si="42"/>
        <v>82824GA0110023</v>
      </c>
      <c r="AH47" s="185" t="str">
        <f t="shared" si="42"/>
        <v>82824GA0110024</v>
      </c>
      <c r="AI47" s="185" t="str">
        <f t="shared" si="42"/>
        <v>82824GA0110026</v>
      </c>
      <c r="AJ47" s="185" t="str">
        <f t="shared" si="42"/>
        <v>82824GA0110027</v>
      </c>
      <c r="AK47" s="185" t="str">
        <f t="shared" si="41"/>
        <v>82824GA0120003</v>
      </c>
      <c r="AL47" s="185" t="str">
        <f t="shared" si="41"/>
        <v>82824GA0120018</v>
      </c>
      <c r="AM47" s="185" t="str">
        <f t="shared" si="41"/>
        <v>82824GA0120021</v>
      </c>
      <c r="AN47" s="185" t="str">
        <f t="shared" si="41"/>
        <v>82824GA0120024</v>
      </c>
      <c r="AO47" s="185" t="str">
        <f t="shared" si="41"/>
        <v>82824GA0120027</v>
      </c>
      <c r="AP47" s="185" t="str">
        <f t="shared" si="41"/>
        <v>82824GA0120028</v>
      </c>
      <c r="AQ47" s="185" t="str">
        <f t="shared" si="41"/>
        <v>82824GA0120029</v>
      </c>
      <c r="AR47" s="185" t="str">
        <f t="shared" si="41"/>
        <v>82824GA0120030</v>
      </c>
      <c r="AS47" s="185" t="str">
        <f t="shared" si="41"/>
        <v>82824GA0120031</v>
      </c>
      <c r="AT47" s="185" t="str">
        <f t="shared" si="41"/>
        <v>82824GA0120032</v>
      </c>
      <c r="AU47" s="185" t="str">
        <f t="shared" si="41"/>
        <v>82824GA0120001</v>
      </c>
      <c r="AV47" s="185" t="str">
        <f t="shared" si="41"/>
        <v>82824GA0120002</v>
      </c>
      <c r="AW47" s="185" t="str">
        <f t="shared" si="41"/>
        <v>82824GA0120004</v>
      </c>
      <c r="AX47" s="185" t="str">
        <f t="shared" si="41"/>
        <v>82824GA0120005</v>
      </c>
      <c r="AY47" s="185" t="str">
        <f t="shared" si="41"/>
        <v>82824GA0120006</v>
      </c>
      <c r="AZ47" s="185" t="str">
        <f t="shared" si="41"/>
        <v>82824GA0120008</v>
      </c>
      <c r="BA47" s="185" t="str">
        <f t="shared" si="41"/>
        <v>82824GA0120010</v>
      </c>
      <c r="BB47" s="185" t="str">
        <f t="shared" ref="BB47:BP47" si="43">IF(BB13&lt;&gt;"",BB13,"")</f>
        <v>82824GA0120011</v>
      </c>
      <c r="BC47" s="185" t="str">
        <f t="shared" si="43"/>
        <v>82824GA0120007</v>
      </c>
      <c r="BD47" s="185" t="str">
        <f t="shared" si="43"/>
        <v>82824GA0120009</v>
      </c>
      <c r="BE47" s="185" t="str">
        <f t="shared" si="43"/>
        <v>82824GA0120012</v>
      </c>
      <c r="BF47" s="185" t="str">
        <f t="shared" si="43"/>
        <v>82824GA0120013</v>
      </c>
      <c r="BG47" s="185" t="str">
        <f t="shared" si="43"/>
        <v>82824GA0120014</v>
      </c>
      <c r="BH47" s="185" t="str">
        <f t="shared" si="43"/>
        <v>82824GA0120015</v>
      </c>
      <c r="BI47" s="185" t="str">
        <f t="shared" si="43"/>
        <v>82824GA0120016</v>
      </c>
      <c r="BJ47" s="185" t="str">
        <f t="shared" si="43"/>
        <v>82824GA0120017</v>
      </c>
      <c r="BK47" s="185" t="str">
        <f t="shared" si="43"/>
        <v>82824GA0120019</v>
      </c>
      <c r="BL47" s="185" t="str">
        <f t="shared" si="43"/>
        <v>82824GA0120020</v>
      </c>
      <c r="BM47" s="185" t="str">
        <f t="shared" si="43"/>
        <v>82824GA0120022</v>
      </c>
      <c r="BN47" s="185" t="str">
        <f t="shared" si="43"/>
        <v>82824GA0120023</v>
      </c>
      <c r="BO47" s="185" t="str">
        <f t="shared" si="43"/>
        <v>82824GA0120025</v>
      </c>
      <c r="BP47" s="185" t="str">
        <f t="shared" si="43"/>
        <v>82824GA0120026</v>
      </c>
    </row>
    <row r="48" spans="1:72" ht="15" customHeight="1">
      <c r="B48" s="140" t="s">
        <v>182</v>
      </c>
      <c r="C48" s="157" t="s">
        <v>122</v>
      </c>
      <c r="D48" s="160"/>
      <c r="E48" s="255">
        <f>'Wksh 1 - Market Experience'!F46</f>
        <v>657.70576131687244</v>
      </c>
      <c r="F48" s="256"/>
      <c r="G48" s="256"/>
      <c r="H48" s="256"/>
      <c r="I48" s="256"/>
      <c r="J48" s="256"/>
      <c r="K48" s="256"/>
      <c r="L48" s="256"/>
      <c r="M48" s="256"/>
      <c r="N48" s="256"/>
      <c r="O48" s="256"/>
      <c r="P48" s="256"/>
      <c r="Q48" s="256"/>
      <c r="R48" s="256"/>
      <c r="S48" s="256"/>
      <c r="T48" s="256"/>
      <c r="U48" s="256"/>
      <c r="V48" s="256"/>
      <c r="W48" s="256"/>
      <c r="X48" s="256"/>
      <c r="Y48" s="256"/>
      <c r="Z48" s="256"/>
      <c r="AA48" s="256"/>
      <c r="AB48" s="256"/>
      <c r="AC48" s="256"/>
      <c r="AD48" s="256"/>
      <c r="AE48" s="256"/>
      <c r="AF48" s="256"/>
      <c r="AG48" s="256"/>
      <c r="AH48" s="256"/>
      <c r="AI48" s="256"/>
      <c r="AJ48" s="256"/>
      <c r="AK48" s="256"/>
      <c r="AL48" s="256"/>
      <c r="AM48" s="256"/>
      <c r="AN48" s="256"/>
      <c r="AO48" s="256"/>
      <c r="AP48" s="256"/>
      <c r="AQ48" s="256"/>
      <c r="AR48" s="256"/>
      <c r="AS48" s="256"/>
      <c r="AT48" s="256"/>
      <c r="AU48" s="256"/>
      <c r="AV48" s="256"/>
      <c r="AW48" s="256"/>
      <c r="AX48" s="256"/>
      <c r="AY48" s="256"/>
      <c r="AZ48" s="256"/>
      <c r="BA48" s="256"/>
      <c r="BB48" s="256"/>
      <c r="BC48" s="256"/>
      <c r="BD48" s="256"/>
      <c r="BE48" s="256"/>
      <c r="BF48" s="256"/>
      <c r="BG48" s="256"/>
      <c r="BH48" s="256"/>
      <c r="BI48" s="256"/>
      <c r="BJ48" s="256"/>
      <c r="BK48" s="256"/>
      <c r="BL48" s="256"/>
      <c r="BM48" s="256"/>
      <c r="BN48" s="256"/>
      <c r="BO48" s="256"/>
      <c r="BP48" s="257"/>
    </row>
    <row r="49" spans="2:68" ht="15" customHeight="1">
      <c r="B49" s="140" t="s">
        <v>183</v>
      </c>
      <c r="C49" s="157" t="s">
        <v>123</v>
      </c>
      <c r="D49" s="160"/>
      <c r="E49" s="187">
        <v>0.85329999999999995</v>
      </c>
      <c r="F49" s="187">
        <v>0.69499999999999995</v>
      </c>
      <c r="G49" s="187">
        <v>0.95899999999999996</v>
      </c>
      <c r="H49" s="187">
        <v>0.87239999999999995</v>
      </c>
      <c r="I49" s="187">
        <v>0.85340000000000005</v>
      </c>
      <c r="J49" s="187">
        <v>0.68120000000000003</v>
      </c>
      <c r="K49" s="187">
        <v>0.77110000000000001</v>
      </c>
      <c r="L49" s="187">
        <v>0.9526</v>
      </c>
      <c r="M49" s="187">
        <v>0.96630000000000005</v>
      </c>
      <c r="N49" s="187">
        <v>0.87180000000000002</v>
      </c>
      <c r="O49" s="187">
        <v>0</v>
      </c>
      <c r="P49" s="187">
        <v>0</v>
      </c>
      <c r="Q49" s="187">
        <v>0</v>
      </c>
      <c r="R49" s="187">
        <v>0</v>
      </c>
      <c r="S49" s="187">
        <v>0</v>
      </c>
      <c r="T49" s="187">
        <v>0</v>
      </c>
      <c r="U49" s="187">
        <v>0</v>
      </c>
      <c r="V49" s="187">
        <v>0</v>
      </c>
      <c r="W49" s="187">
        <v>0</v>
      </c>
      <c r="X49" s="187">
        <v>0</v>
      </c>
      <c r="Y49" s="187">
        <v>0</v>
      </c>
      <c r="Z49" s="187">
        <v>0</v>
      </c>
      <c r="AA49" s="187">
        <v>0</v>
      </c>
      <c r="AB49" s="187">
        <v>0</v>
      </c>
      <c r="AC49" s="187">
        <v>0</v>
      </c>
      <c r="AD49" s="187">
        <v>0</v>
      </c>
      <c r="AE49" s="187">
        <v>0</v>
      </c>
      <c r="AF49" s="187">
        <v>0</v>
      </c>
      <c r="AG49" s="187">
        <v>0</v>
      </c>
      <c r="AH49" s="187">
        <v>0</v>
      </c>
      <c r="AI49" s="187">
        <v>0</v>
      </c>
      <c r="AJ49" s="187">
        <v>0</v>
      </c>
      <c r="AK49" s="187">
        <v>0.71550000000000002</v>
      </c>
      <c r="AL49" s="187">
        <v>0.71550000000000002</v>
      </c>
      <c r="AM49" s="187">
        <v>0.73150000000000004</v>
      </c>
      <c r="AN49" s="187">
        <v>0.69499999999999995</v>
      </c>
      <c r="AO49" s="187">
        <v>0.95899999999999996</v>
      </c>
      <c r="AP49" s="187">
        <v>0.68120000000000003</v>
      </c>
      <c r="AQ49" s="187">
        <v>0.77110000000000001</v>
      </c>
      <c r="AR49" s="187">
        <v>0.9526</v>
      </c>
      <c r="AS49" s="187">
        <v>0.96630000000000005</v>
      </c>
      <c r="AT49" s="187">
        <v>0.73109999999999997</v>
      </c>
      <c r="AU49" s="187">
        <v>0</v>
      </c>
      <c r="AV49" s="187">
        <v>0</v>
      </c>
      <c r="AW49" s="187">
        <v>0</v>
      </c>
      <c r="AX49" s="187">
        <v>0</v>
      </c>
      <c r="AY49" s="187">
        <v>0</v>
      </c>
      <c r="AZ49" s="187">
        <v>0</v>
      </c>
      <c r="BA49" s="187">
        <v>0</v>
      </c>
      <c r="BB49" s="187">
        <v>0</v>
      </c>
      <c r="BC49" s="187">
        <v>0</v>
      </c>
      <c r="BD49" s="187">
        <v>0</v>
      </c>
      <c r="BE49" s="187">
        <v>0</v>
      </c>
      <c r="BF49" s="187">
        <v>0</v>
      </c>
      <c r="BG49" s="187">
        <v>0</v>
      </c>
      <c r="BH49" s="187">
        <v>0</v>
      </c>
      <c r="BI49" s="187">
        <v>0</v>
      </c>
      <c r="BJ49" s="187">
        <v>0</v>
      </c>
      <c r="BK49" s="187">
        <v>0</v>
      </c>
      <c r="BL49" s="187">
        <v>0</v>
      </c>
      <c r="BM49" s="187">
        <v>0</v>
      </c>
      <c r="BN49" s="187">
        <v>0</v>
      </c>
      <c r="BO49" s="187">
        <v>0</v>
      </c>
      <c r="BP49" s="187">
        <v>0</v>
      </c>
    </row>
    <row r="50" spans="2:68" ht="15" customHeight="1">
      <c r="B50" s="140" t="s">
        <v>184</v>
      </c>
      <c r="C50" s="157" t="s">
        <v>124</v>
      </c>
      <c r="D50" s="160"/>
      <c r="E50" s="187">
        <v>1</v>
      </c>
      <c r="F50" s="187">
        <v>1</v>
      </c>
      <c r="G50" s="187">
        <v>1</v>
      </c>
      <c r="H50" s="187">
        <v>1</v>
      </c>
      <c r="I50" s="187">
        <v>1</v>
      </c>
      <c r="J50" s="187">
        <v>1</v>
      </c>
      <c r="K50" s="187">
        <v>1</v>
      </c>
      <c r="L50" s="187">
        <v>1</v>
      </c>
      <c r="M50" s="187">
        <v>1</v>
      </c>
      <c r="N50" s="187">
        <v>1</v>
      </c>
      <c r="O50" s="187">
        <v>0</v>
      </c>
      <c r="P50" s="187">
        <v>0</v>
      </c>
      <c r="Q50" s="187">
        <v>0</v>
      </c>
      <c r="R50" s="187">
        <v>0</v>
      </c>
      <c r="S50" s="187">
        <v>0</v>
      </c>
      <c r="T50" s="187">
        <v>0</v>
      </c>
      <c r="U50" s="187">
        <v>0</v>
      </c>
      <c r="V50" s="187">
        <v>0</v>
      </c>
      <c r="W50" s="187">
        <v>0</v>
      </c>
      <c r="X50" s="187">
        <v>0</v>
      </c>
      <c r="Y50" s="187">
        <v>0</v>
      </c>
      <c r="Z50" s="187">
        <v>0</v>
      </c>
      <c r="AA50" s="187">
        <v>0</v>
      </c>
      <c r="AB50" s="187">
        <v>0</v>
      </c>
      <c r="AC50" s="187">
        <v>0</v>
      </c>
      <c r="AD50" s="187">
        <v>0</v>
      </c>
      <c r="AE50" s="187">
        <v>0</v>
      </c>
      <c r="AF50" s="187">
        <v>0</v>
      </c>
      <c r="AG50" s="187">
        <v>0</v>
      </c>
      <c r="AH50" s="187">
        <v>0</v>
      </c>
      <c r="AI50" s="187">
        <v>0</v>
      </c>
      <c r="AJ50" s="187">
        <v>0</v>
      </c>
      <c r="AK50" s="187">
        <v>1</v>
      </c>
      <c r="AL50" s="187">
        <v>1</v>
      </c>
      <c r="AM50" s="187">
        <v>1</v>
      </c>
      <c r="AN50" s="187">
        <v>1</v>
      </c>
      <c r="AO50" s="187">
        <v>1</v>
      </c>
      <c r="AP50" s="187">
        <v>1</v>
      </c>
      <c r="AQ50" s="187">
        <v>1</v>
      </c>
      <c r="AR50" s="187">
        <v>1</v>
      </c>
      <c r="AS50" s="187">
        <v>1</v>
      </c>
      <c r="AT50" s="187">
        <v>1</v>
      </c>
      <c r="AU50" s="187">
        <v>0</v>
      </c>
      <c r="AV50" s="187">
        <v>0</v>
      </c>
      <c r="AW50" s="187">
        <v>0</v>
      </c>
      <c r="AX50" s="187">
        <v>0</v>
      </c>
      <c r="AY50" s="187">
        <v>0</v>
      </c>
      <c r="AZ50" s="187">
        <v>0</v>
      </c>
      <c r="BA50" s="187">
        <v>0</v>
      </c>
      <c r="BB50" s="187">
        <v>0</v>
      </c>
      <c r="BC50" s="187">
        <v>0</v>
      </c>
      <c r="BD50" s="187">
        <v>0</v>
      </c>
      <c r="BE50" s="187">
        <v>0</v>
      </c>
      <c r="BF50" s="187">
        <v>0</v>
      </c>
      <c r="BG50" s="187">
        <v>0</v>
      </c>
      <c r="BH50" s="187">
        <v>0</v>
      </c>
      <c r="BI50" s="187">
        <v>0</v>
      </c>
      <c r="BJ50" s="187">
        <v>0</v>
      </c>
      <c r="BK50" s="187">
        <v>0</v>
      </c>
      <c r="BL50" s="187">
        <v>0</v>
      </c>
      <c r="BM50" s="187">
        <v>0</v>
      </c>
      <c r="BN50" s="187">
        <v>0</v>
      </c>
      <c r="BO50" s="187">
        <v>0</v>
      </c>
      <c r="BP50" s="187">
        <v>0</v>
      </c>
    </row>
    <row r="51" spans="2:68" ht="15" customHeight="1">
      <c r="B51" s="142" t="s">
        <v>185</v>
      </c>
      <c r="C51" s="158" t="s">
        <v>125</v>
      </c>
      <c r="D51" s="161"/>
      <c r="E51" s="187">
        <v>1</v>
      </c>
      <c r="F51" s="187">
        <v>1</v>
      </c>
      <c r="G51" s="187">
        <v>1</v>
      </c>
      <c r="H51" s="187">
        <v>1</v>
      </c>
      <c r="I51" s="187">
        <v>1</v>
      </c>
      <c r="J51" s="187">
        <v>1</v>
      </c>
      <c r="K51" s="187">
        <v>1</v>
      </c>
      <c r="L51" s="187">
        <v>1</v>
      </c>
      <c r="M51" s="187">
        <v>1</v>
      </c>
      <c r="N51" s="187">
        <v>1</v>
      </c>
      <c r="O51" s="187">
        <v>0</v>
      </c>
      <c r="P51" s="187">
        <v>0</v>
      </c>
      <c r="Q51" s="187">
        <v>0</v>
      </c>
      <c r="R51" s="187">
        <v>0</v>
      </c>
      <c r="S51" s="187">
        <v>0</v>
      </c>
      <c r="T51" s="187">
        <v>0</v>
      </c>
      <c r="U51" s="187">
        <v>0</v>
      </c>
      <c r="V51" s="187">
        <v>0</v>
      </c>
      <c r="W51" s="187">
        <v>0</v>
      </c>
      <c r="X51" s="187">
        <v>0</v>
      </c>
      <c r="Y51" s="187">
        <v>0</v>
      </c>
      <c r="Z51" s="187">
        <v>0</v>
      </c>
      <c r="AA51" s="187">
        <v>0</v>
      </c>
      <c r="AB51" s="187">
        <v>0</v>
      </c>
      <c r="AC51" s="187">
        <v>0</v>
      </c>
      <c r="AD51" s="187">
        <v>0</v>
      </c>
      <c r="AE51" s="187">
        <v>0</v>
      </c>
      <c r="AF51" s="187">
        <v>0</v>
      </c>
      <c r="AG51" s="187">
        <v>0</v>
      </c>
      <c r="AH51" s="187">
        <v>0</v>
      </c>
      <c r="AI51" s="187">
        <v>0</v>
      </c>
      <c r="AJ51" s="187">
        <v>0</v>
      </c>
      <c r="AK51" s="187">
        <v>1.0041</v>
      </c>
      <c r="AL51" s="187">
        <v>1.0041</v>
      </c>
      <c r="AM51" s="187">
        <v>1.0041</v>
      </c>
      <c r="AN51" s="187">
        <v>1.0041</v>
      </c>
      <c r="AO51" s="187">
        <v>1.0041</v>
      </c>
      <c r="AP51" s="187">
        <v>1.0041</v>
      </c>
      <c r="AQ51" s="187">
        <v>1.0041</v>
      </c>
      <c r="AR51" s="187">
        <v>1.0041</v>
      </c>
      <c r="AS51" s="187">
        <v>1.0041</v>
      </c>
      <c r="AT51" s="187">
        <v>1.0041</v>
      </c>
      <c r="AU51" s="187">
        <v>0</v>
      </c>
      <c r="AV51" s="187">
        <v>0</v>
      </c>
      <c r="AW51" s="187">
        <v>0</v>
      </c>
      <c r="AX51" s="187">
        <v>0</v>
      </c>
      <c r="AY51" s="187">
        <v>0</v>
      </c>
      <c r="AZ51" s="187">
        <v>0</v>
      </c>
      <c r="BA51" s="187">
        <v>0</v>
      </c>
      <c r="BB51" s="187">
        <v>0</v>
      </c>
      <c r="BC51" s="187">
        <v>0</v>
      </c>
      <c r="BD51" s="187">
        <v>0</v>
      </c>
      <c r="BE51" s="187">
        <v>0</v>
      </c>
      <c r="BF51" s="187">
        <v>0</v>
      </c>
      <c r="BG51" s="187">
        <v>0</v>
      </c>
      <c r="BH51" s="187">
        <v>0</v>
      </c>
      <c r="BI51" s="187">
        <v>0</v>
      </c>
      <c r="BJ51" s="187">
        <v>0</v>
      </c>
      <c r="BK51" s="187">
        <v>0</v>
      </c>
      <c r="BL51" s="187">
        <v>0</v>
      </c>
      <c r="BM51" s="187">
        <v>0</v>
      </c>
      <c r="BN51" s="187">
        <v>0</v>
      </c>
      <c r="BO51" s="187">
        <v>0</v>
      </c>
      <c r="BP51" s="187">
        <v>0</v>
      </c>
    </row>
    <row r="52" spans="2:68" ht="15" customHeight="1">
      <c r="C52" s="77" t="s">
        <v>133</v>
      </c>
    </row>
    <row r="53" spans="2:68" ht="15" customHeight="1">
      <c r="B53" s="140" t="s">
        <v>186</v>
      </c>
      <c r="C53" s="166" t="s">
        <v>134</v>
      </c>
      <c r="D53" s="159"/>
      <c r="E53" s="190">
        <v>8.8599999999999998E-2</v>
      </c>
      <c r="F53" s="190">
        <v>0.1066</v>
      </c>
      <c r="G53" s="190">
        <v>7.9699999999999993E-2</v>
      </c>
      <c r="H53" s="190">
        <v>8.6900000000000005E-2</v>
      </c>
      <c r="I53" s="190">
        <v>8.8599999999999998E-2</v>
      </c>
      <c r="J53" s="190">
        <v>0.1085</v>
      </c>
      <c r="K53" s="190">
        <v>9.7100000000000006E-2</v>
      </c>
      <c r="L53" s="190">
        <v>8.0199999999999994E-2</v>
      </c>
      <c r="M53" s="190">
        <v>7.9100000000000004E-2</v>
      </c>
      <c r="N53" s="190">
        <v>8.6900000000000005E-2</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0.10349999999999999</v>
      </c>
      <c r="AL53" s="190">
        <v>0.10349999999999999</v>
      </c>
      <c r="AM53" s="190">
        <v>0.1014</v>
      </c>
      <c r="AN53" s="190">
        <v>0.1062</v>
      </c>
      <c r="AO53" s="190">
        <v>7.9399999999999998E-2</v>
      </c>
      <c r="AP53" s="190">
        <v>0.1081</v>
      </c>
      <c r="AQ53" s="190">
        <v>9.6799999999999997E-2</v>
      </c>
      <c r="AR53" s="190">
        <v>7.9899999999999999E-2</v>
      </c>
      <c r="AS53" s="190">
        <v>7.8799999999999995E-2</v>
      </c>
      <c r="AT53" s="190">
        <v>0.10150000000000001</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row>
    <row r="54" spans="2:68" ht="15" customHeight="1">
      <c r="B54" s="140" t="s">
        <v>187</v>
      </c>
      <c r="C54" s="166" t="s">
        <v>135</v>
      </c>
      <c r="D54" s="160"/>
      <c r="E54" s="190">
        <v>6.1999999999999998E-3</v>
      </c>
      <c r="F54" s="190">
        <v>6.4000000000000003E-3</v>
      </c>
      <c r="G54" s="190">
        <v>6.1999999999999998E-3</v>
      </c>
      <c r="H54" s="190">
        <v>6.1999999999999998E-3</v>
      </c>
      <c r="I54" s="190">
        <v>6.1999999999999998E-3</v>
      </c>
      <c r="J54" s="190">
        <v>6.4000000000000003E-3</v>
      </c>
      <c r="K54" s="190">
        <v>6.3E-3</v>
      </c>
      <c r="L54" s="190">
        <v>6.1999999999999998E-3</v>
      </c>
      <c r="M54" s="190">
        <v>6.1999999999999998E-3</v>
      </c>
      <c r="N54" s="190">
        <v>6.1999999999999998E-3</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6.4000000000000003E-3</v>
      </c>
      <c r="AL54" s="190">
        <v>6.4000000000000003E-3</v>
      </c>
      <c r="AM54" s="190">
        <v>6.3E-3</v>
      </c>
      <c r="AN54" s="190">
        <v>6.4000000000000003E-3</v>
      </c>
      <c r="AO54" s="190">
        <v>6.1999999999999998E-3</v>
      </c>
      <c r="AP54" s="190">
        <v>6.4000000000000003E-3</v>
      </c>
      <c r="AQ54" s="190">
        <v>6.3E-3</v>
      </c>
      <c r="AR54" s="190">
        <v>6.1999999999999998E-3</v>
      </c>
      <c r="AS54" s="190">
        <v>6.1000000000000004E-3</v>
      </c>
      <c r="AT54" s="190">
        <v>6.3E-3</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row>
    <row r="55" spans="2:68" ht="15" customHeight="1">
      <c r="B55" s="140" t="s">
        <v>188</v>
      </c>
      <c r="C55" s="166" t="s">
        <v>12</v>
      </c>
      <c r="D55" s="160"/>
      <c r="E55" s="190">
        <v>2.5000000000000001E-2</v>
      </c>
      <c r="F55" s="190">
        <v>2.5000000000000001E-2</v>
      </c>
      <c r="G55" s="190">
        <v>2.5000000000000001E-2</v>
      </c>
      <c r="H55" s="190">
        <v>2.5000000000000001E-2</v>
      </c>
      <c r="I55" s="190">
        <v>2.5000000000000001E-2</v>
      </c>
      <c r="J55" s="190">
        <v>2.5000000000000001E-2</v>
      </c>
      <c r="K55" s="190">
        <v>2.5000000000000001E-2</v>
      </c>
      <c r="L55" s="190">
        <v>2.5000000000000001E-2</v>
      </c>
      <c r="M55" s="190">
        <v>2.5000000000000001E-2</v>
      </c>
      <c r="N55" s="190">
        <v>2.5000000000000001E-2</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2.5000000000000001E-2</v>
      </c>
      <c r="AL55" s="190">
        <v>2.5000000000000001E-2</v>
      </c>
      <c r="AM55" s="190">
        <v>2.5000000000000001E-2</v>
      </c>
      <c r="AN55" s="190">
        <v>2.5000000000000001E-2</v>
      </c>
      <c r="AO55" s="190">
        <v>2.5000000000000001E-2</v>
      </c>
      <c r="AP55" s="190">
        <v>2.5000000000000001E-2</v>
      </c>
      <c r="AQ55" s="190">
        <v>2.5000000000000001E-2</v>
      </c>
      <c r="AR55" s="190">
        <v>2.5000000000000001E-2</v>
      </c>
      <c r="AS55" s="190">
        <v>2.5000000000000001E-2</v>
      </c>
      <c r="AT55" s="190">
        <v>2.5000000000000001E-2</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row>
    <row r="56" spans="2:68" ht="15" customHeight="1">
      <c r="B56" s="140" t="s">
        <v>189</v>
      </c>
      <c r="C56" s="157" t="s">
        <v>126</v>
      </c>
      <c r="D56" s="160"/>
      <c r="E56" s="187">
        <v>1</v>
      </c>
      <c r="F56" s="190">
        <v>1</v>
      </c>
      <c r="G56" s="190">
        <v>1</v>
      </c>
      <c r="H56" s="190">
        <v>1</v>
      </c>
      <c r="I56" s="190">
        <v>1</v>
      </c>
      <c r="J56" s="190">
        <v>1</v>
      </c>
      <c r="K56" s="190">
        <v>1</v>
      </c>
      <c r="L56" s="190">
        <v>1</v>
      </c>
      <c r="M56" s="190">
        <v>1</v>
      </c>
      <c r="N56" s="190">
        <v>1</v>
      </c>
      <c r="O56" s="190">
        <v>0</v>
      </c>
      <c r="P56" s="190">
        <v>0</v>
      </c>
      <c r="Q56" s="190">
        <v>0</v>
      </c>
      <c r="R56" s="190">
        <v>0</v>
      </c>
      <c r="S56" s="190">
        <v>0</v>
      </c>
      <c r="T56" s="190">
        <v>0</v>
      </c>
      <c r="U56" s="190">
        <v>0</v>
      </c>
      <c r="V56" s="190">
        <v>0</v>
      </c>
      <c r="W56" s="190">
        <v>0</v>
      </c>
      <c r="X56" s="190">
        <v>0</v>
      </c>
      <c r="Y56" s="190">
        <v>0</v>
      </c>
      <c r="Z56" s="190">
        <v>0</v>
      </c>
      <c r="AA56" s="190">
        <v>0</v>
      </c>
      <c r="AB56" s="190">
        <v>0</v>
      </c>
      <c r="AC56" s="187">
        <v>0</v>
      </c>
      <c r="AD56" s="187">
        <v>0</v>
      </c>
      <c r="AE56" s="187">
        <v>0</v>
      </c>
      <c r="AF56" s="187">
        <v>0</v>
      </c>
      <c r="AG56" s="187">
        <v>0</v>
      </c>
      <c r="AH56" s="187">
        <v>0</v>
      </c>
      <c r="AI56" s="187">
        <v>0</v>
      </c>
      <c r="AJ56" s="187">
        <v>0</v>
      </c>
      <c r="AK56" s="190">
        <v>1</v>
      </c>
      <c r="AL56" s="190">
        <v>1</v>
      </c>
      <c r="AM56" s="190">
        <v>1</v>
      </c>
      <c r="AN56" s="190">
        <v>1</v>
      </c>
      <c r="AO56" s="190">
        <v>1</v>
      </c>
      <c r="AP56" s="190">
        <v>1</v>
      </c>
      <c r="AQ56" s="190">
        <v>1</v>
      </c>
      <c r="AR56" s="190">
        <v>1</v>
      </c>
      <c r="AS56" s="190">
        <v>1</v>
      </c>
      <c r="AT56" s="190">
        <v>1</v>
      </c>
      <c r="AU56" s="190">
        <v>0</v>
      </c>
      <c r="AV56" s="190">
        <v>0</v>
      </c>
      <c r="AW56" s="190">
        <v>0</v>
      </c>
      <c r="AX56" s="190">
        <v>0</v>
      </c>
      <c r="AY56" s="190">
        <v>0</v>
      </c>
      <c r="AZ56" s="190">
        <v>0</v>
      </c>
      <c r="BA56" s="190">
        <v>0</v>
      </c>
      <c r="BB56" s="190">
        <v>0</v>
      </c>
      <c r="BC56" s="187">
        <v>0</v>
      </c>
      <c r="BD56" s="187">
        <v>0</v>
      </c>
      <c r="BE56" s="187">
        <v>0</v>
      </c>
      <c r="BF56" s="187">
        <v>0</v>
      </c>
      <c r="BG56" s="187">
        <v>0</v>
      </c>
      <c r="BH56" s="187">
        <v>0</v>
      </c>
      <c r="BI56" s="187">
        <v>0</v>
      </c>
      <c r="BJ56" s="187">
        <v>0</v>
      </c>
      <c r="BK56" s="187">
        <v>0</v>
      </c>
      <c r="BL56" s="187">
        <v>0</v>
      </c>
      <c r="BM56" s="187">
        <v>0</v>
      </c>
      <c r="BN56" s="187">
        <v>0</v>
      </c>
      <c r="BO56" s="187">
        <v>0</v>
      </c>
      <c r="BP56" s="187">
        <v>0</v>
      </c>
    </row>
    <row r="57" spans="2:68" ht="15" customHeight="1">
      <c r="B57" s="142" t="s">
        <v>190</v>
      </c>
      <c r="C57" s="167" t="s">
        <v>79</v>
      </c>
      <c r="D57" s="161"/>
      <c r="E57" s="189">
        <f t="shared" ref="E57:J57" si="44">($E$48*PRODUCT(E49:E51)*E56)/(1-SUM(E53:E55))</f>
        <v>637.60546027230998</v>
      </c>
      <c r="F57" s="189">
        <f t="shared" si="44"/>
        <v>530.28480755826718</v>
      </c>
      <c r="G57" s="189">
        <f t="shared" si="44"/>
        <v>709.41381745909428</v>
      </c>
      <c r="H57" s="189">
        <f t="shared" si="44"/>
        <v>650.62082568640369</v>
      </c>
      <c r="I57" s="189">
        <f t="shared" si="44"/>
        <v>637.68018258102586</v>
      </c>
      <c r="J57" s="189">
        <f t="shared" si="44"/>
        <v>520.90357471114237</v>
      </c>
      <c r="K57" s="189">
        <f t="shared" ref="K57:BA57" si="45">($E$48*PRODUCT(K49:K51)*K56)/(1-SUM(K53:K55))</f>
        <v>581.86887626369946</v>
      </c>
      <c r="L57" s="189">
        <f t="shared" si="45"/>
        <v>705.07597144998044</v>
      </c>
      <c r="M57" s="189">
        <f t="shared" si="45"/>
        <v>714.33188396144078</v>
      </c>
      <c r="N57" s="189">
        <f t="shared" si="45"/>
        <v>650.17335606763731</v>
      </c>
      <c r="O57" s="189">
        <f t="shared" si="45"/>
        <v>0</v>
      </c>
      <c r="P57" s="189">
        <f t="shared" si="45"/>
        <v>0</v>
      </c>
      <c r="Q57" s="189">
        <f t="shared" si="45"/>
        <v>0</v>
      </c>
      <c r="R57" s="189">
        <f t="shared" si="45"/>
        <v>0</v>
      </c>
      <c r="S57" s="189">
        <f t="shared" si="45"/>
        <v>0</v>
      </c>
      <c r="T57" s="189">
        <f t="shared" si="45"/>
        <v>0</v>
      </c>
      <c r="U57" s="189">
        <f t="shared" si="45"/>
        <v>0</v>
      </c>
      <c r="V57" s="189">
        <f t="shared" si="45"/>
        <v>0</v>
      </c>
      <c r="W57" s="189">
        <f t="shared" si="45"/>
        <v>0</v>
      </c>
      <c r="X57" s="189">
        <f t="shared" ref="X57:AJ57" si="46">($E$48*PRODUCT(X49:X51)*X56)/(1-SUM(X53:X55))</f>
        <v>0</v>
      </c>
      <c r="Y57" s="189">
        <f t="shared" si="46"/>
        <v>0</v>
      </c>
      <c r="Z57" s="189">
        <f t="shared" si="46"/>
        <v>0</v>
      </c>
      <c r="AA57" s="189">
        <f t="shared" si="46"/>
        <v>0</v>
      </c>
      <c r="AB57" s="189">
        <f t="shared" si="46"/>
        <v>0</v>
      </c>
      <c r="AC57" s="189">
        <f t="shared" si="46"/>
        <v>0</v>
      </c>
      <c r="AD57" s="189">
        <f t="shared" si="46"/>
        <v>0</v>
      </c>
      <c r="AE57" s="189">
        <f t="shared" si="46"/>
        <v>0</v>
      </c>
      <c r="AF57" s="189">
        <f t="shared" si="46"/>
        <v>0</v>
      </c>
      <c r="AG57" s="189">
        <f t="shared" si="46"/>
        <v>0</v>
      </c>
      <c r="AH57" s="189">
        <f t="shared" si="46"/>
        <v>0</v>
      </c>
      <c r="AI57" s="189">
        <f t="shared" si="46"/>
        <v>0</v>
      </c>
      <c r="AJ57" s="189">
        <f t="shared" si="46"/>
        <v>0</v>
      </c>
      <c r="AK57" s="189">
        <f t="shared" si="45"/>
        <v>546.20030627480446</v>
      </c>
      <c r="AL57" s="189">
        <f t="shared" si="45"/>
        <v>546.20030627480446</v>
      </c>
      <c r="AM57" s="189">
        <f t="shared" si="45"/>
        <v>556.9979506945067</v>
      </c>
      <c r="AN57" s="189">
        <f t="shared" si="45"/>
        <v>532.21200913972484</v>
      </c>
      <c r="AO57" s="189">
        <f t="shared" si="45"/>
        <v>712.08214345154317</v>
      </c>
      <c r="AP57" s="189">
        <f t="shared" si="45"/>
        <v>522.79614664026803</v>
      </c>
      <c r="AQ57" s="189">
        <f t="shared" si="45"/>
        <v>584.0535106008731</v>
      </c>
      <c r="AR57" s="189">
        <f t="shared" si="45"/>
        <v>707.72784713038311</v>
      </c>
      <c r="AS57" s="189">
        <f t="shared" si="45"/>
        <v>716.93831656763496</v>
      </c>
      <c r="AT57" s="189">
        <f t="shared" si="45"/>
        <v>556.75756653063922</v>
      </c>
      <c r="AU57" s="189">
        <f t="shared" si="45"/>
        <v>0</v>
      </c>
      <c r="AV57" s="189">
        <f t="shared" si="45"/>
        <v>0</v>
      </c>
      <c r="AW57" s="189">
        <f t="shared" si="45"/>
        <v>0</v>
      </c>
      <c r="AX57" s="189">
        <f t="shared" si="45"/>
        <v>0</v>
      </c>
      <c r="AY57" s="189">
        <f t="shared" si="45"/>
        <v>0</v>
      </c>
      <c r="AZ57" s="189">
        <f t="shared" si="45"/>
        <v>0</v>
      </c>
      <c r="BA57" s="189">
        <f t="shared" si="45"/>
        <v>0</v>
      </c>
      <c r="BB57" s="189">
        <f t="shared" ref="BB57:BP57" si="47">($E$48*PRODUCT(BB49:BB51)*BB56)/(1-SUM(BB53:BB55))</f>
        <v>0</v>
      </c>
      <c r="BC57" s="189">
        <f t="shared" si="47"/>
        <v>0</v>
      </c>
      <c r="BD57" s="189">
        <f t="shared" si="47"/>
        <v>0</v>
      </c>
      <c r="BE57" s="189">
        <f t="shared" si="47"/>
        <v>0</v>
      </c>
      <c r="BF57" s="189">
        <f t="shared" si="47"/>
        <v>0</v>
      </c>
      <c r="BG57" s="189">
        <f t="shared" si="47"/>
        <v>0</v>
      </c>
      <c r="BH57" s="189">
        <f t="shared" si="47"/>
        <v>0</v>
      </c>
      <c r="BI57" s="189">
        <f t="shared" si="47"/>
        <v>0</v>
      </c>
      <c r="BJ57" s="189">
        <f t="shared" si="47"/>
        <v>0</v>
      </c>
      <c r="BK57" s="189">
        <f t="shared" si="47"/>
        <v>0</v>
      </c>
      <c r="BL57" s="189">
        <f t="shared" si="47"/>
        <v>0</v>
      </c>
      <c r="BM57" s="189">
        <f t="shared" si="47"/>
        <v>0</v>
      </c>
      <c r="BN57" s="189">
        <f t="shared" si="47"/>
        <v>0</v>
      </c>
      <c r="BO57" s="189">
        <f t="shared" si="47"/>
        <v>0</v>
      </c>
      <c r="BP57" s="189">
        <f t="shared" si="47"/>
        <v>0</v>
      </c>
    </row>
    <row r="58" spans="2:68" ht="15" customHeight="1"/>
    <row r="59" spans="2:68" ht="15" customHeight="1">
      <c r="B59" s="140" t="s">
        <v>191</v>
      </c>
      <c r="C59" s="150" t="s">
        <v>127</v>
      </c>
      <c r="D59" s="202">
        <v>0.60319999999999996</v>
      </c>
      <c r="E59" s="252">
        <f>IF(D59&lt;&gt;"", D59, "")</f>
        <v>0.60319999999999996</v>
      </c>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c r="AT59" s="253"/>
      <c r="AU59" s="253"/>
      <c r="AV59" s="253"/>
      <c r="AW59" s="253"/>
      <c r="AX59" s="253"/>
      <c r="AY59" s="253"/>
      <c r="AZ59" s="253"/>
      <c r="BA59" s="253"/>
      <c r="BB59" s="253"/>
      <c r="BC59" s="253"/>
      <c r="BD59" s="253"/>
      <c r="BE59" s="253"/>
      <c r="BF59" s="253"/>
      <c r="BG59" s="253"/>
      <c r="BH59" s="253"/>
      <c r="BI59" s="253"/>
      <c r="BJ59" s="253"/>
      <c r="BK59" s="253"/>
      <c r="BL59" s="253"/>
      <c r="BM59" s="253"/>
      <c r="BN59" s="253"/>
      <c r="BO59" s="253"/>
      <c r="BP59" s="254"/>
    </row>
    <row r="60" spans="2:68" ht="15" customHeight="1">
      <c r="B60" s="140" t="s">
        <v>192</v>
      </c>
      <c r="C60" s="150" t="s">
        <v>128</v>
      </c>
      <c r="D60" s="202">
        <v>1</v>
      </c>
      <c r="E60" s="252">
        <f>IF(D60&lt;&gt;"", D60, "")</f>
        <v>1</v>
      </c>
      <c r="F60" s="253"/>
      <c r="G60" s="253"/>
      <c r="H60" s="253"/>
      <c r="I60" s="253"/>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c r="AT60" s="253"/>
      <c r="AU60" s="253"/>
      <c r="AV60" s="253"/>
      <c r="AW60" s="253"/>
      <c r="AX60" s="253"/>
      <c r="AY60" s="253"/>
      <c r="AZ60" s="253"/>
      <c r="BA60" s="253"/>
      <c r="BB60" s="253"/>
      <c r="BC60" s="253"/>
      <c r="BD60" s="253"/>
      <c r="BE60" s="253"/>
      <c r="BF60" s="253"/>
      <c r="BG60" s="253"/>
      <c r="BH60" s="253"/>
      <c r="BI60" s="253"/>
      <c r="BJ60" s="253"/>
      <c r="BK60" s="253"/>
      <c r="BL60" s="253"/>
      <c r="BM60" s="253"/>
      <c r="BN60" s="253"/>
      <c r="BO60" s="253"/>
      <c r="BP60" s="254"/>
    </row>
    <row r="61" spans="2:68" ht="15" customHeight="1">
      <c r="B61" s="140" t="s">
        <v>193</v>
      </c>
      <c r="C61" s="150" t="s">
        <v>129</v>
      </c>
      <c r="D61" s="202">
        <v>0.99299999999999999</v>
      </c>
      <c r="E61" s="252">
        <f>IF(D61&lt;&gt;"", D61, "")</f>
        <v>0.99299999999999999</v>
      </c>
      <c r="F61" s="253"/>
      <c r="G61" s="253"/>
      <c r="H61" s="253"/>
      <c r="I61" s="253"/>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c r="AT61" s="253"/>
      <c r="AU61" s="253"/>
      <c r="AV61" s="253"/>
      <c r="AW61" s="253"/>
      <c r="AX61" s="253"/>
      <c r="AY61" s="253"/>
      <c r="AZ61" s="253"/>
      <c r="BA61" s="253"/>
      <c r="BB61" s="253"/>
      <c r="BC61" s="253"/>
      <c r="BD61" s="253"/>
      <c r="BE61" s="253"/>
      <c r="BF61" s="253"/>
      <c r="BG61" s="253"/>
      <c r="BH61" s="253"/>
      <c r="BI61" s="253"/>
      <c r="BJ61" s="253"/>
      <c r="BK61" s="253"/>
      <c r="BL61" s="253"/>
      <c r="BM61" s="253"/>
      <c r="BN61" s="253"/>
      <c r="BO61" s="253"/>
      <c r="BP61" s="254"/>
    </row>
    <row r="62" spans="2:68" ht="15" customHeight="1">
      <c r="B62" s="142" t="s">
        <v>194</v>
      </c>
      <c r="C62" s="165" t="s">
        <v>136</v>
      </c>
      <c r="D62" s="164"/>
      <c r="E62" s="189">
        <f t="shared" ref="E62:J62" si="48">E57*(PRODUCT($E$59:$E$61))</f>
        <v>381.91138834080357</v>
      </c>
      <c r="F62" s="189">
        <f t="shared" si="48"/>
        <v>317.62872134771271</v>
      </c>
      <c r="G62" s="189">
        <f t="shared" si="48"/>
        <v>424.92298578848641</v>
      </c>
      <c r="H62" s="189">
        <f t="shared" si="48"/>
        <v>389.70730067966042</v>
      </c>
      <c r="I62" s="189">
        <f t="shared" si="48"/>
        <v>381.95614532994466</v>
      </c>
      <c r="J62" s="189">
        <f t="shared" si="48"/>
        <v>312.00957301190073</v>
      </c>
      <c r="K62" s="189">
        <f t="shared" ref="K62:BA62" si="49">K57*(PRODUCT($E$59:$E$61))</f>
        <v>348.52642301912766</v>
      </c>
      <c r="L62" s="189">
        <f t="shared" si="49"/>
        <v>422.32471319677779</v>
      </c>
      <c r="M62" s="189">
        <f t="shared" si="49"/>
        <v>427.86879745870232</v>
      </c>
      <c r="N62" s="189">
        <f t="shared" si="49"/>
        <v>389.43927640133882</v>
      </c>
      <c r="O62" s="189">
        <f t="shared" si="49"/>
        <v>0</v>
      </c>
      <c r="P62" s="189">
        <f t="shared" si="49"/>
        <v>0</v>
      </c>
      <c r="Q62" s="189">
        <f t="shared" si="49"/>
        <v>0</v>
      </c>
      <c r="R62" s="189">
        <f t="shared" si="49"/>
        <v>0</v>
      </c>
      <c r="S62" s="189">
        <f t="shared" si="49"/>
        <v>0</v>
      </c>
      <c r="T62" s="189">
        <f t="shared" si="49"/>
        <v>0</v>
      </c>
      <c r="U62" s="189">
        <f t="shared" si="49"/>
        <v>0</v>
      </c>
      <c r="V62" s="189">
        <f t="shared" si="49"/>
        <v>0</v>
      </c>
      <c r="W62" s="189">
        <f t="shared" si="49"/>
        <v>0</v>
      </c>
      <c r="X62" s="189">
        <f t="shared" ref="X62:AJ62" si="50">X57*(PRODUCT($E$59:$E$61))</f>
        <v>0</v>
      </c>
      <c r="Y62" s="189">
        <f t="shared" si="50"/>
        <v>0</v>
      </c>
      <c r="Z62" s="189">
        <f t="shared" si="50"/>
        <v>0</v>
      </c>
      <c r="AA62" s="189">
        <f t="shared" si="50"/>
        <v>0</v>
      </c>
      <c r="AB62" s="189">
        <f t="shared" si="50"/>
        <v>0</v>
      </c>
      <c r="AC62" s="189">
        <f t="shared" si="50"/>
        <v>0</v>
      </c>
      <c r="AD62" s="189">
        <f t="shared" si="50"/>
        <v>0</v>
      </c>
      <c r="AE62" s="189">
        <f t="shared" si="50"/>
        <v>0</v>
      </c>
      <c r="AF62" s="189">
        <f t="shared" si="50"/>
        <v>0</v>
      </c>
      <c r="AG62" s="189">
        <f t="shared" si="50"/>
        <v>0</v>
      </c>
      <c r="AH62" s="189">
        <f t="shared" si="50"/>
        <v>0</v>
      </c>
      <c r="AI62" s="189">
        <f t="shared" si="50"/>
        <v>0</v>
      </c>
      <c r="AJ62" s="189">
        <f t="shared" si="50"/>
        <v>0</v>
      </c>
      <c r="AK62" s="189">
        <f t="shared" si="49"/>
        <v>327.1617485717473</v>
      </c>
      <c r="AL62" s="189">
        <f t="shared" si="49"/>
        <v>327.1617485717473</v>
      </c>
      <c r="AM62" s="189">
        <f t="shared" si="49"/>
        <v>333.62929571191398</v>
      </c>
      <c r="AN62" s="189">
        <f t="shared" si="49"/>
        <v>318.78307192569042</v>
      </c>
      <c r="AO62" s="189">
        <f t="shared" si="49"/>
        <v>426.52125328746104</v>
      </c>
      <c r="AP62" s="189">
        <f t="shared" si="49"/>
        <v>313.14318120383581</v>
      </c>
      <c r="AQ62" s="189">
        <f t="shared" si="49"/>
        <v>349.83497005128555</v>
      </c>
      <c r="AR62" s="189">
        <f t="shared" si="49"/>
        <v>423.91312732732376</v>
      </c>
      <c r="AS62" s="189">
        <f t="shared" si="49"/>
        <v>429.42999220572221</v>
      </c>
      <c r="AT62" s="189">
        <f t="shared" si="49"/>
        <v>333.48531098236259</v>
      </c>
      <c r="AU62" s="189">
        <f t="shared" si="49"/>
        <v>0</v>
      </c>
      <c r="AV62" s="189">
        <f t="shared" si="49"/>
        <v>0</v>
      </c>
      <c r="AW62" s="189">
        <f t="shared" si="49"/>
        <v>0</v>
      </c>
      <c r="AX62" s="189">
        <f t="shared" si="49"/>
        <v>0</v>
      </c>
      <c r="AY62" s="189">
        <f t="shared" si="49"/>
        <v>0</v>
      </c>
      <c r="AZ62" s="189">
        <f t="shared" si="49"/>
        <v>0</v>
      </c>
      <c r="BA62" s="189">
        <f t="shared" si="49"/>
        <v>0</v>
      </c>
      <c r="BB62" s="189">
        <f t="shared" ref="BB62:BP62" si="51">BB57*(PRODUCT($E$59:$E$61))</f>
        <v>0</v>
      </c>
      <c r="BC62" s="189">
        <f t="shared" si="51"/>
        <v>0</v>
      </c>
      <c r="BD62" s="189">
        <f t="shared" si="51"/>
        <v>0</v>
      </c>
      <c r="BE62" s="189">
        <f t="shared" si="51"/>
        <v>0</v>
      </c>
      <c r="BF62" s="189">
        <f t="shared" si="51"/>
        <v>0</v>
      </c>
      <c r="BG62" s="189">
        <f t="shared" si="51"/>
        <v>0</v>
      </c>
      <c r="BH62" s="189">
        <f t="shared" si="51"/>
        <v>0</v>
      </c>
      <c r="BI62" s="189">
        <f t="shared" si="51"/>
        <v>0</v>
      </c>
      <c r="BJ62" s="189">
        <f t="shared" si="51"/>
        <v>0</v>
      </c>
      <c r="BK62" s="189">
        <f t="shared" si="51"/>
        <v>0</v>
      </c>
      <c r="BL62" s="189">
        <f t="shared" si="51"/>
        <v>0</v>
      </c>
      <c r="BM62" s="189">
        <f t="shared" si="51"/>
        <v>0</v>
      </c>
      <c r="BN62" s="189">
        <f t="shared" si="51"/>
        <v>0</v>
      </c>
      <c r="BO62" s="189">
        <f t="shared" si="51"/>
        <v>0</v>
      </c>
      <c r="BP62" s="189">
        <f t="shared" si="51"/>
        <v>0</v>
      </c>
    </row>
    <row r="63" spans="2:68" ht="15" customHeight="1"/>
    <row r="64" spans="2:68" ht="15" customHeight="1">
      <c r="C64" s="76" t="s">
        <v>130</v>
      </c>
    </row>
    <row r="65" spans="2:68" ht="15" customHeight="1">
      <c r="B65" s="140" t="s">
        <v>195</v>
      </c>
      <c r="C65" s="146" t="s">
        <v>106</v>
      </c>
      <c r="D65" s="168" t="s">
        <v>2</v>
      </c>
      <c r="E65" s="89" t="str">
        <f t="shared" ref="E65:J65" si="52">IF(E13&lt;&gt;"",E13,"")</f>
        <v>82824GA0110013</v>
      </c>
      <c r="F65" s="89" t="str">
        <f t="shared" si="52"/>
        <v>82824GA0110016</v>
      </c>
      <c r="G65" s="89" t="str">
        <f t="shared" si="52"/>
        <v>82824GA0110019</v>
      </c>
      <c r="H65" s="89" t="str">
        <f t="shared" si="52"/>
        <v>82824GA0110022</v>
      </c>
      <c r="I65" s="89" t="str">
        <f t="shared" si="52"/>
        <v>82824GA0110025</v>
      </c>
      <c r="J65" s="89" t="str">
        <f t="shared" si="52"/>
        <v>82824GA0110028</v>
      </c>
      <c r="K65" s="89" t="str">
        <f t="shared" ref="K65:BA65" si="53">IF(K13&lt;&gt;"",K13,"")</f>
        <v>82824GA0110029</v>
      </c>
      <c r="L65" s="89" t="str">
        <f t="shared" si="53"/>
        <v>82824GA0110030</v>
      </c>
      <c r="M65" s="89" t="str">
        <f t="shared" si="53"/>
        <v>82824GA0110031</v>
      </c>
      <c r="N65" s="89" t="str">
        <f t="shared" si="53"/>
        <v>82824GA0110032</v>
      </c>
      <c r="O65" s="89" t="str">
        <f t="shared" si="53"/>
        <v>82824GA0110001</v>
      </c>
      <c r="P65" s="89" t="str">
        <f t="shared" si="53"/>
        <v>82824GA0110002</v>
      </c>
      <c r="Q65" s="89" t="str">
        <f t="shared" si="53"/>
        <v>82824GA0110003</v>
      </c>
      <c r="R65" s="89" t="str">
        <f t="shared" si="53"/>
        <v>82824GA0110004</v>
      </c>
      <c r="S65" s="89" t="str">
        <f t="shared" si="53"/>
        <v>82824GA0110005</v>
      </c>
      <c r="T65" s="89" t="str">
        <f t="shared" si="53"/>
        <v>82824GA0110006</v>
      </c>
      <c r="U65" s="89" t="str">
        <f t="shared" si="53"/>
        <v>82824GA0110007</v>
      </c>
      <c r="V65" s="89" t="str">
        <f t="shared" si="53"/>
        <v>82824GA0110008</v>
      </c>
      <c r="W65" s="89" t="str">
        <f t="shared" si="53"/>
        <v>82824GA0110009</v>
      </c>
      <c r="X65" s="89" t="str">
        <f t="shared" ref="X65:AJ65" si="54">IF(X13&lt;&gt;"",X13,"")</f>
        <v>82824GA0110010</v>
      </c>
      <c r="Y65" s="89" t="str">
        <f t="shared" si="54"/>
        <v>82824GA0110011</v>
      </c>
      <c r="Z65" s="89" t="str">
        <f t="shared" si="54"/>
        <v>82824GA0110012</v>
      </c>
      <c r="AA65" s="89" t="str">
        <f t="shared" si="54"/>
        <v>82824GA0110014</v>
      </c>
      <c r="AB65" s="89" t="str">
        <f t="shared" si="54"/>
        <v>82824GA0110015</v>
      </c>
      <c r="AC65" s="89" t="str">
        <f t="shared" si="54"/>
        <v>82824GA0110017</v>
      </c>
      <c r="AD65" s="89" t="str">
        <f t="shared" si="54"/>
        <v>82824GA0110018</v>
      </c>
      <c r="AE65" s="89" t="str">
        <f t="shared" si="54"/>
        <v>82824GA0110020</v>
      </c>
      <c r="AF65" s="89" t="str">
        <f t="shared" si="54"/>
        <v>82824GA0110021</v>
      </c>
      <c r="AG65" s="89" t="str">
        <f t="shared" si="54"/>
        <v>82824GA0110023</v>
      </c>
      <c r="AH65" s="89" t="str">
        <f t="shared" si="54"/>
        <v>82824GA0110024</v>
      </c>
      <c r="AI65" s="89" t="str">
        <f t="shared" si="54"/>
        <v>82824GA0110026</v>
      </c>
      <c r="AJ65" s="89" t="str">
        <f t="shared" si="54"/>
        <v>82824GA0110027</v>
      </c>
      <c r="AK65" s="89" t="str">
        <f t="shared" si="53"/>
        <v>82824GA0120003</v>
      </c>
      <c r="AL65" s="89" t="str">
        <f t="shared" si="53"/>
        <v>82824GA0120018</v>
      </c>
      <c r="AM65" s="89" t="str">
        <f t="shared" si="53"/>
        <v>82824GA0120021</v>
      </c>
      <c r="AN65" s="89" t="str">
        <f t="shared" si="53"/>
        <v>82824GA0120024</v>
      </c>
      <c r="AO65" s="89" t="str">
        <f t="shared" si="53"/>
        <v>82824GA0120027</v>
      </c>
      <c r="AP65" s="89" t="str">
        <f t="shared" si="53"/>
        <v>82824GA0120028</v>
      </c>
      <c r="AQ65" s="89" t="str">
        <f t="shared" si="53"/>
        <v>82824GA0120029</v>
      </c>
      <c r="AR65" s="89" t="str">
        <f t="shared" si="53"/>
        <v>82824GA0120030</v>
      </c>
      <c r="AS65" s="89" t="str">
        <f t="shared" si="53"/>
        <v>82824GA0120031</v>
      </c>
      <c r="AT65" s="89" t="str">
        <f t="shared" si="53"/>
        <v>82824GA0120032</v>
      </c>
      <c r="AU65" s="89" t="str">
        <f t="shared" si="53"/>
        <v>82824GA0120001</v>
      </c>
      <c r="AV65" s="89" t="str">
        <f t="shared" si="53"/>
        <v>82824GA0120002</v>
      </c>
      <c r="AW65" s="89" t="str">
        <f t="shared" si="53"/>
        <v>82824GA0120004</v>
      </c>
      <c r="AX65" s="89" t="str">
        <f t="shared" si="53"/>
        <v>82824GA0120005</v>
      </c>
      <c r="AY65" s="89" t="str">
        <f t="shared" si="53"/>
        <v>82824GA0120006</v>
      </c>
      <c r="AZ65" s="89" t="str">
        <f t="shared" si="53"/>
        <v>82824GA0120008</v>
      </c>
      <c r="BA65" s="89" t="str">
        <f t="shared" si="53"/>
        <v>82824GA0120010</v>
      </c>
      <c r="BB65" s="89" t="str">
        <f t="shared" ref="BB65:BP65" si="55">IF(BB13&lt;&gt;"",BB13,"")</f>
        <v>82824GA0120011</v>
      </c>
      <c r="BC65" s="89" t="str">
        <f t="shared" si="55"/>
        <v>82824GA0120007</v>
      </c>
      <c r="BD65" s="89" t="str">
        <f t="shared" si="55"/>
        <v>82824GA0120009</v>
      </c>
      <c r="BE65" s="89" t="str">
        <f t="shared" si="55"/>
        <v>82824GA0120012</v>
      </c>
      <c r="BF65" s="89" t="str">
        <f t="shared" si="55"/>
        <v>82824GA0120013</v>
      </c>
      <c r="BG65" s="89" t="str">
        <f t="shared" si="55"/>
        <v>82824GA0120014</v>
      </c>
      <c r="BH65" s="89" t="str">
        <f t="shared" si="55"/>
        <v>82824GA0120015</v>
      </c>
      <c r="BI65" s="89" t="str">
        <f t="shared" si="55"/>
        <v>82824GA0120016</v>
      </c>
      <c r="BJ65" s="89" t="str">
        <f t="shared" si="55"/>
        <v>82824GA0120017</v>
      </c>
      <c r="BK65" s="89" t="str">
        <f t="shared" si="55"/>
        <v>82824GA0120019</v>
      </c>
      <c r="BL65" s="89" t="str">
        <f t="shared" si="55"/>
        <v>82824GA0120020</v>
      </c>
      <c r="BM65" s="89" t="str">
        <f t="shared" si="55"/>
        <v>82824GA0120022</v>
      </c>
      <c r="BN65" s="89" t="str">
        <f t="shared" si="55"/>
        <v>82824GA0120023</v>
      </c>
      <c r="BO65" s="89" t="str">
        <f t="shared" si="55"/>
        <v>82824GA0120025</v>
      </c>
      <c r="BP65" s="89" t="str">
        <f t="shared" si="55"/>
        <v>82824GA0120026</v>
      </c>
    </row>
    <row r="66" spans="2:68" ht="15" customHeight="1">
      <c r="B66" s="140" t="s">
        <v>196</v>
      </c>
      <c r="C66" s="146" t="s">
        <v>86</v>
      </c>
      <c r="D66" s="153">
        <f>SUM(E66:BP66)</f>
        <v>219285714</v>
      </c>
      <c r="E66" s="181">
        <v>6004442</v>
      </c>
      <c r="F66" s="181">
        <v>41967743</v>
      </c>
      <c r="G66" s="181">
        <v>21383180</v>
      </c>
      <c r="H66" s="181">
        <v>3127719</v>
      </c>
      <c r="I66" s="181">
        <v>144805827</v>
      </c>
      <c r="J66" s="181">
        <v>627</v>
      </c>
      <c r="K66" s="181">
        <v>646</v>
      </c>
      <c r="L66" s="181">
        <v>735</v>
      </c>
      <c r="M66" s="181">
        <v>739</v>
      </c>
      <c r="N66" s="181">
        <v>632</v>
      </c>
      <c r="O66" s="181">
        <v>0</v>
      </c>
      <c r="P66" s="181">
        <v>0</v>
      </c>
      <c r="Q66" s="181">
        <v>0</v>
      </c>
      <c r="R66" s="181">
        <v>0</v>
      </c>
      <c r="S66" s="181">
        <v>0</v>
      </c>
      <c r="T66" s="181">
        <v>0</v>
      </c>
      <c r="U66" s="181">
        <v>0</v>
      </c>
      <c r="V66" s="181">
        <v>0</v>
      </c>
      <c r="W66" s="181">
        <v>0</v>
      </c>
      <c r="X66" s="181">
        <v>0</v>
      </c>
      <c r="Y66" s="181">
        <v>0</v>
      </c>
      <c r="Z66" s="181">
        <v>0</v>
      </c>
      <c r="AA66" s="181">
        <v>0</v>
      </c>
      <c r="AB66" s="181">
        <v>0</v>
      </c>
      <c r="AC66" s="181">
        <v>0</v>
      </c>
      <c r="AD66" s="181">
        <v>0</v>
      </c>
      <c r="AE66" s="181">
        <v>0</v>
      </c>
      <c r="AF66" s="181">
        <v>0</v>
      </c>
      <c r="AG66" s="181">
        <v>0</v>
      </c>
      <c r="AH66" s="181">
        <v>0</v>
      </c>
      <c r="AI66" s="181">
        <v>0</v>
      </c>
      <c r="AJ66" s="181">
        <v>0</v>
      </c>
      <c r="AK66" s="181">
        <v>218458</v>
      </c>
      <c r="AL66" s="181">
        <v>1287386</v>
      </c>
      <c r="AM66" s="181">
        <v>60310</v>
      </c>
      <c r="AN66" s="181">
        <v>632</v>
      </c>
      <c r="AO66" s="181">
        <v>423246</v>
      </c>
      <c r="AP66" s="181">
        <v>629</v>
      </c>
      <c r="AQ66" s="181">
        <v>648</v>
      </c>
      <c r="AR66" s="181">
        <v>738</v>
      </c>
      <c r="AS66" s="181">
        <v>742</v>
      </c>
      <c r="AT66" s="181">
        <v>635</v>
      </c>
      <c r="AU66" s="181">
        <v>0</v>
      </c>
      <c r="AV66" s="181">
        <v>0</v>
      </c>
      <c r="AW66" s="181">
        <v>0</v>
      </c>
      <c r="AX66" s="181">
        <v>0</v>
      </c>
      <c r="AY66" s="181">
        <v>0</v>
      </c>
      <c r="AZ66" s="181">
        <v>0</v>
      </c>
      <c r="BA66" s="181">
        <v>0</v>
      </c>
      <c r="BB66" s="181">
        <v>0</v>
      </c>
      <c r="BC66" s="181">
        <v>0</v>
      </c>
      <c r="BD66" s="181">
        <v>0</v>
      </c>
      <c r="BE66" s="181">
        <v>0</v>
      </c>
      <c r="BF66" s="181">
        <v>0</v>
      </c>
      <c r="BG66" s="181">
        <v>0</v>
      </c>
      <c r="BH66" s="181">
        <v>0</v>
      </c>
      <c r="BI66" s="181">
        <v>0</v>
      </c>
      <c r="BJ66" s="181">
        <v>0</v>
      </c>
      <c r="BK66" s="181">
        <v>0</v>
      </c>
      <c r="BL66" s="181">
        <v>0</v>
      </c>
      <c r="BM66" s="181">
        <v>0</v>
      </c>
      <c r="BN66" s="181">
        <v>0</v>
      </c>
      <c r="BO66" s="181">
        <v>0</v>
      </c>
      <c r="BP66" s="181">
        <v>0</v>
      </c>
    </row>
    <row r="67" spans="2:68" ht="15" customHeight="1">
      <c r="B67" s="140" t="s">
        <v>197</v>
      </c>
      <c r="C67" s="146" t="s">
        <v>87</v>
      </c>
      <c r="D67" s="153">
        <f>SUM(E67:BP67)</f>
        <v>13569657</v>
      </c>
      <c r="E67" s="181">
        <v>387267</v>
      </c>
      <c r="F67" s="181">
        <v>2202681</v>
      </c>
      <c r="G67" s="181">
        <v>1322618</v>
      </c>
      <c r="H67" s="181">
        <v>205128</v>
      </c>
      <c r="I67" s="181">
        <v>9340592</v>
      </c>
      <c r="J67" s="181">
        <v>32</v>
      </c>
      <c r="K67" s="181">
        <v>37</v>
      </c>
      <c r="L67" s="181">
        <v>45</v>
      </c>
      <c r="M67" s="181">
        <v>46</v>
      </c>
      <c r="N67" s="181">
        <v>41</v>
      </c>
      <c r="O67" s="181">
        <v>0</v>
      </c>
      <c r="P67" s="181">
        <v>0</v>
      </c>
      <c r="Q67" s="181">
        <v>0</v>
      </c>
      <c r="R67" s="181">
        <v>0</v>
      </c>
      <c r="S67" s="181">
        <v>0</v>
      </c>
      <c r="T67" s="181">
        <v>0</v>
      </c>
      <c r="U67" s="181">
        <v>0</v>
      </c>
      <c r="V67" s="181">
        <v>0</v>
      </c>
      <c r="W67" s="181">
        <v>0</v>
      </c>
      <c r="X67" s="181">
        <v>0</v>
      </c>
      <c r="Y67" s="181">
        <v>0</v>
      </c>
      <c r="Z67" s="181">
        <v>0</v>
      </c>
      <c r="AA67" s="181">
        <v>0</v>
      </c>
      <c r="AB67" s="181">
        <v>0</v>
      </c>
      <c r="AC67" s="181">
        <v>0</v>
      </c>
      <c r="AD67" s="181">
        <v>0</v>
      </c>
      <c r="AE67" s="181">
        <v>0</v>
      </c>
      <c r="AF67" s="181">
        <v>0</v>
      </c>
      <c r="AG67" s="181">
        <v>0</v>
      </c>
      <c r="AH67" s="181">
        <v>0</v>
      </c>
      <c r="AI67" s="181">
        <v>0</v>
      </c>
      <c r="AJ67" s="181">
        <v>0</v>
      </c>
      <c r="AK67" s="181">
        <v>11816</v>
      </c>
      <c r="AL67" s="181">
        <v>69630</v>
      </c>
      <c r="AM67" s="181">
        <v>3317</v>
      </c>
      <c r="AN67" s="181">
        <v>33</v>
      </c>
      <c r="AO67" s="181">
        <v>26179</v>
      </c>
      <c r="AP67" s="181">
        <v>32</v>
      </c>
      <c r="AQ67" s="181">
        <v>37</v>
      </c>
      <c r="AR67" s="181">
        <v>45</v>
      </c>
      <c r="AS67" s="181">
        <v>46</v>
      </c>
      <c r="AT67" s="181">
        <v>35</v>
      </c>
      <c r="AU67" s="181">
        <v>0</v>
      </c>
      <c r="AV67" s="181">
        <v>0</v>
      </c>
      <c r="AW67" s="181">
        <v>0</v>
      </c>
      <c r="AX67" s="181">
        <v>0</v>
      </c>
      <c r="AY67" s="181">
        <v>0</v>
      </c>
      <c r="AZ67" s="181">
        <v>0</v>
      </c>
      <c r="BA67" s="181">
        <v>0</v>
      </c>
      <c r="BB67" s="181">
        <v>0</v>
      </c>
      <c r="BC67" s="181">
        <v>0</v>
      </c>
      <c r="BD67" s="181">
        <v>0</v>
      </c>
      <c r="BE67" s="181">
        <v>0</v>
      </c>
      <c r="BF67" s="181">
        <v>0</v>
      </c>
      <c r="BG67" s="181">
        <v>0</v>
      </c>
      <c r="BH67" s="181">
        <v>0</v>
      </c>
      <c r="BI67" s="181">
        <v>0</v>
      </c>
      <c r="BJ67" s="181">
        <v>0</v>
      </c>
      <c r="BK67" s="181">
        <v>0</v>
      </c>
      <c r="BL67" s="181">
        <v>0</v>
      </c>
      <c r="BM67" s="181">
        <v>0</v>
      </c>
      <c r="BN67" s="181">
        <v>0</v>
      </c>
      <c r="BO67" s="181">
        <v>0</v>
      </c>
      <c r="BP67" s="181">
        <v>0</v>
      </c>
    </row>
    <row r="68" spans="2:68" ht="15" customHeight="1">
      <c r="B68" s="140" t="s">
        <v>198</v>
      </c>
      <c r="C68" s="146" t="s">
        <v>111</v>
      </c>
      <c r="D68" s="153">
        <f>SUM(E68:BP68)</f>
        <v>37064582</v>
      </c>
      <c r="E68" s="181">
        <v>803995</v>
      </c>
      <c r="F68" s="181">
        <v>12388878</v>
      </c>
      <c r="G68" s="181">
        <v>3622311</v>
      </c>
      <c r="H68" s="181">
        <v>373137</v>
      </c>
      <c r="I68" s="181">
        <v>19375020</v>
      </c>
      <c r="J68" s="181">
        <v>192</v>
      </c>
      <c r="K68" s="181">
        <v>154</v>
      </c>
      <c r="L68" s="181">
        <v>127</v>
      </c>
      <c r="M68" s="181">
        <v>122</v>
      </c>
      <c r="N68" s="181">
        <v>76</v>
      </c>
      <c r="O68" s="181">
        <v>0</v>
      </c>
      <c r="P68" s="181">
        <v>0</v>
      </c>
      <c r="Q68" s="181">
        <v>0</v>
      </c>
      <c r="R68" s="181">
        <v>0</v>
      </c>
      <c r="S68" s="181">
        <v>0</v>
      </c>
      <c r="T68" s="181">
        <v>0</v>
      </c>
      <c r="U68" s="181">
        <v>0</v>
      </c>
      <c r="V68" s="181">
        <v>0</v>
      </c>
      <c r="W68" s="181">
        <v>0</v>
      </c>
      <c r="X68" s="181">
        <v>0</v>
      </c>
      <c r="Y68" s="181">
        <v>0</v>
      </c>
      <c r="Z68" s="181">
        <v>0</v>
      </c>
      <c r="AA68" s="181">
        <v>0</v>
      </c>
      <c r="AB68" s="181">
        <v>0</v>
      </c>
      <c r="AC68" s="181">
        <v>0</v>
      </c>
      <c r="AD68" s="181">
        <v>0</v>
      </c>
      <c r="AE68" s="181">
        <v>0</v>
      </c>
      <c r="AF68" s="181">
        <v>0</v>
      </c>
      <c r="AG68" s="181">
        <v>0</v>
      </c>
      <c r="AH68" s="181">
        <v>0</v>
      </c>
      <c r="AI68" s="181">
        <v>0</v>
      </c>
      <c r="AJ68" s="181">
        <v>0</v>
      </c>
      <c r="AK68" s="181">
        <v>59792</v>
      </c>
      <c r="AL68" s="181">
        <v>352358</v>
      </c>
      <c r="AM68" s="181">
        <v>15771</v>
      </c>
      <c r="AN68" s="181">
        <v>187</v>
      </c>
      <c r="AO68" s="181">
        <v>71698</v>
      </c>
      <c r="AP68" s="181">
        <v>193</v>
      </c>
      <c r="AQ68" s="181">
        <v>154</v>
      </c>
      <c r="AR68" s="181">
        <v>128</v>
      </c>
      <c r="AS68" s="181">
        <v>123</v>
      </c>
      <c r="AT68" s="181">
        <v>166</v>
      </c>
      <c r="AU68" s="181">
        <v>0</v>
      </c>
      <c r="AV68" s="181">
        <v>0</v>
      </c>
      <c r="AW68" s="181">
        <v>0</v>
      </c>
      <c r="AX68" s="181">
        <v>0</v>
      </c>
      <c r="AY68" s="181">
        <v>0</v>
      </c>
      <c r="AZ68" s="181">
        <v>0</v>
      </c>
      <c r="BA68" s="181">
        <v>0</v>
      </c>
      <c r="BB68" s="181">
        <v>0</v>
      </c>
      <c r="BC68" s="181">
        <v>0</v>
      </c>
      <c r="BD68" s="181">
        <v>0</v>
      </c>
      <c r="BE68" s="181">
        <v>0</v>
      </c>
      <c r="BF68" s="181">
        <v>0</v>
      </c>
      <c r="BG68" s="181">
        <v>0</v>
      </c>
      <c r="BH68" s="181">
        <v>0</v>
      </c>
      <c r="BI68" s="181">
        <v>0</v>
      </c>
      <c r="BJ68" s="181">
        <v>0</v>
      </c>
      <c r="BK68" s="181">
        <v>0</v>
      </c>
      <c r="BL68" s="181">
        <v>0</v>
      </c>
      <c r="BM68" s="181">
        <v>0</v>
      </c>
      <c r="BN68" s="181">
        <v>0</v>
      </c>
      <c r="BO68" s="181">
        <v>0</v>
      </c>
      <c r="BP68" s="181">
        <v>0</v>
      </c>
    </row>
    <row r="69" spans="2:68" ht="15" customHeight="1">
      <c r="B69" s="140" t="s">
        <v>199</v>
      </c>
      <c r="C69" s="146" t="s">
        <v>112</v>
      </c>
      <c r="D69" s="153">
        <f>SUM(E69:BP69)</f>
        <v>0</v>
      </c>
      <c r="E69" s="181">
        <v>0</v>
      </c>
      <c r="F69" s="181">
        <v>0</v>
      </c>
      <c r="G69" s="181">
        <v>0</v>
      </c>
      <c r="H69" s="181">
        <v>0</v>
      </c>
      <c r="I69" s="181">
        <v>0</v>
      </c>
      <c r="J69" s="181">
        <v>0</v>
      </c>
      <c r="K69" s="181">
        <v>0</v>
      </c>
      <c r="L69" s="181">
        <v>0</v>
      </c>
      <c r="M69" s="181">
        <v>0</v>
      </c>
      <c r="N69" s="181">
        <v>0</v>
      </c>
      <c r="O69" s="181">
        <v>0</v>
      </c>
      <c r="P69" s="181">
        <v>0</v>
      </c>
      <c r="Q69" s="181">
        <v>0</v>
      </c>
      <c r="R69" s="181">
        <v>0</v>
      </c>
      <c r="S69" s="181">
        <v>0</v>
      </c>
      <c r="T69" s="181">
        <v>0</v>
      </c>
      <c r="U69" s="181">
        <v>0</v>
      </c>
      <c r="V69" s="181">
        <v>0</v>
      </c>
      <c r="W69" s="181">
        <v>0</v>
      </c>
      <c r="X69" s="181">
        <v>0</v>
      </c>
      <c r="Y69" s="181">
        <v>0</v>
      </c>
      <c r="Z69" s="181">
        <v>0</v>
      </c>
      <c r="AA69" s="181">
        <v>0</v>
      </c>
      <c r="AB69" s="181">
        <v>0</v>
      </c>
      <c r="AC69" s="181">
        <v>0</v>
      </c>
      <c r="AD69" s="181">
        <v>0</v>
      </c>
      <c r="AE69" s="181">
        <v>0</v>
      </c>
      <c r="AF69" s="181">
        <v>0</v>
      </c>
      <c r="AG69" s="181">
        <v>0</v>
      </c>
      <c r="AH69" s="181">
        <v>0</v>
      </c>
      <c r="AI69" s="181">
        <v>0</v>
      </c>
      <c r="AJ69" s="181">
        <v>0</v>
      </c>
      <c r="AK69" s="181">
        <v>0</v>
      </c>
      <c r="AL69" s="181">
        <v>0</v>
      </c>
      <c r="AM69" s="181">
        <v>0</v>
      </c>
      <c r="AN69" s="181">
        <v>0</v>
      </c>
      <c r="AO69" s="181">
        <v>0</v>
      </c>
      <c r="AP69" s="181">
        <v>0</v>
      </c>
      <c r="AQ69" s="181">
        <v>0</v>
      </c>
      <c r="AR69" s="181">
        <v>0</v>
      </c>
      <c r="AS69" s="181">
        <v>0</v>
      </c>
      <c r="AT69" s="181">
        <v>0</v>
      </c>
      <c r="AU69" s="181">
        <v>0</v>
      </c>
      <c r="AV69" s="181">
        <v>0</v>
      </c>
      <c r="AW69" s="181">
        <v>0</v>
      </c>
      <c r="AX69" s="181">
        <v>0</v>
      </c>
      <c r="AY69" s="181">
        <v>0</v>
      </c>
      <c r="AZ69" s="181">
        <v>0</v>
      </c>
      <c r="BA69" s="181">
        <v>0</v>
      </c>
      <c r="BB69" s="181">
        <v>0</v>
      </c>
      <c r="BC69" s="181">
        <v>0</v>
      </c>
      <c r="BD69" s="181">
        <v>0</v>
      </c>
      <c r="BE69" s="181">
        <v>0</v>
      </c>
      <c r="BF69" s="181">
        <v>0</v>
      </c>
      <c r="BG69" s="181">
        <v>0</v>
      </c>
      <c r="BH69" s="181">
        <v>0</v>
      </c>
      <c r="BI69" s="181">
        <v>0</v>
      </c>
      <c r="BJ69" s="181">
        <v>0</v>
      </c>
      <c r="BK69" s="181">
        <v>0</v>
      </c>
      <c r="BL69" s="181">
        <v>0</v>
      </c>
      <c r="BM69" s="181">
        <v>0</v>
      </c>
      <c r="BN69" s="181">
        <v>0</v>
      </c>
      <c r="BO69" s="181">
        <v>0</v>
      </c>
      <c r="BP69" s="181">
        <v>0</v>
      </c>
    </row>
    <row r="70" spans="2:68" ht="15" customHeight="1">
      <c r="B70" s="140" t="s">
        <v>200</v>
      </c>
      <c r="C70" s="146" t="s">
        <v>113</v>
      </c>
      <c r="D70" s="153">
        <f>D66-D67-D68-D69</f>
        <v>168651475</v>
      </c>
      <c r="E70" s="153">
        <f t="shared" ref="E70:J70" si="56">E66-E67-E68-E69</f>
        <v>4813180</v>
      </c>
      <c r="F70" s="153">
        <f t="shared" si="56"/>
        <v>27376184</v>
      </c>
      <c r="G70" s="153">
        <f t="shared" si="56"/>
        <v>16438251</v>
      </c>
      <c r="H70" s="153">
        <f t="shared" si="56"/>
        <v>2549454</v>
      </c>
      <c r="I70" s="153">
        <f t="shared" si="56"/>
        <v>116090215</v>
      </c>
      <c r="J70" s="153">
        <f t="shared" si="56"/>
        <v>403</v>
      </c>
      <c r="K70" s="153">
        <f t="shared" ref="K70:BA70" si="57">K66-K67-K68-K69</f>
        <v>455</v>
      </c>
      <c r="L70" s="153">
        <f t="shared" si="57"/>
        <v>563</v>
      </c>
      <c r="M70" s="153">
        <f t="shared" si="57"/>
        <v>571</v>
      </c>
      <c r="N70" s="153">
        <f t="shared" si="57"/>
        <v>515</v>
      </c>
      <c r="O70" s="153">
        <f t="shared" si="57"/>
        <v>0</v>
      </c>
      <c r="P70" s="153">
        <f t="shared" si="57"/>
        <v>0</v>
      </c>
      <c r="Q70" s="153">
        <f t="shared" si="57"/>
        <v>0</v>
      </c>
      <c r="R70" s="153">
        <f t="shared" si="57"/>
        <v>0</v>
      </c>
      <c r="S70" s="153">
        <f t="shared" si="57"/>
        <v>0</v>
      </c>
      <c r="T70" s="153">
        <f t="shared" si="57"/>
        <v>0</v>
      </c>
      <c r="U70" s="153">
        <f t="shared" si="57"/>
        <v>0</v>
      </c>
      <c r="V70" s="153">
        <f t="shared" si="57"/>
        <v>0</v>
      </c>
      <c r="W70" s="153">
        <f t="shared" si="57"/>
        <v>0</v>
      </c>
      <c r="X70" s="153">
        <f t="shared" ref="X70:AJ70" si="58">X66-X67-X68-X69</f>
        <v>0</v>
      </c>
      <c r="Y70" s="153">
        <f t="shared" si="58"/>
        <v>0</v>
      </c>
      <c r="Z70" s="153">
        <f t="shared" si="58"/>
        <v>0</v>
      </c>
      <c r="AA70" s="153">
        <f t="shared" si="58"/>
        <v>0</v>
      </c>
      <c r="AB70" s="153">
        <f t="shared" si="58"/>
        <v>0</v>
      </c>
      <c r="AC70" s="153">
        <f t="shared" si="58"/>
        <v>0</v>
      </c>
      <c r="AD70" s="153">
        <f t="shared" si="58"/>
        <v>0</v>
      </c>
      <c r="AE70" s="153">
        <f t="shared" si="58"/>
        <v>0</v>
      </c>
      <c r="AF70" s="153">
        <f t="shared" si="58"/>
        <v>0</v>
      </c>
      <c r="AG70" s="153">
        <f t="shared" si="58"/>
        <v>0</v>
      </c>
      <c r="AH70" s="153">
        <f t="shared" si="58"/>
        <v>0</v>
      </c>
      <c r="AI70" s="153">
        <f t="shared" si="58"/>
        <v>0</v>
      </c>
      <c r="AJ70" s="153">
        <f t="shared" si="58"/>
        <v>0</v>
      </c>
      <c r="AK70" s="153">
        <f t="shared" si="57"/>
        <v>146850</v>
      </c>
      <c r="AL70" s="153">
        <f t="shared" si="57"/>
        <v>865398</v>
      </c>
      <c r="AM70" s="153">
        <f t="shared" si="57"/>
        <v>41222</v>
      </c>
      <c r="AN70" s="153">
        <f t="shared" si="57"/>
        <v>412</v>
      </c>
      <c r="AO70" s="153">
        <f t="shared" si="57"/>
        <v>325369</v>
      </c>
      <c r="AP70" s="153">
        <f t="shared" si="57"/>
        <v>404</v>
      </c>
      <c r="AQ70" s="153">
        <f t="shared" si="57"/>
        <v>457</v>
      </c>
      <c r="AR70" s="153">
        <f t="shared" si="57"/>
        <v>565</v>
      </c>
      <c r="AS70" s="153">
        <f t="shared" si="57"/>
        <v>573</v>
      </c>
      <c r="AT70" s="153">
        <f t="shared" si="57"/>
        <v>434</v>
      </c>
      <c r="AU70" s="153">
        <f t="shared" si="57"/>
        <v>0</v>
      </c>
      <c r="AV70" s="153">
        <f t="shared" si="57"/>
        <v>0</v>
      </c>
      <c r="AW70" s="153">
        <f t="shared" si="57"/>
        <v>0</v>
      </c>
      <c r="AX70" s="153">
        <f t="shared" si="57"/>
        <v>0</v>
      </c>
      <c r="AY70" s="153">
        <f t="shared" si="57"/>
        <v>0</v>
      </c>
      <c r="AZ70" s="153">
        <f t="shared" si="57"/>
        <v>0</v>
      </c>
      <c r="BA70" s="153">
        <f t="shared" si="57"/>
        <v>0</v>
      </c>
      <c r="BB70" s="153">
        <f t="shared" ref="BB70:BP70" si="59">BB66-BB67-BB68-BB69</f>
        <v>0</v>
      </c>
      <c r="BC70" s="153">
        <f t="shared" si="59"/>
        <v>0</v>
      </c>
      <c r="BD70" s="153">
        <f t="shared" si="59"/>
        <v>0</v>
      </c>
      <c r="BE70" s="153">
        <f t="shared" si="59"/>
        <v>0</v>
      </c>
      <c r="BF70" s="153">
        <f t="shared" si="59"/>
        <v>0</v>
      </c>
      <c r="BG70" s="153">
        <f t="shared" si="59"/>
        <v>0</v>
      </c>
      <c r="BH70" s="153">
        <f t="shared" si="59"/>
        <v>0</v>
      </c>
      <c r="BI70" s="153">
        <f t="shared" si="59"/>
        <v>0</v>
      </c>
      <c r="BJ70" s="153">
        <f t="shared" si="59"/>
        <v>0</v>
      </c>
      <c r="BK70" s="153">
        <f t="shared" si="59"/>
        <v>0</v>
      </c>
      <c r="BL70" s="153">
        <f t="shared" si="59"/>
        <v>0</v>
      </c>
      <c r="BM70" s="153">
        <f t="shared" si="59"/>
        <v>0</v>
      </c>
      <c r="BN70" s="153">
        <f t="shared" si="59"/>
        <v>0</v>
      </c>
      <c r="BO70" s="153">
        <f t="shared" si="59"/>
        <v>0</v>
      </c>
      <c r="BP70" s="153">
        <f t="shared" si="59"/>
        <v>0</v>
      </c>
    </row>
    <row r="71" spans="2:68" ht="15" customHeight="1">
      <c r="B71" s="140" t="s">
        <v>201</v>
      </c>
      <c r="C71" s="146" t="s">
        <v>114</v>
      </c>
      <c r="D71" s="153">
        <f>SUM(E71:BP71)</f>
        <v>-13863673</v>
      </c>
      <c r="E71" s="181">
        <v>-394674</v>
      </c>
      <c r="F71" s="181">
        <v>-2291997</v>
      </c>
      <c r="G71" s="181">
        <v>-1334385</v>
      </c>
      <c r="H71" s="181">
        <v>-208641</v>
      </c>
      <c r="I71" s="181">
        <v>-9519259</v>
      </c>
      <c r="J71" s="181">
        <v>-34</v>
      </c>
      <c r="K71" s="181">
        <v>-38</v>
      </c>
      <c r="L71" s="181">
        <v>-46</v>
      </c>
      <c r="M71" s="181">
        <v>-46</v>
      </c>
      <c r="N71" s="181">
        <v>-42</v>
      </c>
      <c r="O71" s="181">
        <v>0</v>
      </c>
      <c r="P71" s="181">
        <v>0</v>
      </c>
      <c r="Q71" s="181">
        <v>0</v>
      </c>
      <c r="R71" s="181">
        <v>0</v>
      </c>
      <c r="S71" s="181">
        <v>0</v>
      </c>
      <c r="T71" s="181">
        <v>0</v>
      </c>
      <c r="U71" s="181">
        <v>0</v>
      </c>
      <c r="V71" s="181">
        <v>0</v>
      </c>
      <c r="W71" s="181">
        <v>0</v>
      </c>
      <c r="X71" s="181">
        <v>0</v>
      </c>
      <c r="Y71" s="181">
        <v>0</v>
      </c>
      <c r="Z71" s="181">
        <v>0</v>
      </c>
      <c r="AA71" s="181">
        <v>0</v>
      </c>
      <c r="AB71" s="181">
        <v>0</v>
      </c>
      <c r="AC71" s="181">
        <v>0</v>
      </c>
      <c r="AD71" s="181">
        <v>0</v>
      </c>
      <c r="AE71" s="181">
        <v>0</v>
      </c>
      <c r="AF71" s="181">
        <v>0</v>
      </c>
      <c r="AG71" s="181">
        <v>0</v>
      </c>
      <c r="AH71" s="181">
        <v>0</v>
      </c>
      <c r="AI71" s="181">
        <v>0</v>
      </c>
      <c r="AJ71" s="181">
        <v>0</v>
      </c>
      <c r="AK71" s="181">
        <v>-12251</v>
      </c>
      <c r="AL71" s="181">
        <v>-72193</v>
      </c>
      <c r="AM71" s="181">
        <v>-3430</v>
      </c>
      <c r="AN71" s="181">
        <v>-34</v>
      </c>
      <c r="AO71" s="181">
        <v>-26403</v>
      </c>
      <c r="AP71" s="181">
        <v>-34</v>
      </c>
      <c r="AQ71" s="181">
        <v>-38</v>
      </c>
      <c r="AR71" s="181">
        <v>-46</v>
      </c>
      <c r="AS71" s="181">
        <v>-46</v>
      </c>
      <c r="AT71" s="181">
        <v>-36</v>
      </c>
      <c r="AU71" s="181">
        <v>0</v>
      </c>
      <c r="AV71" s="181">
        <v>0</v>
      </c>
      <c r="AW71" s="181">
        <v>0</v>
      </c>
      <c r="AX71" s="181">
        <v>0</v>
      </c>
      <c r="AY71" s="181">
        <v>0</v>
      </c>
      <c r="AZ71" s="181">
        <v>0</v>
      </c>
      <c r="BA71" s="181">
        <v>0</v>
      </c>
      <c r="BB71" s="181">
        <v>0</v>
      </c>
      <c r="BC71" s="181">
        <v>0</v>
      </c>
      <c r="BD71" s="181">
        <v>0</v>
      </c>
      <c r="BE71" s="181">
        <v>0</v>
      </c>
      <c r="BF71" s="181">
        <v>0</v>
      </c>
      <c r="BG71" s="181">
        <v>0</v>
      </c>
      <c r="BH71" s="181">
        <v>0</v>
      </c>
      <c r="BI71" s="181">
        <v>0</v>
      </c>
      <c r="BJ71" s="181">
        <v>0</v>
      </c>
      <c r="BK71" s="181">
        <v>0</v>
      </c>
      <c r="BL71" s="181">
        <v>0</v>
      </c>
      <c r="BM71" s="181">
        <v>0</v>
      </c>
      <c r="BN71" s="181">
        <v>0</v>
      </c>
      <c r="BO71" s="181">
        <v>0</v>
      </c>
      <c r="BP71" s="181">
        <v>0</v>
      </c>
    </row>
    <row r="72" spans="2:68" ht="15" customHeight="1">
      <c r="B72" s="140" t="s">
        <v>202</v>
      </c>
      <c r="C72" s="146" t="s">
        <v>115</v>
      </c>
      <c r="D72" s="153">
        <f>SUM(E72:BP72)</f>
        <v>213869777</v>
      </c>
      <c r="E72" s="181">
        <v>6088495</v>
      </c>
      <c r="F72" s="181">
        <v>35357800</v>
      </c>
      <c r="G72" s="181">
        <v>20585061</v>
      </c>
      <c r="H72" s="181">
        <v>3218621</v>
      </c>
      <c r="I72" s="181">
        <v>146850094</v>
      </c>
      <c r="J72" s="181">
        <v>521</v>
      </c>
      <c r="K72" s="181">
        <v>582</v>
      </c>
      <c r="L72" s="181">
        <v>705</v>
      </c>
      <c r="M72" s="181">
        <v>714</v>
      </c>
      <c r="N72" s="181">
        <v>650</v>
      </c>
      <c r="O72" s="181">
        <v>0</v>
      </c>
      <c r="P72" s="181">
        <v>0</v>
      </c>
      <c r="Q72" s="181">
        <v>0</v>
      </c>
      <c r="R72" s="181">
        <v>0</v>
      </c>
      <c r="S72" s="181">
        <v>0</v>
      </c>
      <c r="T72" s="181">
        <v>0</v>
      </c>
      <c r="U72" s="181">
        <v>0</v>
      </c>
      <c r="V72" s="181">
        <v>0</v>
      </c>
      <c r="W72" s="181">
        <v>0</v>
      </c>
      <c r="X72" s="181">
        <v>0</v>
      </c>
      <c r="Y72" s="181">
        <v>0</v>
      </c>
      <c r="Z72" s="181">
        <v>0</v>
      </c>
      <c r="AA72" s="181">
        <v>0</v>
      </c>
      <c r="AB72" s="181">
        <v>0</v>
      </c>
      <c r="AC72" s="181">
        <v>0</v>
      </c>
      <c r="AD72" s="181">
        <v>0</v>
      </c>
      <c r="AE72" s="181">
        <v>0</v>
      </c>
      <c r="AF72" s="181">
        <v>0</v>
      </c>
      <c r="AG72" s="181">
        <v>0</v>
      </c>
      <c r="AH72" s="181">
        <v>0</v>
      </c>
      <c r="AI72" s="181">
        <v>0</v>
      </c>
      <c r="AJ72" s="181">
        <v>0</v>
      </c>
      <c r="AK72" s="181">
        <v>188985</v>
      </c>
      <c r="AL72" s="181">
        <v>1113702</v>
      </c>
      <c r="AM72" s="181">
        <v>52915</v>
      </c>
      <c r="AN72" s="181">
        <v>532</v>
      </c>
      <c r="AO72" s="181">
        <v>407311</v>
      </c>
      <c r="AP72" s="181">
        <v>523</v>
      </c>
      <c r="AQ72" s="181">
        <v>584</v>
      </c>
      <c r="AR72" s="181">
        <v>708</v>
      </c>
      <c r="AS72" s="181">
        <v>717</v>
      </c>
      <c r="AT72" s="181">
        <v>557</v>
      </c>
      <c r="AU72" s="181">
        <v>0</v>
      </c>
      <c r="AV72" s="181">
        <v>0</v>
      </c>
      <c r="AW72" s="181">
        <v>0</v>
      </c>
      <c r="AX72" s="181">
        <v>0</v>
      </c>
      <c r="AY72" s="181">
        <v>0</v>
      </c>
      <c r="AZ72" s="181">
        <v>0</v>
      </c>
      <c r="BA72" s="181">
        <v>0</v>
      </c>
      <c r="BB72" s="181">
        <v>0</v>
      </c>
      <c r="BC72" s="181">
        <v>0</v>
      </c>
      <c r="BD72" s="181">
        <v>0</v>
      </c>
      <c r="BE72" s="181">
        <v>0</v>
      </c>
      <c r="BF72" s="181">
        <v>0</v>
      </c>
      <c r="BG72" s="181">
        <v>0</v>
      </c>
      <c r="BH72" s="181">
        <v>0</v>
      </c>
      <c r="BI72" s="181">
        <v>0</v>
      </c>
      <c r="BJ72" s="181">
        <v>0</v>
      </c>
      <c r="BK72" s="181">
        <v>0</v>
      </c>
      <c r="BL72" s="181">
        <v>0</v>
      </c>
      <c r="BM72" s="181">
        <v>0</v>
      </c>
      <c r="BN72" s="181">
        <v>0</v>
      </c>
      <c r="BO72" s="181">
        <v>0</v>
      </c>
      <c r="BP72" s="181">
        <v>0</v>
      </c>
    </row>
    <row r="73" spans="2:68" ht="15" customHeight="1">
      <c r="B73" s="140" t="s">
        <v>203</v>
      </c>
      <c r="C73" s="146" t="s">
        <v>4</v>
      </c>
      <c r="D73" s="170">
        <f>SUM(E73:BP73)</f>
        <v>343541</v>
      </c>
      <c r="E73" s="212">
        <v>9549</v>
      </c>
      <c r="F73" s="181">
        <v>66677</v>
      </c>
      <c r="G73" s="181">
        <v>29017</v>
      </c>
      <c r="H73" s="181">
        <v>4947</v>
      </c>
      <c r="I73" s="181">
        <v>230288</v>
      </c>
      <c r="J73" s="181">
        <v>1</v>
      </c>
      <c r="K73" s="181">
        <v>1</v>
      </c>
      <c r="L73" s="181">
        <v>1</v>
      </c>
      <c r="M73" s="181">
        <v>1</v>
      </c>
      <c r="N73" s="181">
        <v>1</v>
      </c>
      <c r="O73" s="181">
        <v>0</v>
      </c>
      <c r="P73" s="181">
        <v>0</v>
      </c>
      <c r="Q73" s="181">
        <v>0</v>
      </c>
      <c r="R73" s="181">
        <v>0</v>
      </c>
      <c r="S73" s="181">
        <v>0</v>
      </c>
      <c r="T73" s="181">
        <v>0</v>
      </c>
      <c r="U73" s="181">
        <v>0</v>
      </c>
      <c r="V73" s="181">
        <v>0</v>
      </c>
      <c r="W73" s="181">
        <v>0</v>
      </c>
      <c r="X73" s="181">
        <v>0</v>
      </c>
      <c r="Y73" s="181">
        <v>0</v>
      </c>
      <c r="Z73" s="181">
        <v>0</v>
      </c>
      <c r="AA73" s="181">
        <v>0</v>
      </c>
      <c r="AB73" s="181">
        <v>0</v>
      </c>
      <c r="AC73" s="212">
        <v>0</v>
      </c>
      <c r="AD73" s="212">
        <v>0</v>
      </c>
      <c r="AE73" s="212">
        <v>0</v>
      </c>
      <c r="AF73" s="212">
        <v>0</v>
      </c>
      <c r="AG73" s="212">
        <v>0</v>
      </c>
      <c r="AH73" s="212">
        <v>0</v>
      </c>
      <c r="AI73" s="212">
        <v>0</v>
      </c>
      <c r="AJ73" s="212">
        <v>0</v>
      </c>
      <c r="AK73" s="181">
        <v>346</v>
      </c>
      <c r="AL73" s="181">
        <v>2039</v>
      </c>
      <c r="AM73" s="181">
        <v>95</v>
      </c>
      <c r="AN73" s="181">
        <v>1</v>
      </c>
      <c r="AO73" s="181">
        <v>572</v>
      </c>
      <c r="AP73" s="181">
        <v>1</v>
      </c>
      <c r="AQ73" s="181">
        <v>1</v>
      </c>
      <c r="AR73" s="181">
        <v>1</v>
      </c>
      <c r="AS73" s="181">
        <v>1</v>
      </c>
      <c r="AT73" s="181">
        <v>1</v>
      </c>
      <c r="AU73" s="181">
        <v>0</v>
      </c>
      <c r="AV73" s="181">
        <v>0</v>
      </c>
      <c r="AW73" s="181">
        <v>0</v>
      </c>
      <c r="AX73" s="181">
        <v>0</v>
      </c>
      <c r="AY73" s="181">
        <v>0</v>
      </c>
      <c r="AZ73" s="181">
        <v>0</v>
      </c>
      <c r="BA73" s="181">
        <v>0</v>
      </c>
      <c r="BB73" s="181">
        <v>0</v>
      </c>
      <c r="BC73" s="212">
        <v>0</v>
      </c>
      <c r="BD73" s="212">
        <v>0</v>
      </c>
      <c r="BE73" s="212">
        <v>0</v>
      </c>
      <c r="BF73" s="212">
        <v>0</v>
      </c>
      <c r="BG73" s="212">
        <v>0</v>
      </c>
      <c r="BH73" s="212">
        <v>0</v>
      </c>
      <c r="BI73" s="212">
        <v>0</v>
      </c>
      <c r="BJ73" s="212">
        <v>0</v>
      </c>
      <c r="BK73" s="212">
        <v>0</v>
      </c>
      <c r="BL73" s="212">
        <v>0</v>
      </c>
      <c r="BM73" s="212">
        <v>0</v>
      </c>
      <c r="BN73" s="212">
        <v>0</v>
      </c>
      <c r="BO73" s="212">
        <v>0</v>
      </c>
      <c r="BP73" s="212">
        <v>0</v>
      </c>
    </row>
    <row r="74" spans="2:68" ht="15" customHeight="1">
      <c r="B74" s="142" t="s">
        <v>204</v>
      </c>
      <c r="C74" s="164" t="s">
        <v>118</v>
      </c>
      <c r="D74" s="88">
        <f t="shared" ref="D74:J74" si="60">D70/(D71+D72)</f>
        <v>0.84323163957036029</v>
      </c>
      <c r="E74" s="88">
        <f t="shared" si="60"/>
        <v>0.84533391548487391</v>
      </c>
      <c r="F74" s="88">
        <f t="shared" si="60"/>
        <v>0.8279304149970288</v>
      </c>
      <c r="G74" s="88">
        <f t="shared" si="60"/>
        <v>0.85390513039645988</v>
      </c>
      <c r="H74" s="88">
        <f t="shared" si="60"/>
        <v>0.84700031229443384</v>
      </c>
      <c r="I74" s="88">
        <f t="shared" si="60"/>
        <v>0.8453324775896105</v>
      </c>
      <c r="J74" s="88">
        <f t="shared" si="60"/>
        <v>0.82751540041067762</v>
      </c>
      <c r="K74" s="88">
        <f t="shared" ref="K74:BA74" si="61">K70/(K71+K72)</f>
        <v>0.83639705882352944</v>
      </c>
      <c r="L74" s="88">
        <f t="shared" si="61"/>
        <v>0.85432473444613055</v>
      </c>
      <c r="M74" s="88">
        <f t="shared" si="61"/>
        <v>0.85479041916167664</v>
      </c>
      <c r="N74" s="88">
        <f t="shared" si="61"/>
        <v>0.84703947368421051</v>
      </c>
      <c r="O74" s="88" t="e">
        <f t="shared" si="61"/>
        <v>#DIV/0!</v>
      </c>
      <c r="P74" s="88" t="e">
        <f t="shared" si="61"/>
        <v>#DIV/0!</v>
      </c>
      <c r="Q74" s="88" t="e">
        <f t="shared" si="61"/>
        <v>#DIV/0!</v>
      </c>
      <c r="R74" s="88" t="e">
        <f t="shared" si="61"/>
        <v>#DIV/0!</v>
      </c>
      <c r="S74" s="88" t="e">
        <f t="shared" si="61"/>
        <v>#DIV/0!</v>
      </c>
      <c r="T74" s="88" t="e">
        <f t="shared" si="61"/>
        <v>#DIV/0!</v>
      </c>
      <c r="U74" s="88" t="e">
        <f t="shared" si="61"/>
        <v>#DIV/0!</v>
      </c>
      <c r="V74" s="88" t="e">
        <f t="shared" si="61"/>
        <v>#DIV/0!</v>
      </c>
      <c r="W74" s="88" t="e">
        <f t="shared" si="61"/>
        <v>#DIV/0!</v>
      </c>
      <c r="X74" s="88" t="e">
        <f t="shared" ref="X74:AJ74" si="62">X70/(X71+X72)</f>
        <v>#DIV/0!</v>
      </c>
      <c r="Y74" s="88" t="e">
        <f t="shared" si="62"/>
        <v>#DIV/0!</v>
      </c>
      <c r="Z74" s="88" t="e">
        <f t="shared" si="62"/>
        <v>#DIV/0!</v>
      </c>
      <c r="AA74" s="88" t="e">
        <f t="shared" si="62"/>
        <v>#DIV/0!</v>
      </c>
      <c r="AB74" s="88" t="e">
        <f t="shared" si="62"/>
        <v>#DIV/0!</v>
      </c>
      <c r="AC74" s="88" t="e">
        <f t="shared" si="62"/>
        <v>#DIV/0!</v>
      </c>
      <c r="AD74" s="88" t="e">
        <f t="shared" si="62"/>
        <v>#DIV/0!</v>
      </c>
      <c r="AE74" s="88" t="e">
        <f t="shared" si="62"/>
        <v>#DIV/0!</v>
      </c>
      <c r="AF74" s="88" t="e">
        <f t="shared" si="62"/>
        <v>#DIV/0!</v>
      </c>
      <c r="AG74" s="88" t="e">
        <f t="shared" si="62"/>
        <v>#DIV/0!</v>
      </c>
      <c r="AH74" s="88" t="e">
        <f t="shared" si="62"/>
        <v>#DIV/0!</v>
      </c>
      <c r="AI74" s="88" t="e">
        <f t="shared" si="62"/>
        <v>#DIV/0!</v>
      </c>
      <c r="AJ74" s="88" t="e">
        <f t="shared" si="62"/>
        <v>#DIV/0!</v>
      </c>
      <c r="AK74" s="88">
        <f t="shared" si="61"/>
        <v>0.83090972874489344</v>
      </c>
      <c r="AL74" s="88">
        <f t="shared" si="61"/>
        <v>0.83090784621160263</v>
      </c>
      <c r="AM74" s="88">
        <f t="shared" si="61"/>
        <v>0.83302010710316254</v>
      </c>
      <c r="AN74" s="88">
        <f t="shared" si="61"/>
        <v>0.82730923694779113</v>
      </c>
      <c r="AO74" s="88">
        <f t="shared" si="61"/>
        <v>0.85419313850063527</v>
      </c>
      <c r="AP74" s="88">
        <f t="shared" si="61"/>
        <v>0.82617586912065444</v>
      </c>
      <c r="AQ74" s="88">
        <f t="shared" si="61"/>
        <v>0.83699633699633702</v>
      </c>
      <c r="AR74" s="88">
        <f t="shared" si="61"/>
        <v>0.8534743202416919</v>
      </c>
      <c r="AS74" s="88">
        <f t="shared" si="61"/>
        <v>0.85394932935916545</v>
      </c>
      <c r="AT74" s="88">
        <f t="shared" si="61"/>
        <v>0.83301343570057584</v>
      </c>
      <c r="AU74" s="88" t="e">
        <f t="shared" si="61"/>
        <v>#DIV/0!</v>
      </c>
      <c r="AV74" s="88" t="e">
        <f t="shared" si="61"/>
        <v>#DIV/0!</v>
      </c>
      <c r="AW74" s="88" t="e">
        <f t="shared" si="61"/>
        <v>#DIV/0!</v>
      </c>
      <c r="AX74" s="88" t="e">
        <f t="shared" si="61"/>
        <v>#DIV/0!</v>
      </c>
      <c r="AY74" s="88" t="e">
        <f t="shared" si="61"/>
        <v>#DIV/0!</v>
      </c>
      <c r="AZ74" s="88" t="e">
        <f t="shared" si="61"/>
        <v>#DIV/0!</v>
      </c>
      <c r="BA74" s="88" t="e">
        <f t="shared" si="61"/>
        <v>#DIV/0!</v>
      </c>
      <c r="BB74" s="88" t="e">
        <f t="shared" ref="BB74:BP74" si="63">BB70/(BB71+BB72)</f>
        <v>#DIV/0!</v>
      </c>
      <c r="BC74" s="88" t="e">
        <f t="shared" si="63"/>
        <v>#DIV/0!</v>
      </c>
      <c r="BD74" s="88" t="e">
        <f t="shared" si="63"/>
        <v>#DIV/0!</v>
      </c>
      <c r="BE74" s="88" t="e">
        <f t="shared" si="63"/>
        <v>#DIV/0!</v>
      </c>
      <c r="BF74" s="88" t="e">
        <f t="shared" si="63"/>
        <v>#DIV/0!</v>
      </c>
      <c r="BG74" s="88" t="e">
        <f t="shared" si="63"/>
        <v>#DIV/0!</v>
      </c>
      <c r="BH74" s="88" t="e">
        <f t="shared" si="63"/>
        <v>#DIV/0!</v>
      </c>
      <c r="BI74" s="88" t="e">
        <f t="shared" si="63"/>
        <v>#DIV/0!</v>
      </c>
      <c r="BJ74" s="88" t="e">
        <f t="shared" si="63"/>
        <v>#DIV/0!</v>
      </c>
      <c r="BK74" s="88" t="e">
        <f t="shared" si="63"/>
        <v>#DIV/0!</v>
      </c>
      <c r="BL74" s="88" t="e">
        <f t="shared" si="63"/>
        <v>#DIV/0!</v>
      </c>
      <c r="BM74" s="88" t="e">
        <f t="shared" si="63"/>
        <v>#DIV/0!</v>
      </c>
      <c r="BN74" s="88" t="e">
        <f t="shared" si="63"/>
        <v>#DIV/0!</v>
      </c>
      <c r="BO74" s="88" t="e">
        <f t="shared" si="63"/>
        <v>#DIV/0!</v>
      </c>
      <c r="BP74" s="88" t="e">
        <f t="shared" si="63"/>
        <v>#DIV/0!</v>
      </c>
    </row>
    <row r="75" spans="2:68" ht="15" customHeight="1">
      <c r="C75" s="78" t="s">
        <v>120</v>
      </c>
    </row>
    <row r="76" spans="2:68" ht="15" customHeight="1">
      <c r="B76" s="140" t="s">
        <v>205</v>
      </c>
      <c r="C76" s="146" t="s">
        <v>86</v>
      </c>
      <c r="D76" s="105">
        <f t="shared" ref="D76:J76" si="64">D66/D73</f>
        <v>638.31016967407095</v>
      </c>
      <c r="E76" s="105">
        <f t="shared" si="64"/>
        <v>628.80322546863545</v>
      </c>
      <c r="F76" s="105">
        <f t="shared" si="64"/>
        <v>629.4185851193065</v>
      </c>
      <c r="G76" s="105">
        <f t="shared" si="64"/>
        <v>736.91904745494026</v>
      </c>
      <c r="H76" s="105">
        <f t="shared" si="64"/>
        <v>632.24560339599759</v>
      </c>
      <c r="I76" s="105">
        <f t="shared" si="64"/>
        <v>628.80318123393317</v>
      </c>
      <c r="J76" s="105">
        <f t="shared" si="64"/>
        <v>627</v>
      </c>
      <c r="K76" s="105">
        <f t="shared" ref="K76:BA76" si="65">K66/K73</f>
        <v>646</v>
      </c>
      <c r="L76" s="105">
        <f t="shared" si="65"/>
        <v>735</v>
      </c>
      <c r="M76" s="105">
        <f t="shared" si="65"/>
        <v>739</v>
      </c>
      <c r="N76" s="105">
        <f t="shared" si="65"/>
        <v>632</v>
      </c>
      <c r="O76" s="105" t="e">
        <f t="shared" si="65"/>
        <v>#DIV/0!</v>
      </c>
      <c r="P76" s="105" t="e">
        <f t="shared" si="65"/>
        <v>#DIV/0!</v>
      </c>
      <c r="Q76" s="105" t="e">
        <f t="shared" si="65"/>
        <v>#DIV/0!</v>
      </c>
      <c r="R76" s="105" t="e">
        <f t="shared" si="65"/>
        <v>#DIV/0!</v>
      </c>
      <c r="S76" s="105" t="e">
        <f t="shared" si="65"/>
        <v>#DIV/0!</v>
      </c>
      <c r="T76" s="105" t="e">
        <f t="shared" si="65"/>
        <v>#DIV/0!</v>
      </c>
      <c r="U76" s="105" t="e">
        <f t="shared" si="65"/>
        <v>#DIV/0!</v>
      </c>
      <c r="V76" s="105" t="e">
        <f t="shared" si="65"/>
        <v>#DIV/0!</v>
      </c>
      <c r="W76" s="105" t="e">
        <f t="shared" si="65"/>
        <v>#DIV/0!</v>
      </c>
      <c r="X76" s="105" t="e">
        <f t="shared" ref="X76:AJ76" si="66">X66/X73</f>
        <v>#DIV/0!</v>
      </c>
      <c r="Y76" s="105" t="e">
        <f t="shared" si="66"/>
        <v>#DIV/0!</v>
      </c>
      <c r="Z76" s="105" t="e">
        <f t="shared" si="66"/>
        <v>#DIV/0!</v>
      </c>
      <c r="AA76" s="105" t="e">
        <f t="shared" si="66"/>
        <v>#DIV/0!</v>
      </c>
      <c r="AB76" s="105" t="e">
        <f t="shared" si="66"/>
        <v>#DIV/0!</v>
      </c>
      <c r="AC76" s="105" t="e">
        <f t="shared" si="66"/>
        <v>#DIV/0!</v>
      </c>
      <c r="AD76" s="105" t="e">
        <f t="shared" si="66"/>
        <v>#DIV/0!</v>
      </c>
      <c r="AE76" s="105" t="e">
        <f t="shared" si="66"/>
        <v>#DIV/0!</v>
      </c>
      <c r="AF76" s="105" t="e">
        <f t="shared" si="66"/>
        <v>#DIV/0!</v>
      </c>
      <c r="AG76" s="105" t="e">
        <f t="shared" si="66"/>
        <v>#DIV/0!</v>
      </c>
      <c r="AH76" s="105" t="e">
        <f t="shared" si="66"/>
        <v>#DIV/0!</v>
      </c>
      <c r="AI76" s="105" t="e">
        <f t="shared" si="66"/>
        <v>#DIV/0!</v>
      </c>
      <c r="AJ76" s="105" t="e">
        <f t="shared" si="66"/>
        <v>#DIV/0!</v>
      </c>
      <c r="AK76" s="105">
        <f t="shared" si="65"/>
        <v>631.38150289017346</v>
      </c>
      <c r="AL76" s="105">
        <f t="shared" si="65"/>
        <v>631.38106915154492</v>
      </c>
      <c r="AM76" s="105">
        <f t="shared" si="65"/>
        <v>634.84210526315792</v>
      </c>
      <c r="AN76" s="105">
        <f t="shared" si="65"/>
        <v>632</v>
      </c>
      <c r="AO76" s="105">
        <f t="shared" si="65"/>
        <v>739.94055944055947</v>
      </c>
      <c r="AP76" s="105">
        <f t="shared" si="65"/>
        <v>629</v>
      </c>
      <c r="AQ76" s="105">
        <f t="shared" si="65"/>
        <v>648</v>
      </c>
      <c r="AR76" s="105">
        <f t="shared" si="65"/>
        <v>738</v>
      </c>
      <c r="AS76" s="105">
        <f t="shared" si="65"/>
        <v>742</v>
      </c>
      <c r="AT76" s="105">
        <f t="shared" si="65"/>
        <v>635</v>
      </c>
      <c r="AU76" s="105" t="e">
        <f t="shared" si="65"/>
        <v>#DIV/0!</v>
      </c>
      <c r="AV76" s="105" t="e">
        <f t="shared" si="65"/>
        <v>#DIV/0!</v>
      </c>
      <c r="AW76" s="105" t="e">
        <f t="shared" si="65"/>
        <v>#DIV/0!</v>
      </c>
      <c r="AX76" s="105" t="e">
        <f t="shared" si="65"/>
        <v>#DIV/0!</v>
      </c>
      <c r="AY76" s="105" t="e">
        <f t="shared" si="65"/>
        <v>#DIV/0!</v>
      </c>
      <c r="AZ76" s="105" t="e">
        <f t="shared" si="65"/>
        <v>#DIV/0!</v>
      </c>
      <c r="BA76" s="105" t="e">
        <f t="shared" si="65"/>
        <v>#DIV/0!</v>
      </c>
      <c r="BB76" s="105" t="e">
        <f t="shared" ref="BB76:BP76" si="67">BB66/BB73</f>
        <v>#DIV/0!</v>
      </c>
      <c r="BC76" s="105" t="e">
        <f t="shared" si="67"/>
        <v>#DIV/0!</v>
      </c>
      <c r="BD76" s="105" t="e">
        <f t="shared" si="67"/>
        <v>#DIV/0!</v>
      </c>
      <c r="BE76" s="105" t="e">
        <f t="shared" si="67"/>
        <v>#DIV/0!</v>
      </c>
      <c r="BF76" s="105" t="e">
        <f t="shared" si="67"/>
        <v>#DIV/0!</v>
      </c>
      <c r="BG76" s="105" t="e">
        <f t="shared" si="67"/>
        <v>#DIV/0!</v>
      </c>
      <c r="BH76" s="105" t="e">
        <f t="shared" si="67"/>
        <v>#DIV/0!</v>
      </c>
      <c r="BI76" s="105" t="e">
        <f t="shared" si="67"/>
        <v>#DIV/0!</v>
      </c>
      <c r="BJ76" s="105" t="e">
        <f t="shared" si="67"/>
        <v>#DIV/0!</v>
      </c>
      <c r="BK76" s="105" t="e">
        <f t="shared" si="67"/>
        <v>#DIV/0!</v>
      </c>
      <c r="BL76" s="105" t="e">
        <f t="shared" si="67"/>
        <v>#DIV/0!</v>
      </c>
      <c r="BM76" s="105" t="e">
        <f t="shared" si="67"/>
        <v>#DIV/0!</v>
      </c>
      <c r="BN76" s="105" t="e">
        <f t="shared" si="67"/>
        <v>#DIV/0!</v>
      </c>
      <c r="BO76" s="105" t="e">
        <f t="shared" si="67"/>
        <v>#DIV/0!</v>
      </c>
      <c r="BP76" s="105" t="e">
        <f t="shared" si="67"/>
        <v>#DIV/0!</v>
      </c>
    </row>
    <row r="77" spans="2:68" ht="15" customHeight="1">
      <c r="B77" s="140" t="s">
        <v>206</v>
      </c>
      <c r="C77" s="146" t="s">
        <v>87</v>
      </c>
      <c r="D77" s="85">
        <f t="shared" ref="D77:J77" si="68">D67/D73</f>
        <v>39.499381442098617</v>
      </c>
      <c r="E77" s="85">
        <f t="shared" si="68"/>
        <v>40.555765001570848</v>
      </c>
      <c r="F77" s="85">
        <f t="shared" si="68"/>
        <v>33.035094560343147</v>
      </c>
      <c r="G77" s="85">
        <f t="shared" si="68"/>
        <v>45.580797463555847</v>
      </c>
      <c r="H77" s="85">
        <f t="shared" si="68"/>
        <v>41.465130382049729</v>
      </c>
      <c r="I77" s="85">
        <f t="shared" si="68"/>
        <v>40.56048078927256</v>
      </c>
      <c r="J77" s="85">
        <f t="shared" si="68"/>
        <v>32</v>
      </c>
      <c r="K77" s="85">
        <f t="shared" ref="K77:BA77" si="69">K67/K73</f>
        <v>37</v>
      </c>
      <c r="L77" s="85">
        <f t="shared" si="69"/>
        <v>45</v>
      </c>
      <c r="M77" s="85">
        <f t="shared" si="69"/>
        <v>46</v>
      </c>
      <c r="N77" s="85">
        <f t="shared" si="69"/>
        <v>41</v>
      </c>
      <c r="O77" s="85" t="e">
        <f t="shared" si="69"/>
        <v>#DIV/0!</v>
      </c>
      <c r="P77" s="85" t="e">
        <f t="shared" si="69"/>
        <v>#DIV/0!</v>
      </c>
      <c r="Q77" s="85" t="e">
        <f t="shared" si="69"/>
        <v>#DIV/0!</v>
      </c>
      <c r="R77" s="85" t="e">
        <f t="shared" si="69"/>
        <v>#DIV/0!</v>
      </c>
      <c r="S77" s="85" t="e">
        <f t="shared" si="69"/>
        <v>#DIV/0!</v>
      </c>
      <c r="T77" s="85" t="e">
        <f t="shared" si="69"/>
        <v>#DIV/0!</v>
      </c>
      <c r="U77" s="85" t="e">
        <f t="shared" si="69"/>
        <v>#DIV/0!</v>
      </c>
      <c r="V77" s="85" t="e">
        <f t="shared" si="69"/>
        <v>#DIV/0!</v>
      </c>
      <c r="W77" s="85" t="e">
        <f t="shared" si="69"/>
        <v>#DIV/0!</v>
      </c>
      <c r="X77" s="85" t="e">
        <f t="shared" ref="X77:AJ77" si="70">X67/X73</f>
        <v>#DIV/0!</v>
      </c>
      <c r="Y77" s="85" t="e">
        <f t="shared" si="70"/>
        <v>#DIV/0!</v>
      </c>
      <c r="Z77" s="85" t="e">
        <f t="shared" si="70"/>
        <v>#DIV/0!</v>
      </c>
      <c r="AA77" s="85" t="e">
        <f t="shared" si="70"/>
        <v>#DIV/0!</v>
      </c>
      <c r="AB77" s="85" t="e">
        <f t="shared" si="70"/>
        <v>#DIV/0!</v>
      </c>
      <c r="AC77" s="85" t="e">
        <f t="shared" si="70"/>
        <v>#DIV/0!</v>
      </c>
      <c r="AD77" s="85" t="e">
        <f t="shared" si="70"/>
        <v>#DIV/0!</v>
      </c>
      <c r="AE77" s="85" t="e">
        <f t="shared" si="70"/>
        <v>#DIV/0!</v>
      </c>
      <c r="AF77" s="85" t="e">
        <f t="shared" si="70"/>
        <v>#DIV/0!</v>
      </c>
      <c r="AG77" s="85" t="e">
        <f t="shared" si="70"/>
        <v>#DIV/0!</v>
      </c>
      <c r="AH77" s="85" t="e">
        <f t="shared" si="70"/>
        <v>#DIV/0!</v>
      </c>
      <c r="AI77" s="85" t="e">
        <f t="shared" si="70"/>
        <v>#DIV/0!</v>
      </c>
      <c r="AJ77" s="85" t="e">
        <f t="shared" si="70"/>
        <v>#DIV/0!</v>
      </c>
      <c r="AK77" s="85">
        <f t="shared" si="69"/>
        <v>34.150289017341038</v>
      </c>
      <c r="AL77" s="85">
        <f t="shared" si="69"/>
        <v>34.149092692496325</v>
      </c>
      <c r="AM77" s="85">
        <f t="shared" si="69"/>
        <v>34.915789473684214</v>
      </c>
      <c r="AN77" s="85">
        <f t="shared" si="69"/>
        <v>33</v>
      </c>
      <c r="AO77" s="85">
        <f t="shared" si="69"/>
        <v>45.76748251748252</v>
      </c>
      <c r="AP77" s="85">
        <f t="shared" si="69"/>
        <v>32</v>
      </c>
      <c r="AQ77" s="85">
        <f t="shared" si="69"/>
        <v>37</v>
      </c>
      <c r="AR77" s="85">
        <f t="shared" si="69"/>
        <v>45</v>
      </c>
      <c r="AS77" s="85">
        <f t="shared" si="69"/>
        <v>46</v>
      </c>
      <c r="AT77" s="85">
        <f t="shared" si="69"/>
        <v>35</v>
      </c>
      <c r="AU77" s="85" t="e">
        <f t="shared" si="69"/>
        <v>#DIV/0!</v>
      </c>
      <c r="AV77" s="85" t="e">
        <f t="shared" si="69"/>
        <v>#DIV/0!</v>
      </c>
      <c r="AW77" s="85" t="e">
        <f t="shared" si="69"/>
        <v>#DIV/0!</v>
      </c>
      <c r="AX77" s="85" t="e">
        <f t="shared" si="69"/>
        <v>#DIV/0!</v>
      </c>
      <c r="AY77" s="85" t="e">
        <f t="shared" si="69"/>
        <v>#DIV/0!</v>
      </c>
      <c r="AZ77" s="85" t="e">
        <f t="shared" si="69"/>
        <v>#DIV/0!</v>
      </c>
      <c r="BA77" s="85" t="e">
        <f t="shared" si="69"/>
        <v>#DIV/0!</v>
      </c>
      <c r="BB77" s="85" t="e">
        <f t="shared" ref="BB77:BP77" si="71">BB67/BB73</f>
        <v>#DIV/0!</v>
      </c>
      <c r="BC77" s="85" t="e">
        <f t="shared" si="71"/>
        <v>#DIV/0!</v>
      </c>
      <c r="BD77" s="85" t="e">
        <f t="shared" si="71"/>
        <v>#DIV/0!</v>
      </c>
      <c r="BE77" s="85" t="e">
        <f t="shared" si="71"/>
        <v>#DIV/0!</v>
      </c>
      <c r="BF77" s="85" t="e">
        <f t="shared" si="71"/>
        <v>#DIV/0!</v>
      </c>
      <c r="BG77" s="85" t="e">
        <f t="shared" si="71"/>
        <v>#DIV/0!</v>
      </c>
      <c r="BH77" s="85" t="e">
        <f t="shared" si="71"/>
        <v>#DIV/0!</v>
      </c>
      <c r="BI77" s="85" t="e">
        <f t="shared" si="71"/>
        <v>#DIV/0!</v>
      </c>
      <c r="BJ77" s="85" t="e">
        <f t="shared" si="71"/>
        <v>#DIV/0!</v>
      </c>
      <c r="BK77" s="85" t="e">
        <f t="shared" si="71"/>
        <v>#DIV/0!</v>
      </c>
      <c r="BL77" s="85" t="e">
        <f t="shared" si="71"/>
        <v>#DIV/0!</v>
      </c>
      <c r="BM77" s="85" t="e">
        <f t="shared" si="71"/>
        <v>#DIV/0!</v>
      </c>
      <c r="BN77" s="85" t="e">
        <f t="shared" si="71"/>
        <v>#DIV/0!</v>
      </c>
      <c r="BO77" s="85" t="e">
        <f t="shared" si="71"/>
        <v>#DIV/0!</v>
      </c>
      <c r="BP77" s="85" t="e">
        <f t="shared" si="71"/>
        <v>#DIV/0!</v>
      </c>
    </row>
    <row r="78" spans="2:68" ht="15" customHeight="1">
      <c r="B78" s="140" t="s">
        <v>207</v>
      </c>
      <c r="C78" s="146" t="s">
        <v>111</v>
      </c>
      <c r="D78" s="105">
        <f t="shared" ref="D78:J78" si="72">D68/D73</f>
        <v>107.88983556547835</v>
      </c>
      <c r="E78" s="105">
        <f t="shared" si="72"/>
        <v>84.196774531364539</v>
      </c>
      <c r="F78" s="105">
        <f t="shared" si="72"/>
        <v>185.80437032259999</v>
      </c>
      <c r="G78" s="105">
        <f t="shared" si="72"/>
        <v>124.83409725333425</v>
      </c>
      <c r="H78" s="105">
        <f t="shared" si="72"/>
        <v>75.426925409338992</v>
      </c>
      <c r="I78" s="105">
        <f t="shared" si="72"/>
        <v>84.13386715764608</v>
      </c>
      <c r="J78" s="105">
        <f t="shared" si="72"/>
        <v>192</v>
      </c>
      <c r="K78" s="105">
        <f t="shared" ref="K78:BA78" si="73">K68/K73</f>
        <v>154</v>
      </c>
      <c r="L78" s="105">
        <f t="shared" si="73"/>
        <v>127</v>
      </c>
      <c r="M78" s="105">
        <f t="shared" si="73"/>
        <v>122</v>
      </c>
      <c r="N78" s="105">
        <f t="shared" si="73"/>
        <v>76</v>
      </c>
      <c r="O78" s="105" t="e">
        <f t="shared" si="73"/>
        <v>#DIV/0!</v>
      </c>
      <c r="P78" s="105" t="e">
        <f t="shared" si="73"/>
        <v>#DIV/0!</v>
      </c>
      <c r="Q78" s="105" t="e">
        <f t="shared" si="73"/>
        <v>#DIV/0!</v>
      </c>
      <c r="R78" s="105" t="e">
        <f t="shared" si="73"/>
        <v>#DIV/0!</v>
      </c>
      <c r="S78" s="105" t="e">
        <f t="shared" si="73"/>
        <v>#DIV/0!</v>
      </c>
      <c r="T78" s="105" t="e">
        <f t="shared" si="73"/>
        <v>#DIV/0!</v>
      </c>
      <c r="U78" s="105" t="e">
        <f t="shared" si="73"/>
        <v>#DIV/0!</v>
      </c>
      <c r="V78" s="105" t="e">
        <f t="shared" si="73"/>
        <v>#DIV/0!</v>
      </c>
      <c r="W78" s="105" t="e">
        <f t="shared" si="73"/>
        <v>#DIV/0!</v>
      </c>
      <c r="X78" s="105" t="e">
        <f t="shared" ref="X78:AJ78" si="74">X68/X73</f>
        <v>#DIV/0!</v>
      </c>
      <c r="Y78" s="105" t="e">
        <f t="shared" si="74"/>
        <v>#DIV/0!</v>
      </c>
      <c r="Z78" s="105" t="e">
        <f t="shared" si="74"/>
        <v>#DIV/0!</v>
      </c>
      <c r="AA78" s="105" t="e">
        <f t="shared" si="74"/>
        <v>#DIV/0!</v>
      </c>
      <c r="AB78" s="105" t="e">
        <f t="shared" si="74"/>
        <v>#DIV/0!</v>
      </c>
      <c r="AC78" s="105" t="e">
        <f t="shared" si="74"/>
        <v>#DIV/0!</v>
      </c>
      <c r="AD78" s="105" t="e">
        <f t="shared" si="74"/>
        <v>#DIV/0!</v>
      </c>
      <c r="AE78" s="105" t="e">
        <f t="shared" si="74"/>
        <v>#DIV/0!</v>
      </c>
      <c r="AF78" s="105" t="e">
        <f t="shared" si="74"/>
        <v>#DIV/0!</v>
      </c>
      <c r="AG78" s="105" t="e">
        <f t="shared" si="74"/>
        <v>#DIV/0!</v>
      </c>
      <c r="AH78" s="105" t="e">
        <f t="shared" si="74"/>
        <v>#DIV/0!</v>
      </c>
      <c r="AI78" s="105" t="e">
        <f t="shared" si="74"/>
        <v>#DIV/0!</v>
      </c>
      <c r="AJ78" s="105" t="e">
        <f t="shared" si="74"/>
        <v>#DIV/0!</v>
      </c>
      <c r="AK78" s="105">
        <f t="shared" si="73"/>
        <v>172.8092485549133</v>
      </c>
      <c r="AL78" s="105">
        <f t="shared" si="73"/>
        <v>172.80922020598334</v>
      </c>
      <c r="AM78" s="105">
        <f t="shared" si="73"/>
        <v>166.01052631578946</v>
      </c>
      <c r="AN78" s="105">
        <f t="shared" si="73"/>
        <v>187</v>
      </c>
      <c r="AO78" s="105">
        <f t="shared" si="73"/>
        <v>125.34615384615384</v>
      </c>
      <c r="AP78" s="105">
        <f t="shared" si="73"/>
        <v>193</v>
      </c>
      <c r="AQ78" s="105">
        <f t="shared" si="73"/>
        <v>154</v>
      </c>
      <c r="AR78" s="105">
        <f t="shared" si="73"/>
        <v>128</v>
      </c>
      <c r="AS78" s="105">
        <f t="shared" si="73"/>
        <v>123</v>
      </c>
      <c r="AT78" s="105">
        <f t="shared" si="73"/>
        <v>166</v>
      </c>
      <c r="AU78" s="105" t="e">
        <f t="shared" si="73"/>
        <v>#DIV/0!</v>
      </c>
      <c r="AV78" s="105" t="e">
        <f t="shared" si="73"/>
        <v>#DIV/0!</v>
      </c>
      <c r="AW78" s="105" t="e">
        <f t="shared" si="73"/>
        <v>#DIV/0!</v>
      </c>
      <c r="AX78" s="105" t="e">
        <f t="shared" si="73"/>
        <v>#DIV/0!</v>
      </c>
      <c r="AY78" s="105" t="e">
        <f t="shared" si="73"/>
        <v>#DIV/0!</v>
      </c>
      <c r="AZ78" s="105" t="e">
        <f t="shared" si="73"/>
        <v>#DIV/0!</v>
      </c>
      <c r="BA78" s="105" t="e">
        <f t="shared" si="73"/>
        <v>#DIV/0!</v>
      </c>
      <c r="BB78" s="105" t="e">
        <f t="shared" ref="BB78:BP78" si="75">BB68/BB73</f>
        <v>#DIV/0!</v>
      </c>
      <c r="BC78" s="105" t="e">
        <f t="shared" si="75"/>
        <v>#DIV/0!</v>
      </c>
      <c r="BD78" s="105" t="e">
        <f t="shared" si="75"/>
        <v>#DIV/0!</v>
      </c>
      <c r="BE78" s="105" t="e">
        <f t="shared" si="75"/>
        <v>#DIV/0!</v>
      </c>
      <c r="BF78" s="105" t="e">
        <f t="shared" si="75"/>
        <v>#DIV/0!</v>
      </c>
      <c r="BG78" s="105" t="e">
        <f t="shared" si="75"/>
        <v>#DIV/0!</v>
      </c>
      <c r="BH78" s="105" t="e">
        <f t="shared" si="75"/>
        <v>#DIV/0!</v>
      </c>
      <c r="BI78" s="105" t="e">
        <f t="shared" si="75"/>
        <v>#DIV/0!</v>
      </c>
      <c r="BJ78" s="105" t="e">
        <f t="shared" si="75"/>
        <v>#DIV/0!</v>
      </c>
      <c r="BK78" s="105" t="e">
        <f t="shared" si="75"/>
        <v>#DIV/0!</v>
      </c>
      <c r="BL78" s="105" t="e">
        <f t="shared" si="75"/>
        <v>#DIV/0!</v>
      </c>
      <c r="BM78" s="105" t="e">
        <f t="shared" si="75"/>
        <v>#DIV/0!</v>
      </c>
      <c r="BN78" s="105" t="e">
        <f t="shared" si="75"/>
        <v>#DIV/0!</v>
      </c>
      <c r="BO78" s="105" t="e">
        <f t="shared" si="75"/>
        <v>#DIV/0!</v>
      </c>
      <c r="BP78" s="105" t="e">
        <f t="shared" si="75"/>
        <v>#DIV/0!</v>
      </c>
    </row>
    <row r="79" spans="2:68" ht="15" customHeight="1">
      <c r="B79" s="140" t="s">
        <v>208</v>
      </c>
      <c r="C79" s="146" t="s">
        <v>112</v>
      </c>
      <c r="D79" s="105">
        <f t="shared" ref="D79:J79" si="76">D69/D73</f>
        <v>0</v>
      </c>
      <c r="E79" s="105">
        <f t="shared" si="76"/>
        <v>0</v>
      </c>
      <c r="F79" s="105">
        <f t="shared" si="76"/>
        <v>0</v>
      </c>
      <c r="G79" s="105">
        <f t="shared" si="76"/>
        <v>0</v>
      </c>
      <c r="H79" s="105">
        <f t="shared" si="76"/>
        <v>0</v>
      </c>
      <c r="I79" s="105">
        <f t="shared" si="76"/>
        <v>0</v>
      </c>
      <c r="J79" s="105">
        <f t="shared" si="76"/>
        <v>0</v>
      </c>
      <c r="K79" s="105">
        <f t="shared" ref="K79:BA79" si="77">K69/K73</f>
        <v>0</v>
      </c>
      <c r="L79" s="105">
        <f t="shared" si="77"/>
        <v>0</v>
      </c>
      <c r="M79" s="105">
        <f t="shared" si="77"/>
        <v>0</v>
      </c>
      <c r="N79" s="105">
        <f t="shared" si="77"/>
        <v>0</v>
      </c>
      <c r="O79" s="105" t="e">
        <f t="shared" si="77"/>
        <v>#DIV/0!</v>
      </c>
      <c r="P79" s="105" t="e">
        <f t="shared" si="77"/>
        <v>#DIV/0!</v>
      </c>
      <c r="Q79" s="105" t="e">
        <f t="shared" si="77"/>
        <v>#DIV/0!</v>
      </c>
      <c r="R79" s="105" t="e">
        <f t="shared" si="77"/>
        <v>#DIV/0!</v>
      </c>
      <c r="S79" s="105" t="e">
        <f t="shared" si="77"/>
        <v>#DIV/0!</v>
      </c>
      <c r="T79" s="105" t="e">
        <f t="shared" si="77"/>
        <v>#DIV/0!</v>
      </c>
      <c r="U79" s="105" t="e">
        <f t="shared" si="77"/>
        <v>#DIV/0!</v>
      </c>
      <c r="V79" s="105" t="e">
        <f t="shared" si="77"/>
        <v>#DIV/0!</v>
      </c>
      <c r="W79" s="105" t="e">
        <f t="shared" si="77"/>
        <v>#DIV/0!</v>
      </c>
      <c r="X79" s="105" t="e">
        <f t="shared" ref="X79:AJ79" si="78">X69/X73</f>
        <v>#DIV/0!</v>
      </c>
      <c r="Y79" s="105" t="e">
        <f t="shared" si="78"/>
        <v>#DIV/0!</v>
      </c>
      <c r="Z79" s="105" t="e">
        <f t="shared" si="78"/>
        <v>#DIV/0!</v>
      </c>
      <c r="AA79" s="105" t="e">
        <f t="shared" si="78"/>
        <v>#DIV/0!</v>
      </c>
      <c r="AB79" s="105" t="e">
        <f t="shared" si="78"/>
        <v>#DIV/0!</v>
      </c>
      <c r="AC79" s="105" t="e">
        <f t="shared" si="78"/>
        <v>#DIV/0!</v>
      </c>
      <c r="AD79" s="105" t="e">
        <f t="shared" si="78"/>
        <v>#DIV/0!</v>
      </c>
      <c r="AE79" s="105" t="e">
        <f t="shared" si="78"/>
        <v>#DIV/0!</v>
      </c>
      <c r="AF79" s="105" t="e">
        <f t="shared" si="78"/>
        <v>#DIV/0!</v>
      </c>
      <c r="AG79" s="105" t="e">
        <f t="shared" si="78"/>
        <v>#DIV/0!</v>
      </c>
      <c r="AH79" s="105" t="e">
        <f t="shared" si="78"/>
        <v>#DIV/0!</v>
      </c>
      <c r="AI79" s="105" t="e">
        <f t="shared" si="78"/>
        <v>#DIV/0!</v>
      </c>
      <c r="AJ79" s="105" t="e">
        <f t="shared" si="78"/>
        <v>#DIV/0!</v>
      </c>
      <c r="AK79" s="105">
        <f t="shared" si="77"/>
        <v>0</v>
      </c>
      <c r="AL79" s="105">
        <f t="shared" si="77"/>
        <v>0</v>
      </c>
      <c r="AM79" s="105">
        <f t="shared" si="77"/>
        <v>0</v>
      </c>
      <c r="AN79" s="105">
        <f t="shared" si="77"/>
        <v>0</v>
      </c>
      <c r="AO79" s="105">
        <f t="shared" si="77"/>
        <v>0</v>
      </c>
      <c r="AP79" s="105">
        <f t="shared" si="77"/>
        <v>0</v>
      </c>
      <c r="AQ79" s="105">
        <f t="shared" si="77"/>
        <v>0</v>
      </c>
      <c r="AR79" s="105">
        <f t="shared" si="77"/>
        <v>0</v>
      </c>
      <c r="AS79" s="105">
        <f t="shared" si="77"/>
        <v>0</v>
      </c>
      <c r="AT79" s="105">
        <f t="shared" si="77"/>
        <v>0</v>
      </c>
      <c r="AU79" s="105" t="e">
        <f t="shared" si="77"/>
        <v>#DIV/0!</v>
      </c>
      <c r="AV79" s="105" t="e">
        <f t="shared" si="77"/>
        <v>#DIV/0!</v>
      </c>
      <c r="AW79" s="105" t="e">
        <f t="shared" si="77"/>
        <v>#DIV/0!</v>
      </c>
      <c r="AX79" s="105" t="e">
        <f t="shared" si="77"/>
        <v>#DIV/0!</v>
      </c>
      <c r="AY79" s="105" t="e">
        <f t="shared" si="77"/>
        <v>#DIV/0!</v>
      </c>
      <c r="AZ79" s="105" t="e">
        <f t="shared" si="77"/>
        <v>#DIV/0!</v>
      </c>
      <c r="BA79" s="105" t="e">
        <f t="shared" si="77"/>
        <v>#DIV/0!</v>
      </c>
      <c r="BB79" s="105" t="e">
        <f t="shared" ref="BB79:BP79" si="79">BB69/BB73</f>
        <v>#DIV/0!</v>
      </c>
      <c r="BC79" s="105" t="e">
        <f t="shared" si="79"/>
        <v>#DIV/0!</v>
      </c>
      <c r="BD79" s="105" t="e">
        <f t="shared" si="79"/>
        <v>#DIV/0!</v>
      </c>
      <c r="BE79" s="105" t="e">
        <f t="shared" si="79"/>
        <v>#DIV/0!</v>
      </c>
      <c r="BF79" s="105" t="e">
        <f t="shared" si="79"/>
        <v>#DIV/0!</v>
      </c>
      <c r="BG79" s="105" t="e">
        <f t="shared" si="79"/>
        <v>#DIV/0!</v>
      </c>
      <c r="BH79" s="105" t="e">
        <f t="shared" si="79"/>
        <v>#DIV/0!</v>
      </c>
      <c r="BI79" s="105" t="e">
        <f t="shared" si="79"/>
        <v>#DIV/0!</v>
      </c>
      <c r="BJ79" s="105" t="e">
        <f t="shared" si="79"/>
        <v>#DIV/0!</v>
      </c>
      <c r="BK79" s="105" t="e">
        <f t="shared" si="79"/>
        <v>#DIV/0!</v>
      </c>
      <c r="BL79" s="105" t="e">
        <f t="shared" si="79"/>
        <v>#DIV/0!</v>
      </c>
      <c r="BM79" s="105" t="e">
        <f t="shared" si="79"/>
        <v>#DIV/0!</v>
      </c>
      <c r="BN79" s="105" t="e">
        <f t="shared" si="79"/>
        <v>#DIV/0!</v>
      </c>
      <c r="BO79" s="105" t="e">
        <f t="shared" si="79"/>
        <v>#DIV/0!</v>
      </c>
      <c r="BP79" s="105" t="e">
        <f t="shared" si="79"/>
        <v>#DIV/0!</v>
      </c>
    </row>
    <row r="80" spans="2:68" ht="15" customHeight="1">
      <c r="B80" s="140" t="s">
        <v>209</v>
      </c>
      <c r="C80" s="146" t="s">
        <v>113</v>
      </c>
      <c r="D80" s="105">
        <f t="shared" ref="D80:J80" si="80">D70/D73</f>
        <v>490.92095266649397</v>
      </c>
      <c r="E80" s="105">
        <f t="shared" si="80"/>
        <v>504.05068593570007</v>
      </c>
      <c r="F80" s="105">
        <f t="shared" si="80"/>
        <v>410.57912023636334</v>
      </c>
      <c r="G80" s="105">
        <f t="shared" si="80"/>
        <v>566.50415273805015</v>
      </c>
      <c r="H80" s="105">
        <f t="shared" si="80"/>
        <v>515.35354760460882</v>
      </c>
      <c r="I80" s="105">
        <f t="shared" si="80"/>
        <v>504.10883328701453</v>
      </c>
      <c r="J80" s="105">
        <f t="shared" si="80"/>
        <v>403</v>
      </c>
      <c r="K80" s="105">
        <f t="shared" ref="K80:BA80" si="81">K70/K73</f>
        <v>455</v>
      </c>
      <c r="L80" s="105">
        <f t="shared" si="81"/>
        <v>563</v>
      </c>
      <c r="M80" s="105">
        <f t="shared" si="81"/>
        <v>571</v>
      </c>
      <c r="N80" s="105">
        <f t="shared" si="81"/>
        <v>515</v>
      </c>
      <c r="O80" s="105" t="e">
        <f t="shared" si="81"/>
        <v>#DIV/0!</v>
      </c>
      <c r="P80" s="105" t="e">
        <f t="shared" si="81"/>
        <v>#DIV/0!</v>
      </c>
      <c r="Q80" s="105" t="e">
        <f t="shared" si="81"/>
        <v>#DIV/0!</v>
      </c>
      <c r="R80" s="105" t="e">
        <f t="shared" si="81"/>
        <v>#DIV/0!</v>
      </c>
      <c r="S80" s="105" t="e">
        <f t="shared" si="81"/>
        <v>#DIV/0!</v>
      </c>
      <c r="T80" s="105" t="e">
        <f t="shared" si="81"/>
        <v>#DIV/0!</v>
      </c>
      <c r="U80" s="105" t="e">
        <f t="shared" si="81"/>
        <v>#DIV/0!</v>
      </c>
      <c r="V80" s="105" t="e">
        <f t="shared" si="81"/>
        <v>#DIV/0!</v>
      </c>
      <c r="W80" s="105" t="e">
        <f t="shared" si="81"/>
        <v>#DIV/0!</v>
      </c>
      <c r="X80" s="105" t="e">
        <f t="shared" ref="X80:AJ80" si="82">X70/X73</f>
        <v>#DIV/0!</v>
      </c>
      <c r="Y80" s="105" t="e">
        <f t="shared" si="82"/>
        <v>#DIV/0!</v>
      </c>
      <c r="Z80" s="105" t="e">
        <f t="shared" si="82"/>
        <v>#DIV/0!</v>
      </c>
      <c r="AA80" s="105" t="e">
        <f t="shared" si="82"/>
        <v>#DIV/0!</v>
      </c>
      <c r="AB80" s="105" t="e">
        <f t="shared" si="82"/>
        <v>#DIV/0!</v>
      </c>
      <c r="AC80" s="105" t="e">
        <f t="shared" si="82"/>
        <v>#DIV/0!</v>
      </c>
      <c r="AD80" s="105" t="e">
        <f t="shared" si="82"/>
        <v>#DIV/0!</v>
      </c>
      <c r="AE80" s="105" t="e">
        <f t="shared" si="82"/>
        <v>#DIV/0!</v>
      </c>
      <c r="AF80" s="105" t="e">
        <f t="shared" si="82"/>
        <v>#DIV/0!</v>
      </c>
      <c r="AG80" s="105" t="e">
        <f t="shared" si="82"/>
        <v>#DIV/0!</v>
      </c>
      <c r="AH80" s="105" t="e">
        <f t="shared" si="82"/>
        <v>#DIV/0!</v>
      </c>
      <c r="AI80" s="105" t="e">
        <f t="shared" si="82"/>
        <v>#DIV/0!</v>
      </c>
      <c r="AJ80" s="105" t="e">
        <f t="shared" si="82"/>
        <v>#DIV/0!</v>
      </c>
      <c r="AK80" s="105">
        <f t="shared" si="81"/>
        <v>424.4219653179191</v>
      </c>
      <c r="AL80" s="105">
        <f t="shared" si="81"/>
        <v>424.42275625306524</v>
      </c>
      <c r="AM80" s="105">
        <f t="shared" si="81"/>
        <v>433.91578947368419</v>
      </c>
      <c r="AN80" s="105">
        <f t="shared" si="81"/>
        <v>412</v>
      </c>
      <c r="AO80" s="105">
        <f t="shared" si="81"/>
        <v>568.82692307692309</v>
      </c>
      <c r="AP80" s="105">
        <f t="shared" si="81"/>
        <v>404</v>
      </c>
      <c r="AQ80" s="105">
        <f t="shared" si="81"/>
        <v>457</v>
      </c>
      <c r="AR80" s="105">
        <f t="shared" si="81"/>
        <v>565</v>
      </c>
      <c r="AS80" s="105">
        <f t="shared" si="81"/>
        <v>573</v>
      </c>
      <c r="AT80" s="105">
        <f t="shared" si="81"/>
        <v>434</v>
      </c>
      <c r="AU80" s="105" t="e">
        <f t="shared" si="81"/>
        <v>#DIV/0!</v>
      </c>
      <c r="AV80" s="105" t="e">
        <f t="shared" si="81"/>
        <v>#DIV/0!</v>
      </c>
      <c r="AW80" s="105" t="e">
        <f t="shared" si="81"/>
        <v>#DIV/0!</v>
      </c>
      <c r="AX80" s="105" t="e">
        <f t="shared" si="81"/>
        <v>#DIV/0!</v>
      </c>
      <c r="AY80" s="105" t="e">
        <f t="shared" si="81"/>
        <v>#DIV/0!</v>
      </c>
      <c r="AZ80" s="105" t="e">
        <f t="shared" si="81"/>
        <v>#DIV/0!</v>
      </c>
      <c r="BA80" s="105" t="e">
        <f t="shared" si="81"/>
        <v>#DIV/0!</v>
      </c>
      <c r="BB80" s="105" t="e">
        <f t="shared" ref="BB80:BP80" si="83">BB70/BB73</f>
        <v>#DIV/0!</v>
      </c>
      <c r="BC80" s="105" t="e">
        <f t="shared" si="83"/>
        <v>#DIV/0!</v>
      </c>
      <c r="BD80" s="105" t="e">
        <f t="shared" si="83"/>
        <v>#DIV/0!</v>
      </c>
      <c r="BE80" s="105" t="e">
        <f t="shared" si="83"/>
        <v>#DIV/0!</v>
      </c>
      <c r="BF80" s="105" t="e">
        <f t="shared" si="83"/>
        <v>#DIV/0!</v>
      </c>
      <c r="BG80" s="105" t="e">
        <f t="shared" si="83"/>
        <v>#DIV/0!</v>
      </c>
      <c r="BH80" s="105" t="e">
        <f t="shared" si="83"/>
        <v>#DIV/0!</v>
      </c>
      <c r="BI80" s="105" t="e">
        <f t="shared" si="83"/>
        <v>#DIV/0!</v>
      </c>
      <c r="BJ80" s="105" t="e">
        <f t="shared" si="83"/>
        <v>#DIV/0!</v>
      </c>
      <c r="BK80" s="105" t="e">
        <f t="shared" si="83"/>
        <v>#DIV/0!</v>
      </c>
      <c r="BL80" s="105" t="e">
        <f t="shared" si="83"/>
        <v>#DIV/0!</v>
      </c>
      <c r="BM80" s="105" t="e">
        <f t="shared" si="83"/>
        <v>#DIV/0!</v>
      </c>
      <c r="BN80" s="105" t="e">
        <f t="shared" si="83"/>
        <v>#DIV/0!</v>
      </c>
      <c r="BO80" s="105" t="e">
        <f t="shared" si="83"/>
        <v>#DIV/0!</v>
      </c>
      <c r="BP80" s="105" t="e">
        <f t="shared" si="83"/>
        <v>#DIV/0!</v>
      </c>
    </row>
    <row r="81" spans="2:68" ht="15" customHeight="1">
      <c r="B81" s="140" t="s">
        <v>210</v>
      </c>
      <c r="C81" s="146" t="s">
        <v>114</v>
      </c>
      <c r="D81" s="105">
        <f t="shared" ref="D81:J81" si="84">D71/D73</f>
        <v>-40.355221065316805</v>
      </c>
      <c r="E81" s="105">
        <f t="shared" si="84"/>
        <v>-41.331448319195729</v>
      </c>
      <c r="F81" s="105">
        <f t="shared" si="84"/>
        <v>-34.374626932825414</v>
      </c>
      <c r="G81" s="105">
        <f t="shared" si="84"/>
        <v>-45.986318365096324</v>
      </c>
      <c r="H81" s="105">
        <f t="shared" si="84"/>
        <v>-42.175257731958766</v>
      </c>
      <c r="I81" s="105">
        <f t="shared" si="84"/>
        <v>-41.336322344195096</v>
      </c>
      <c r="J81" s="105">
        <f t="shared" si="84"/>
        <v>-34</v>
      </c>
      <c r="K81" s="105">
        <f t="shared" ref="K81:BA81" si="85">K71/K73</f>
        <v>-38</v>
      </c>
      <c r="L81" s="105">
        <f t="shared" si="85"/>
        <v>-46</v>
      </c>
      <c r="M81" s="105">
        <f t="shared" si="85"/>
        <v>-46</v>
      </c>
      <c r="N81" s="105">
        <f t="shared" si="85"/>
        <v>-42</v>
      </c>
      <c r="O81" s="105" t="e">
        <f t="shared" si="85"/>
        <v>#DIV/0!</v>
      </c>
      <c r="P81" s="105" t="e">
        <f t="shared" si="85"/>
        <v>#DIV/0!</v>
      </c>
      <c r="Q81" s="105" t="e">
        <f t="shared" si="85"/>
        <v>#DIV/0!</v>
      </c>
      <c r="R81" s="105" t="e">
        <f t="shared" si="85"/>
        <v>#DIV/0!</v>
      </c>
      <c r="S81" s="105" t="e">
        <f t="shared" si="85"/>
        <v>#DIV/0!</v>
      </c>
      <c r="T81" s="105" t="e">
        <f t="shared" si="85"/>
        <v>#DIV/0!</v>
      </c>
      <c r="U81" s="105" t="e">
        <f t="shared" si="85"/>
        <v>#DIV/0!</v>
      </c>
      <c r="V81" s="105" t="e">
        <f t="shared" si="85"/>
        <v>#DIV/0!</v>
      </c>
      <c r="W81" s="105" t="e">
        <f t="shared" si="85"/>
        <v>#DIV/0!</v>
      </c>
      <c r="X81" s="105" t="e">
        <f t="shared" ref="X81:AJ81" si="86">X71/X73</f>
        <v>#DIV/0!</v>
      </c>
      <c r="Y81" s="105" t="e">
        <f t="shared" si="86"/>
        <v>#DIV/0!</v>
      </c>
      <c r="Z81" s="105" t="e">
        <f t="shared" si="86"/>
        <v>#DIV/0!</v>
      </c>
      <c r="AA81" s="105" t="e">
        <f t="shared" si="86"/>
        <v>#DIV/0!</v>
      </c>
      <c r="AB81" s="105" t="e">
        <f t="shared" si="86"/>
        <v>#DIV/0!</v>
      </c>
      <c r="AC81" s="105" t="e">
        <f t="shared" si="86"/>
        <v>#DIV/0!</v>
      </c>
      <c r="AD81" s="105" t="e">
        <f t="shared" si="86"/>
        <v>#DIV/0!</v>
      </c>
      <c r="AE81" s="105" t="e">
        <f t="shared" si="86"/>
        <v>#DIV/0!</v>
      </c>
      <c r="AF81" s="105" t="e">
        <f t="shared" si="86"/>
        <v>#DIV/0!</v>
      </c>
      <c r="AG81" s="105" t="e">
        <f t="shared" si="86"/>
        <v>#DIV/0!</v>
      </c>
      <c r="AH81" s="105" t="e">
        <f t="shared" si="86"/>
        <v>#DIV/0!</v>
      </c>
      <c r="AI81" s="105" t="e">
        <f t="shared" si="86"/>
        <v>#DIV/0!</v>
      </c>
      <c r="AJ81" s="105" t="e">
        <f t="shared" si="86"/>
        <v>#DIV/0!</v>
      </c>
      <c r="AK81" s="105">
        <f t="shared" si="85"/>
        <v>-35.407514450867055</v>
      </c>
      <c r="AL81" s="105">
        <f t="shared" si="85"/>
        <v>-35.406081412457084</v>
      </c>
      <c r="AM81" s="105">
        <f t="shared" si="85"/>
        <v>-36.10526315789474</v>
      </c>
      <c r="AN81" s="105">
        <f t="shared" si="85"/>
        <v>-34</v>
      </c>
      <c r="AO81" s="105">
        <f t="shared" si="85"/>
        <v>-46.159090909090907</v>
      </c>
      <c r="AP81" s="105">
        <f t="shared" si="85"/>
        <v>-34</v>
      </c>
      <c r="AQ81" s="105">
        <f t="shared" si="85"/>
        <v>-38</v>
      </c>
      <c r="AR81" s="105">
        <f t="shared" si="85"/>
        <v>-46</v>
      </c>
      <c r="AS81" s="105">
        <f t="shared" si="85"/>
        <v>-46</v>
      </c>
      <c r="AT81" s="105">
        <f t="shared" si="85"/>
        <v>-36</v>
      </c>
      <c r="AU81" s="105" t="e">
        <f t="shared" si="85"/>
        <v>#DIV/0!</v>
      </c>
      <c r="AV81" s="105" t="e">
        <f t="shared" si="85"/>
        <v>#DIV/0!</v>
      </c>
      <c r="AW81" s="105" t="e">
        <f t="shared" si="85"/>
        <v>#DIV/0!</v>
      </c>
      <c r="AX81" s="105" t="e">
        <f t="shared" si="85"/>
        <v>#DIV/0!</v>
      </c>
      <c r="AY81" s="105" t="e">
        <f t="shared" si="85"/>
        <v>#DIV/0!</v>
      </c>
      <c r="AZ81" s="105" t="e">
        <f t="shared" si="85"/>
        <v>#DIV/0!</v>
      </c>
      <c r="BA81" s="105" t="e">
        <f t="shared" si="85"/>
        <v>#DIV/0!</v>
      </c>
      <c r="BB81" s="105" t="e">
        <f t="shared" ref="BB81:BP81" si="87">BB71/BB73</f>
        <v>#DIV/0!</v>
      </c>
      <c r="BC81" s="105" t="e">
        <f t="shared" si="87"/>
        <v>#DIV/0!</v>
      </c>
      <c r="BD81" s="105" t="e">
        <f t="shared" si="87"/>
        <v>#DIV/0!</v>
      </c>
      <c r="BE81" s="105" t="e">
        <f t="shared" si="87"/>
        <v>#DIV/0!</v>
      </c>
      <c r="BF81" s="105" t="e">
        <f t="shared" si="87"/>
        <v>#DIV/0!</v>
      </c>
      <c r="BG81" s="105" t="e">
        <f t="shared" si="87"/>
        <v>#DIV/0!</v>
      </c>
      <c r="BH81" s="105" t="e">
        <f t="shared" si="87"/>
        <v>#DIV/0!</v>
      </c>
      <c r="BI81" s="105" t="e">
        <f t="shared" si="87"/>
        <v>#DIV/0!</v>
      </c>
      <c r="BJ81" s="105" t="e">
        <f t="shared" si="87"/>
        <v>#DIV/0!</v>
      </c>
      <c r="BK81" s="105" t="e">
        <f t="shared" si="87"/>
        <v>#DIV/0!</v>
      </c>
      <c r="BL81" s="105" t="e">
        <f t="shared" si="87"/>
        <v>#DIV/0!</v>
      </c>
      <c r="BM81" s="105" t="e">
        <f t="shared" si="87"/>
        <v>#DIV/0!</v>
      </c>
      <c r="BN81" s="105" t="e">
        <f t="shared" si="87"/>
        <v>#DIV/0!</v>
      </c>
      <c r="BO81" s="105" t="e">
        <f t="shared" si="87"/>
        <v>#DIV/0!</v>
      </c>
      <c r="BP81" s="105" t="e">
        <f t="shared" si="87"/>
        <v>#DIV/0!</v>
      </c>
    </row>
    <row r="82" spans="2:68" ht="15" customHeight="1">
      <c r="B82" s="142" t="s">
        <v>211</v>
      </c>
      <c r="C82" s="164" t="s">
        <v>115</v>
      </c>
      <c r="D82" s="105">
        <f t="shared" ref="D82:J82" si="88">D72/D73</f>
        <v>622.54513143991551</v>
      </c>
      <c r="E82" s="105">
        <f t="shared" si="88"/>
        <v>637.60550843020212</v>
      </c>
      <c r="F82" s="105">
        <f t="shared" si="88"/>
        <v>530.28480585509249</v>
      </c>
      <c r="G82" s="105">
        <f t="shared" si="88"/>
        <v>709.4138263776407</v>
      </c>
      <c r="H82" s="105">
        <f t="shared" si="88"/>
        <v>650.62078027087125</v>
      </c>
      <c r="I82" s="105">
        <f t="shared" si="88"/>
        <v>637.6801830751059</v>
      </c>
      <c r="J82" s="105">
        <f t="shared" si="88"/>
        <v>521</v>
      </c>
      <c r="K82" s="105">
        <f t="shared" ref="K82:BA82" si="89">K72/K73</f>
        <v>582</v>
      </c>
      <c r="L82" s="105">
        <f t="shared" si="89"/>
        <v>705</v>
      </c>
      <c r="M82" s="105">
        <f t="shared" si="89"/>
        <v>714</v>
      </c>
      <c r="N82" s="105">
        <f t="shared" si="89"/>
        <v>650</v>
      </c>
      <c r="O82" s="105" t="e">
        <f t="shared" si="89"/>
        <v>#DIV/0!</v>
      </c>
      <c r="P82" s="105" t="e">
        <f t="shared" si="89"/>
        <v>#DIV/0!</v>
      </c>
      <c r="Q82" s="105" t="e">
        <f t="shared" si="89"/>
        <v>#DIV/0!</v>
      </c>
      <c r="R82" s="105" t="e">
        <f t="shared" si="89"/>
        <v>#DIV/0!</v>
      </c>
      <c r="S82" s="105" t="e">
        <f t="shared" si="89"/>
        <v>#DIV/0!</v>
      </c>
      <c r="T82" s="105" t="e">
        <f t="shared" si="89"/>
        <v>#DIV/0!</v>
      </c>
      <c r="U82" s="105" t="e">
        <f t="shared" si="89"/>
        <v>#DIV/0!</v>
      </c>
      <c r="V82" s="105" t="e">
        <f t="shared" si="89"/>
        <v>#DIV/0!</v>
      </c>
      <c r="W82" s="105" t="e">
        <f t="shared" si="89"/>
        <v>#DIV/0!</v>
      </c>
      <c r="X82" s="105" t="e">
        <f t="shared" ref="X82:AJ82" si="90">X72/X73</f>
        <v>#DIV/0!</v>
      </c>
      <c r="Y82" s="105" t="e">
        <f t="shared" si="90"/>
        <v>#DIV/0!</v>
      </c>
      <c r="Z82" s="105" t="e">
        <f t="shared" si="90"/>
        <v>#DIV/0!</v>
      </c>
      <c r="AA82" s="105" t="e">
        <f t="shared" si="90"/>
        <v>#DIV/0!</v>
      </c>
      <c r="AB82" s="105" t="e">
        <f t="shared" si="90"/>
        <v>#DIV/0!</v>
      </c>
      <c r="AC82" s="105" t="e">
        <f t="shared" si="90"/>
        <v>#DIV/0!</v>
      </c>
      <c r="AD82" s="105" t="e">
        <f t="shared" si="90"/>
        <v>#DIV/0!</v>
      </c>
      <c r="AE82" s="105" t="e">
        <f t="shared" si="90"/>
        <v>#DIV/0!</v>
      </c>
      <c r="AF82" s="105" t="e">
        <f t="shared" si="90"/>
        <v>#DIV/0!</v>
      </c>
      <c r="AG82" s="105" t="e">
        <f t="shared" si="90"/>
        <v>#DIV/0!</v>
      </c>
      <c r="AH82" s="105" t="e">
        <f t="shared" si="90"/>
        <v>#DIV/0!</v>
      </c>
      <c r="AI82" s="105" t="e">
        <f t="shared" si="90"/>
        <v>#DIV/0!</v>
      </c>
      <c r="AJ82" s="105" t="e">
        <f t="shared" si="90"/>
        <v>#DIV/0!</v>
      </c>
      <c r="AK82" s="105">
        <f t="shared" si="89"/>
        <v>546.19942196531792</v>
      </c>
      <c r="AL82" s="105">
        <f t="shared" si="89"/>
        <v>546.20009808729765</v>
      </c>
      <c r="AM82" s="105">
        <f t="shared" si="89"/>
        <v>557</v>
      </c>
      <c r="AN82" s="105">
        <f t="shared" si="89"/>
        <v>532</v>
      </c>
      <c r="AO82" s="105">
        <f t="shared" si="89"/>
        <v>712.08216783216778</v>
      </c>
      <c r="AP82" s="105">
        <f t="shared" si="89"/>
        <v>523</v>
      </c>
      <c r="AQ82" s="105">
        <f t="shared" si="89"/>
        <v>584</v>
      </c>
      <c r="AR82" s="105">
        <f t="shared" si="89"/>
        <v>708</v>
      </c>
      <c r="AS82" s="105">
        <f t="shared" si="89"/>
        <v>717</v>
      </c>
      <c r="AT82" s="105">
        <f t="shared" si="89"/>
        <v>557</v>
      </c>
      <c r="AU82" s="105" t="e">
        <f t="shared" si="89"/>
        <v>#DIV/0!</v>
      </c>
      <c r="AV82" s="105" t="e">
        <f t="shared" si="89"/>
        <v>#DIV/0!</v>
      </c>
      <c r="AW82" s="105" t="e">
        <f t="shared" si="89"/>
        <v>#DIV/0!</v>
      </c>
      <c r="AX82" s="105" t="e">
        <f t="shared" si="89"/>
        <v>#DIV/0!</v>
      </c>
      <c r="AY82" s="105" t="e">
        <f t="shared" si="89"/>
        <v>#DIV/0!</v>
      </c>
      <c r="AZ82" s="105" t="e">
        <f t="shared" si="89"/>
        <v>#DIV/0!</v>
      </c>
      <c r="BA82" s="105" t="e">
        <f t="shared" si="89"/>
        <v>#DIV/0!</v>
      </c>
      <c r="BB82" s="105" t="e">
        <f t="shared" ref="BB82:BP82" si="91">BB72/BB73</f>
        <v>#DIV/0!</v>
      </c>
      <c r="BC82" s="105" t="e">
        <f t="shared" si="91"/>
        <v>#DIV/0!</v>
      </c>
      <c r="BD82" s="105" t="e">
        <f t="shared" si="91"/>
        <v>#DIV/0!</v>
      </c>
      <c r="BE82" s="105" t="e">
        <f t="shared" si="91"/>
        <v>#DIV/0!</v>
      </c>
      <c r="BF82" s="105" t="e">
        <f t="shared" si="91"/>
        <v>#DIV/0!</v>
      </c>
      <c r="BG82" s="105" t="e">
        <f t="shared" si="91"/>
        <v>#DIV/0!</v>
      </c>
      <c r="BH82" s="105" t="e">
        <f t="shared" si="91"/>
        <v>#DIV/0!</v>
      </c>
      <c r="BI82" s="105" t="e">
        <f t="shared" si="91"/>
        <v>#DIV/0!</v>
      </c>
      <c r="BJ82" s="105" t="e">
        <f t="shared" si="91"/>
        <v>#DIV/0!</v>
      </c>
      <c r="BK82" s="105" t="e">
        <f t="shared" si="91"/>
        <v>#DIV/0!</v>
      </c>
      <c r="BL82" s="105" t="e">
        <f t="shared" si="91"/>
        <v>#DIV/0!</v>
      </c>
      <c r="BM82" s="105" t="e">
        <f t="shared" si="91"/>
        <v>#DIV/0!</v>
      </c>
      <c r="BN82" s="105" t="e">
        <f t="shared" si="91"/>
        <v>#DIV/0!</v>
      </c>
      <c r="BO82" s="105" t="e">
        <f t="shared" si="91"/>
        <v>#DIV/0!</v>
      </c>
      <c r="BP82" s="105" t="e">
        <f t="shared" si="91"/>
        <v>#DIV/0!</v>
      </c>
    </row>
    <row r="83" spans="2:68" ht="15" customHeight="1"/>
  </sheetData>
  <sheetProtection algorithmName="SHA-512" hashValue="52SpFrWFeX4jZ96/zDvCfGfmolYmCdp9mlQusZsQ4xoX4F5IL54swotjz7L07z2OqIty51tk+VtOLFIL+vbNOA==" saltValue="33mGkvEHGp6aifHarnFtFg==" spinCount="100000" sheet="1" objects="1"/>
  <mergeCells count="12">
    <mergeCell ref="C7:V8"/>
    <mergeCell ref="E60:BP60"/>
    <mergeCell ref="E61:BP61"/>
    <mergeCell ref="E48:BP48"/>
    <mergeCell ref="E10:AJ10"/>
    <mergeCell ref="E11:AJ11"/>
    <mergeCell ref="E21:AJ21"/>
    <mergeCell ref="AK10:BP10"/>
    <mergeCell ref="AK11:BP11"/>
    <mergeCell ref="AK21:BP21"/>
    <mergeCell ref="E22:BP22"/>
    <mergeCell ref="E59:BP59"/>
  </mergeCells>
  <dataValidations xWindow="1509" yWindow="551"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AK11" xr:uid="{D91332CF-82D8-4D74-83BB-12F59F062A5B}">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AK10" xr:uid="{BAE457F6-B3C2-4557-9B7E-17EA798BA81B}">
      <formula1>0</formula1>
      <formula2>100</formula2>
    </dataValidation>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BP73" xr:uid="{616E4061-0D1D-4076-B1B5-8A9304688112}">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BP72" xr:uid="{D95A6947-B499-4F4F-AEA1-F789B80F8806}"/>
    <dataValidation allowBlank="1" showInputMessage="1" showErrorMessage="1" promptTitle="Required:" prompt="Enter the Risk Adjustment Transfer Amount for the benefit plan for the projection period as a dollar value with up to 16 characters including decimal place." sqref="E71:BP71" xr:uid="{83CABF7B-9C09-4F75-A044-545832290445}"/>
    <dataValidation allowBlank="1" showInputMessage="1" showErrorMessage="1" promptTitle="Required:" prompt="Enter the Cost Sharing Reduction for the benefit plan for the projection period as a dollar value with up to 16 characters including decimal place." sqref="E69:BP69" xr:uid="{4875935D-304E-467F-BD98-53F6A3EEAC58}"/>
    <dataValidation allowBlank="1" showInputMessage="1" showErrorMessage="1" promptTitle="Required:" prompt="Enter the Member Cost Sharing for the benefit plan for the projection period as a dollar value with up to 16 characters including decimal place." sqref="E68:BP68" xr:uid="{22A1DD6B-17AD-4E99-96A3-43A2F70FB9AB}"/>
    <dataValidation allowBlank="1" showInputMessage="1" showErrorMessage="1" promptTitle="Required:" prompt="Enter the Reinsurance for the benefit plan for the projection period as a dollar value with up to 16 characters including decimal place." sqref="E67:BP67" xr:uid="{1F809793-3CD5-486C-8E95-F1F87494CB62}"/>
    <dataValidation allowBlank="1" showInputMessage="1" showErrorMessage="1" promptTitle="Required:" prompt="Enter the total allowed claims for the benefit plan for the projection period as a dollar value with up to 16 characters including decimal place." sqref="E66:BP66" xr:uid="{BFE0490D-7F47-42E2-86EA-8372A0FF156B}"/>
    <dataValidation allowBlank="1" showInputMessage="1" showErrorMessage="1" promptTitle="Required:" prompt="Enter the Catastrophic Adjustment for each plan as a numeric value greater than or equal to 0 with up to 16 characters including decimal place." sqref="E56:BP56" xr:uid="{2928CD3A-ABD8-46CE-85C1-F06058A2EAA5}"/>
    <dataValidation allowBlank="1" showInputMessage="1" showErrorMessage="1" promptTitle="Required:" prompt="Enter the Profit and Risk Load as a percentage up to 16 characters including decimal place." sqref="E55:BP55" xr:uid="{27BFC533-6095-42E8-B3B2-09778D9D4961}"/>
    <dataValidation allowBlank="1" showInputMessage="1" showErrorMessage="1" promptTitle="Required:" prompt="Enter the Taxes and Fees as a percentage up to 16 characters including decimal place." sqref="E54:BP54" xr:uid="{AD9659A6-1A80-43DD-B552-9EAA0C7D93E9}"/>
    <dataValidation allowBlank="1" showInputMessage="1" showErrorMessage="1" promptTitle="Required:" prompt="Enter the Administrative Expense as a percentage up to 16 characters including decimal place." sqref="E53:BP53" xr:uid="{1789CDB6-7A1D-42D4-B7C4-C1A7B836CE10}"/>
    <dataValidation allowBlank="1" showInputMessage="1" showErrorMessage="1" promptTitle="Required:" prompt="Enter the Benefits in Addition to EHB as a numeric value up to 16 characters including decimal place." sqref="E51:BP51" xr:uid="{131E9FEC-5B1A-4DE4-93F3-B6DE74E3CB7B}"/>
    <dataValidation allowBlank="1" showInputMessage="1" showErrorMessage="1" promptTitle="Required:" prompt="Enter the Provider Network Adjustment as a numeric value up to 16 characters including decimal place." sqref="E50:BP50" xr:uid="{C88700C5-87DA-464A-824B-A1FB15E18CFB}"/>
    <dataValidation allowBlank="1" showInputMessage="1" showErrorMessage="1" promptTitle="Required:" prompt="Enter the AV Cost Sharing Design of Plan as a numeric value up to 16 characters including decimal place." sqref="E49:BP49" xr:uid="{13A136FF-FAC0-43B2-8E99-74E0E9C57A76}"/>
    <dataValidation allowBlank="1" showInputMessage="1" showErrorMessage="1" promptTitle="Required:" prompt="Enter the Current Premium PMPM as a dollar amount greater than or equal to 0, with up to 16 characters including decimal place." sqref="E35:BP35" xr:uid="{0A47A3C4-BBAD-49B2-AE61-EAB72748F41D}"/>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BP34" xr:uid="{07CDE818-531F-4377-AD27-519053984EAA}">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BP33" xr:uid="{7440C071-FCA7-4A44-B615-44981F29AF63}">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BP32" xr:uid="{2FF57EAB-3393-46B0-AA24-2D1484E2CC29}"/>
    <dataValidation allowBlank="1" showInputMessage="1" showErrorMessage="1" promptTitle="Required:" prompt="Enter the Risk Adjustment Transfer Amount for the benefit plan with service dates within the experience period as a dollar value with up to 16 characters including decimal place." sqref="E31:BP31" xr:uid="{108B3482-9E99-4145-A603-D5A3369DD08A}"/>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BP30" xr:uid="{9731E939-65BE-4220-984E-00CB872BDADD}">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BP29" xr:uid="{1D52F36B-2F88-4D33-82DE-B28A6D0E7DEB}"/>
    <dataValidation allowBlank="1" showInputMessage="1" showErrorMessage="1" promptTitle="Required:" prompt="Enter the Member Cost Sharing for the benefit plan with service dates within the experience period as a dollar value with up to 16 characters including decimal place." sqref="E28:BP28" xr:uid="{DC8C27C0-13B0-46B4-96D0-BD28CAB258A2}"/>
    <dataValidation allowBlank="1" showInputMessage="1" showErrorMessage="1" promptTitle="Required:" prompt="Enter Reinsurance for the benefit plan with service dates within the experience period as a dollar value with up to 16 characters including decimal place." sqref="E27:BP27" xr:uid="{2D8DF2CC-C685-4234-9285-987F6E20AB79}"/>
    <dataValidation allowBlank="1" showInputMessage="1" showErrorMessage="1" promptTitle="Required:" prompt="Enter the total allowed claims for the benefit plan with service dates within the experience period as a dollar value with up to 16 characters including decimal place." sqref="E26:BP26" xr:uid="{5B860063-B692-44D6-9EFC-E63AEAB0E754}"/>
    <dataValidation allowBlank="1" showInputMessage="1" showErrorMessage="1" promptTitle="Required:" prompt="Enter the average change in premium rates over the twelve month period prior to the effective date for the plan as a percentage with up to 16 characters including decimal place." sqref="E20:BP20" xr:uid="{3B368173-C01A-42D7-9E13-318113306312}"/>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BP19" xr:uid="{DF7C0A09-F9E9-4D5D-A1AA-6392F13EB19E}">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BP18" xr:uid="{90840F0B-F6FA-4F7C-81BD-3DD1B0AD97E4}">
      <formula1>YesNo</formula1>
    </dataValidation>
    <dataValidation allowBlank="1" showInputMessage="1" showErrorMessage="1" promptTitle="Required:" prompt="Enter the AV Metal Value for the designated plan as a numeric value between 0 and 1, with up to 16 characters including decimal place." sqref="E15:BP15" xr:uid="{AA8D521B-E0E9-425F-A823-79F2AE19E86E}"/>
    <dataValidation type="list" operator="greaterThan" allowBlank="1" showInputMessage="1" showErrorMessage="1" errorTitle="Value not valid:" error="Select a value from the list." promptTitle="Required:" prompt="Select the Plan Category for the designated plan." sqref="E16:BP16" xr:uid="{D71E0600-C3F6-473E-8792-8509B63A19AA}">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BP13" xr:uid="{152E9800-5172-45C0-AD9F-1B2198B7A0B2}">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BP12" xr:uid="{2F0126FD-FAD6-4014-8743-CA2F00DA593F}">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BP14" xr:uid="{A16AEBDA-62D4-4B0E-A4F5-88F624B7D090}">
      <formula1>MetalLevels</formula1>
    </dataValidation>
    <dataValidation type="list" allowBlank="1" showInputMessage="1" showErrorMessage="1" errorTitle="Value not valid:" error="Select a value from the list." promptTitle="Required:" prompt="Select the Plan Type for the designated plan." sqref="E17:BP17" xr:uid="{1B45CFF6-8B48-4B3F-BD81-52CF2ACD68D1}">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4</xdr:col>
                    <xdr:colOff>1143000</xdr:colOff>
                    <xdr:row>33</xdr:row>
                    <xdr:rowOff>19050</xdr:rowOff>
                  </from>
                  <to>
                    <xdr:col>5</xdr:col>
                    <xdr:colOff>1143000</xdr:colOff>
                    <xdr:row>34</xdr:row>
                    <xdr:rowOff>114300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6</xdr:col>
                    <xdr:colOff>1066800</xdr:colOff>
                    <xdr:row>33</xdr:row>
                    <xdr:rowOff>19050</xdr:rowOff>
                  </from>
                  <to>
                    <xdr:col>7</xdr:col>
                    <xdr:colOff>1047750</xdr:colOff>
                    <xdr:row>34</xdr:row>
                    <xdr:rowOff>123825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7</xdr:col>
                    <xdr:colOff>1028700</xdr:colOff>
                    <xdr:row>33</xdr:row>
                    <xdr:rowOff>19050</xdr:rowOff>
                  </from>
                  <to>
                    <xdr:col>8</xdr:col>
                    <xdr:colOff>1009650</xdr:colOff>
                    <xdr:row>34</xdr:row>
                    <xdr:rowOff>123825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5</xdr:col>
                    <xdr:colOff>1104900</xdr:colOff>
                    <xdr:row>33</xdr:row>
                    <xdr:rowOff>19050</xdr:rowOff>
                  </from>
                  <to>
                    <xdr:col>6</xdr:col>
                    <xdr:colOff>1104900</xdr:colOff>
                    <xdr:row>34</xdr:row>
                    <xdr:rowOff>123825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54</xdr:col>
                    <xdr:colOff>876300</xdr:colOff>
                    <xdr:row>0</xdr:row>
                    <xdr:rowOff>0</xdr:rowOff>
                  </from>
                  <to>
                    <xdr:col>55</xdr:col>
                    <xdr:colOff>876300</xdr:colOff>
                    <xdr:row>1</xdr:row>
                    <xdr:rowOff>57150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35</xdr:col>
                    <xdr:colOff>1076325</xdr:colOff>
                    <xdr:row>6</xdr:row>
                    <xdr:rowOff>0</xdr:rowOff>
                  </from>
                  <to>
                    <xdr:col>36</xdr:col>
                    <xdr:colOff>1066800</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1"/>
  <sheetViews>
    <sheetView zoomScaleNormal="100" workbookViewId="0">
      <selection activeCell="B6" sqref="B6:B11"/>
    </sheetView>
  </sheetViews>
  <sheetFormatPr defaultColWidth="0" defaultRowHeight="15"/>
  <cols>
    <col min="1" max="1" width="28.7109375" style="86" customWidth="1"/>
    <col min="2" max="2" width="28.7109375" style="90" customWidth="1"/>
    <col min="3" max="14" width="9.28515625" customWidth="1"/>
    <col min="15" max="16384" width="9.28515625" hidden="1"/>
  </cols>
  <sheetData>
    <row r="1" spans="1:3" ht="15.75">
      <c r="A1" s="81" t="s">
        <v>222</v>
      </c>
      <c r="B1"/>
      <c r="C1" s="98" t="s">
        <v>217</v>
      </c>
    </row>
    <row r="2" spans="1:3">
      <c r="A2" s="99" t="s">
        <v>227</v>
      </c>
      <c r="B2"/>
      <c r="C2" s="98" t="s">
        <v>218</v>
      </c>
    </row>
    <row r="3" spans="1:3">
      <c r="A3"/>
      <c r="B3"/>
      <c r="C3" s="98" t="s">
        <v>215</v>
      </c>
    </row>
    <row r="4" spans="1:3">
      <c r="A4"/>
      <c r="B4"/>
      <c r="C4" s="98" t="s">
        <v>216</v>
      </c>
    </row>
    <row r="5" spans="1:3">
      <c r="A5" s="79" t="s">
        <v>131</v>
      </c>
      <c r="B5" s="80" t="s">
        <v>132</v>
      </c>
      <c r="C5" s="98"/>
    </row>
    <row r="6" spans="1:3">
      <c r="A6" s="86" t="s">
        <v>230</v>
      </c>
      <c r="B6" s="90">
        <v>0.83938789703585159</v>
      </c>
    </row>
    <row r="7" spans="1:3">
      <c r="A7" s="86" t="s">
        <v>231</v>
      </c>
      <c r="B7" s="90">
        <v>0.944311384165333</v>
      </c>
    </row>
    <row r="8" spans="1:3">
      <c r="A8" s="86" t="s">
        <v>232</v>
      </c>
      <c r="B8" s="90">
        <v>1.0807119174336588</v>
      </c>
    </row>
    <row r="9" spans="1:3">
      <c r="A9" s="86" t="s">
        <v>234</v>
      </c>
      <c r="B9" s="90">
        <v>1.028250173868918</v>
      </c>
    </row>
    <row r="10" spans="1:3">
      <c r="A10" s="86" t="s">
        <v>235</v>
      </c>
      <c r="B10" s="90">
        <v>0.77643380475816259</v>
      </c>
    </row>
    <row r="11" spans="1:3">
      <c r="A11" s="86" t="s">
        <v>243</v>
      </c>
      <c r="B11" s="90">
        <v>1.0072654764430218</v>
      </c>
    </row>
  </sheetData>
  <sheetProtection algorithmName="SHA-512" hashValue="RsmWkWlhQz8og9ibfHvtfzBEIqOU/2bdVrat9nxsN2wFftlC8y3fuzfDpCAKPI2vfAQR4dBpyDzeiBHMaUXmdA==" saltValue="7Ae2mgKFEVaQmj+eay5KhA=="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1657350</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57150</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28515625" bestFit="1" customWidth="1"/>
    <col min="2" max="2" width="7.5703125" customWidth="1"/>
    <col min="3" max="3" width="43.7109375" customWidth="1"/>
    <col min="4" max="4" width="14.5703125" customWidth="1"/>
    <col min="5" max="5" width="15" customWidth="1"/>
    <col min="6" max="6" width="12.28515625" customWidth="1"/>
    <col min="7" max="7" width="14.71093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28515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7109375" customWidth="1"/>
    <col min="24" max="24" width="15.28515625" customWidth="1"/>
    <col min="25" max="25" width="13.7109375" customWidth="1"/>
  </cols>
  <sheetData>
    <row r="1" spans="2:23" ht="18.75">
      <c r="C1" s="16" t="s">
        <v>13</v>
      </c>
      <c r="D1" s="16"/>
      <c r="E1" s="3"/>
      <c r="F1" s="3"/>
      <c r="G1" s="3"/>
      <c r="H1" s="3"/>
      <c r="I1" s="4"/>
      <c r="J1" s="1"/>
      <c r="K1" s="1"/>
      <c r="L1" s="1"/>
      <c r="M1" s="1"/>
      <c r="N1" s="1"/>
      <c r="O1" s="1"/>
      <c r="P1" s="1"/>
      <c r="Q1" s="1"/>
      <c r="R1" s="1"/>
      <c r="S1" s="1"/>
      <c r="T1" s="1"/>
      <c r="U1" s="1"/>
      <c r="V1" s="1"/>
    </row>
    <row r="2" spans="2:23" ht="18.75">
      <c r="C2" s="3"/>
      <c r="D2" s="3"/>
      <c r="E2" s="3"/>
      <c r="F2" s="3"/>
      <c r="G2" s="3"/>
      <c r="H2" s="3"/>
      <c r="I2" s="4"/>
      <c r="J2" s="1"/>
      <c r="K2" s="1"/>
      <c r="L2" s="1"/>
      <c r="M2" s="1"/>
      <c r="N2" s="1"/>
      <c r="O2" s="1"/>
      <c r="P2" s="1"/>
      <c r="Q2" s="1"/>
      <c r="R2" s="1"/>
      <c r="S2" s="1"/>
      <c r="T2" s="1"/>
      <c r="U2" s="1"/>
      <c r="V2" s="1"/>
    </row>
    <row r="3" spans="2:23" ht="18.75">
      <c r="C3" s="6" t="s">
        <v>5</v>
      </c>
      <c r="D3" s="3" t="str">
        <f>IF('Wksh 1 - Market Experience'!C3&lt;&gt;"", 'Wksh 1 - Market Experience'!C3,"")</f>
        <v>Aetna Health Inc.  (a GA corp.)</v>
      </c>
      <c r="F3" s="3"/>
      <c r="G3" s="21"/>
      <c r="J3" s="1"/>
      <c r="K3" s="1"/>
      <c r="N3" s="6" t="s">
        <v>7</v>
      </c>
      <c r="O3" s="74" t="str">
        <f>IF('Wksh 1 - Market Experience'!E4="","",'Wksh 1 - Market Experience'!E4)</f>
        <v>GA</v>
      </c>
      <c r="P3" s="1"/>
    </row>
    <row r="4" spans="2:23" ht="18.75">
      <c r="C4" s="7" t="s">
        <v>6</v>
      </c>
      <c r="D4" s="4">
        <f>IF('Wksh 1 - Market Experience'!C4&lt;&gt;"", 'Wksh 1 - Market Experience'!C4,"")</f>
        <v>82824</v>
      </c>
      <c r="F4" s="3"/>
      <c r="G4" s="68"/>
      <c r="J4" s="1"/>
      <c r="K4" s="1"/>
      <c r="N4" s="6" t="s">
        <v>9</v>
      </c>
      <c r="O4" s="74" t="str">
        <f>IF('Wksh 1 - Market Experience'!E5="","",'Wksh 1 - Market Experience'!E5)</f>
        <v>Individual</v>
      </c>
      <c r="P4" s="1"/>
    </row>
    <row r="5" spans="2:23" ht="18.75">
      <c r="C5" s="6" t="s">
        <v>14</v>
      </c>
      <c r="D5" s="83" t="e">
        <f>IF('Wksh 1 - Market Experience'!#REF!&lt;&gt;"", 'Wksh 1 - Market Experience'!#REF!,"")</f>
        <v>#REF!</v>
      </c>
      <c r="F5" s="3"/>
      <c r="G5" s="264"/>
      <c r="H5" s="264"/>
      <c r="I5" s="265"/>
      <c r="J5" s="1"/>
      <c r="K5" s="1"/>
      <c r="L5" s="1"/>
      <c r="M5" s="1"/>
      <c r="N5" s="1"/>
      <c r="O5" s="1"/>
      <c r="P5" s="1"/>
      <c r="Q5" s="1"/>
      <c r="R5" s="1"/>
      <c r="S5" s="1"/>
      <c r="T5" s="1"/>
      <c r="U5" s="1"/>
      <c r="V5" s="1"/>
    </row>
    <row r="6" spans="2:23">
      <c r="C6" s="1"/>
      <c r="D6" s="1"/>
      <c r="E6" s="1"/>
      <c r="F6" s="1"/>
      <c r="G6" s="1"/>
      <c r="H6" s="1"/>
      <c r="I6" s="2"/>
      <c r="J6" s="1"/>
      <c r="K6" s="1"/>
      <c r="L6" s="1"/>
      <c r="M6" s="1"/>
      <c r="N6" s="1"/>
      <c r="O6" s="1"/>
      <c r="P6" s="1"/>
      <c r="Q6" s="1"/>
      <c r="R6" s="1"/>
      <c r="S6" s="1"/>
      <c r="T6" s="1"/>
      <c r="U6" s="1"/>
      <c r="V6" s="1"/>
    </row>
    <row r="7" spans="2:23">
      <c r="C7" s="15" t="s">
        <v>15</v>
      </c>
      <c r="D7" s="23"/>
      <c r="E7" s="8"/>
      <c r="F7" s="8"/>
      <c r="G7" s="8"/>
      <c r="H7" s="8"/>
      <c r="I7" s="9"/>
      <c r="J7" s="8"/>
      <c r="K7" s="8"/>
      <c r="L7" s="8"/>
      <c r="M7" s="8"/>
      <c r="N7" s="8"/>
      <c r="O7" s="8"/>
      <c r="P7" s="8"/>
      <c r="Q7" s="8"/>
      <c r="R7" s="8"/>
      <c r="S7" s="8"/>
      <c r="T7" s="8"/>
      <c r="U7" s="8"/>
      <c r="V7" s="8"/>
      <c r="W7" s="10"/>
    </row>
    <row r="8" spans="2:23">
      <c r="C8" s="11"/>
      <c r="D8" s="12"/>
      <c r="E8" s="12"/>
      <c r="F8" s="12"/>
      <c r="G8" s="12"/>
      <c r="H8" s="12"/>
      <c r="I8" s="13"/>
      <c r="J8" s="12"/>
      <c r="K8" s="12"/>
      <c r="L8" s="12"/>
      <c r="M8" s="12"/>
      <c r="N8" s="12"/>
      <c r="O8" s="12"/>
      <c r="P8" s="12"/>
      <c r="Q8" s="12"/>
      <c r="R8" s="12"/>
      <c r="S8" s="12"/>
      <c r="T8" s="12"/>
      <c r="U8" s="12"/>
      <c r="V8" s="12"/>
      <c r="W8" s="14"/>
    </row>
    <row r="9" spans="2:23">
      <c r="B9" s="75" t="s">
        <v>103</v>
      </c>
      <c r="C9" s="19" t="s">
        <v>77</v>
      </c>
      <c r="D9" s="19"/>
      <c r="E9" s="17"/>
      <c r="F9" s="17"/>
      <c r="G9" s="17"/>
      <c r="H9" s="17"/>
      <c r="I9" s="18"/>
      <c r="J9" s="17"/>
      <c r="K9" s="17"/>
      <c r="L9" s="17"/>
      <c r="M9" s="17"/>
      <c r="N9" s="17"/>
      <c r="O9" s="17"/>
      <c r="P9" s="17"/>
      <c r="Q9" s="17"/>
      <c r="R9" s="17"/>
      <c r="S9" s="17"/>
      <c r="T9" s="17"/>
      <c r="U9" s="17"/>
      <c r="V9" s="17"/>
    </row>
    <row r="10" spans="2:23">
      <c r="B10" s="140" t="s">
        <v>155</v>
      </c>
      <c r="C10" s="141" t="s">
        <v>104</v>
      </c>
      <c r="D10" s="266"/>
      <c r="E10" s="171"/>
      <c r="I10" s="70"/>
      <c r="J10" s="70"/>
      <c r="K10" s="70" t="s">
        <v>230</v>
      </c>
      <c r="L10" s="67" t="s">
        <v>27</v>
      </c>
      <c r="M10" s="70" t="s">
        <v>81</v>
      </c>
      <c r="N10" s="70" t="s">
        <v>139</v>
      </c>
      <c r="O10" s="70" t="s">
        <v>145</v>
      </c>
    </row>
    <row r="11" spans="2:23">
      <c r="B11" s="140" t="s">
        <v>156</v>
      </c>
      <c r="C11" s="141" t="s">
        <v>105</v>
      </c>
      <c r="D11" s="267"/>
      <c r="E11" s="171"/>
      <c r="I11" s="70"/>
      <c r="J11" s="70"/>
      <c r="K11" s="70" t="s">
        <v>231</v>
      </c>
      <c r="L11" s="67" t="s">
        <v>28</v>
      </c>
      <c r="M11" s="70" t="s">
        <v>82</v>
      </c>
      <c r="N11" s="70" t="s">
        <v>140</v>
      </c>
      <c r="O11" s="70" t="s">
        <v>146</v>
      </c>
    </row>
    <row r="12" spans="2:23">
      <c r="B12" s="140" t="s">
        <v>157</v>
      </c>
      <c r="C12" s="141" t="s">
        <v>10</v>
      </c>
      <c r="D12" s="267"/>
      <c r="E12" s="173"/>
      <c r="I12" s="70"/>
      <c r="J12" s="70"/>
      <c r="K12" s="70" t="s">
        <v>232</v>
      </c>
      <c r="L12" s="67" t="s">
        <v>29</v>
      </c>
      <c r="M12" s="70" t="s">
        <v>83</v>
      </c>
      <c r="N12" s="70" t="s">
        <v>141</v>
      </c>
    </row>
    <row r="13" spans="2:23">
      <c r="B13" s="140" t="s">
        <v>158</v>
      </c>
      <c r="C13" s="141" t="s">
        <v>106</v>
      </c>
      <c r="D13" s="267"/>
      <c r="E13" s="174"/>
      <c r="I13" s="70"/>
      <c r="K13" s="70" t="s">
        <v>233</v>
      </c>
      <c r="L13" s="67" t="s">
        <v>30</v>
      </c>
      <c r="N13" s="70" t="s">
        <v>142</v>
      </c>
    </row>
    <row r="14" spans="2:23">
      <c r="B14" s="140" t="s">
        <v>159</v>
      </c>
      <c r="C14" s="141" t="s">
        <v>107</v>
      </c>
      <c r="D14" s="267"/>
      <c r="E14" s="175"/>
      <c r="K14" s="70" t="s">
        <v>234</v>
      </c>
      <c r="L14" s="67" t="s">
        <v>31</v>
      </c>
      <c r="N14" s="70" t="s">
        <v>143</v>
      </c>
    </row>
    <row r="15" spans="2:23">
      <c r="B15" s="140" t="s">
        <v>160</v>
      </c>
      <c r="C15" s="141" t="s">
        <v>26</v>
      </c>
      <c r="D15" s="267"/>
      <c r="E15" s="176"/>
      <c r="K15" s="70" t="s">
        <v>235</v>
      </c>
      <c r="L15" s="67" t="s">
        <v>32</v>
      </c>
      <c r="N15" s="70" t="s">
        <v>144</v>
      </c>
    </row>
    <row r="16" spans="2:23">
      <c r="B16" s="140" t="s">
        <v>161</v>
      </c>
      <c r="C16" s="141" t="s">
        <v>80</v>
      </c>
      <c r="D16" s="267"/>
      <c r="E16" s="173"/>
      <c r="K16" t="s">
        <v>236</v>
      </c>
      <c r="L16" s="67" t="s">
        <v>33</v>
      </c>
    </row>
    <row r="17" spans="1:12">
      <c r="B17" s="140" t="s">
        <v>154</v>
      </c>
      <c r="C17" s="141" t="s">
        <v>108</v>
      </c>
      <c r="D17" s="267"/>
      <c r="E17" s="173"/>
      <c r="K17" t="s">
        <v>237</v>
      </c>
      <c r="L17" s="67" t="s">
        <v>35</v>
      </c>
    </row>
    <row r="18" spans="1:12">
      <c r="B18" s="140" t="s">
        <v>153</v>
      </c>
      <c r="C18" s="141" t="s">
        <v>16</v>
      </c>
      <c r="D18" s="267"/>
      <c r="E18" s="177"/>
      <c r="K18" t="s">
        <v>238</v>
      </c>
      <c r="L18" s="67" t="s">
        <v>34</v>
      </c>
    </row>
    <row r="19" spans="1:12">
      <c r="B19" s="140" t="s">
        <v>149</v>
      </c>
      <c r="C19" s="141" t="s">
        <v>25</v>
      </c>
      <c r="D19" s="267"/>
      <c r="E19" s="178"/>
      <c r="K19" t="s">
        <v>239</v>
      </c>
      <c r="L19" s="67" t="s">
        <v>36</v>
      </c>
    </row>
    <row r="20" spans="1:12">
      <c r="B20" s="140" t="s">
        <v>150</v>
      </c>
      <c r="C20" s="141" t="s">
        <v>109</v>
      </c>
      <c r="D20" s="267"/>
      <c r="E20" s="179"/>
      <c r="K20" t="s">
        <v>240</v>
      </c>
      <c r="L20" s="67" t="s">
        <v>37</v>
      </c>
    </row>
    <row r="21" spans="1:12">
      <c r="B21" s="140" t="s">
        <v>151</v>
      </c>
      <c r="C21" s="141" t="s">
        <v>84</v>
      </c>
      <c r="D21" s="267"/>
      <c r="E21" s="172"/>
      <c r="K21" t="s">
        <v>241</v>
      </c>
      <c r="L21" s="67" t="s">
        <v>38</v>
      </c>
    </row>
    <row r="22" spans="1:12">
      <c r="B22" s="142" t="s">
        <v>152</v>
      </c>
      <c r="C22" s="133" t="s">
        <v>212</v>
      </c>
      <c r="D22" s="268"/>
      <c r="E22" s="172"/>
      <c r="K22" t="s">
        <v>242</v>
      </c>
      <c r="L22" s="67" t="s">
        <v>39</v>
      </c>
    </row>
    <row r="23" spans="1:12">
      <c r="E23" s="73"/>
      <c r="K23" t="s">
        <v>243</v>
      </c>
      <c r="L23" s="67" t="s">
        <v>40</v>
      </c>
    </row>
    <row r="24" spans="1:12" ht="18.75">
      <c r="A24" s="6"/>
      <c r="B24" s="75"/>
      <c r="C24" s="78" t="s">
        <v>110</v>
      </c>
      <c r="D24" s="1"/>
      <c r="E24" s="17"/>
      <c r="K24" t="s">
        <v>244</v>
      </c>
      <c r="L24" s="67" t="s">
        <v>41</v>
      </c>
    </row>
    <row r="25" spans="1:12" ht="18.75">
      <c r="A25" s="6"/>
      <c r="B25" s="140" t="s">
        <v>162</v>
      </c>
      <c r="C25" s="141" t="s">
        <v>106</v>
      </c>
      <c r="D25" s="180" t="s">
        <v>2</v>
      </c>
      <c r="E25" s="89" t="str">
        <f>IF(E13&lt;&gt;"",E13,"")</f>
        <v/>
      </c>
      <c r="K25" t="s">
        <v>245</v>
      </c>
      <c r="L25" s="67" t="s">
        <v>42</v>
      </c>
    </row>
    <row r="26" spans="1:12" ht="18.75">
      <c r="A26" s="6"/>
      <c r="B26" s="140" t="s">
        <v>163</v>
      </c>
      <c r="C26" s="141" t="s">
        <v>86</v>
      </c>
      <c r="D26" s="153">
        <f>SUM(E26:XFD26)</f>
        <v>0</v>
      </c>
      <c r="E26" s="181"/>
      <c r="K26" t="s">
        <v>246</v>
      </c>
      <c r="L26" s="67" t="s">
        <v>43</v>
      </c>
    </row>
    <row r="27" spans="1:12" ht="18.75">
      <c r="A27" s="6"/>
      <c r="B27" s="140" t="s">
        <v>164</v>
      </c>
      <c r="C27" s="146" t="s">
        <v>87</v>
      </c>
      <c r="D27" s="153">
        <f>SUM(E27:XFD27)</f>
        <v>0</v>
      </c>
      <c r="E27" s="181"/>
      <c r="K27" t="s">
        <v>247</v>
      </c>
      <c r="L27" s="67" t="s">
        <v>44</v>
      </c>
    </row>
    <row r="28" spans="1:12" ht="18.75">
      <c r="A28" s="6"/>
      <c r="B28" s="140" t="s">
        <v>165</v>
      </c>
      <c r="C28" s="146" t="s">
        <v>111</v>
      </c>
      <c r="D28" s="154">
        <f>SUM(E28:XFD28)</f>
        <v>0</v>
      </c>
      <c r="E28" s="181"/>
      <c r="K28" t="s">
        <v>248</v>
      </c>
      <c r="L28" s="67" t="s">
        <v>45</v>
      </c>
    </row>
    <row r="29" spans="1:12" ht="18.75">
      <c r="A29" s="6"/>
      <c r="B29" s="140" t="s">
        <v>166</v>
      </c>
      <c r="C29" s="146" t="s">
        <v>112</v>
      </c>
      <c r="D29" s="154">
        <f>SUM(E29:XFD29)</f>
        <v>0</v>
      </c>
      <c r="E29" s="181"/>
      <c r="L29" s="67" t="s">
        <v>46</v>
      </c>
    </row>
    <row r="30" spans="1:12" ht="18.75">
      <c r="A30" s="6"/>
      <c r="B30" s="140" t="s">
        <v>167</v>
      </c>
      <c r="C30" s="146" t="s">
        <v>113</v>
      </c>
      <c r="D30" s="154">
        <f>D26-D27-D28-D29</f>
        <v>0</v>
      </c>
      <c r="E30" s="211">
        <f>E26-E27-E28-E29</f>
        <v>0</v>
      </c>
      <c r="L30" s="67" t="s">
        <v>47</v>
      </c>
    </row>
    <row r="31" spans="1:12" ht="18.75">
      <c r="A31" s="6"/>
      <c r="B31" s="140" t="s">
        <v>168</v>
      </c>
      <c r="C31" s="146" t="s">
        <v>114</v>
      </c>
      <c r="D31" s="154">
        <f>SUM(E31:XFD31)</f>
        <v>0</v>
      </c>
      <c r="E31" s="181"/>
      <c r="L31" s="67" t="s">
        <v>48</v>
      </c>
    </row>
    <row r="32" spans="1:12" ht="18.75">
      <c r="A32" s="6"/>
      <c r="B32" s="140" t="s">
        <v>169</v>
      </c>
      <c r="C32" s="146" t="s">
        <v>115</v>
      </c>
      <c r="D32" s="154">
        <f>SUM(E32:XFD32)</f>
        <v>0</v>
      </c>
      <c r="E32" s="181"/>
      <c r="L32" s="67" t="s">
        <v>49</v>
      </c>
    </row>
    <row r="33" spans="1:12" ht="18.75">
      <c r="A33" s="6"/>
      <c r="B33" s="140" t="s">
        <v>170</v>
      </c>
      <c r="C33" s="146" t="s">
        <v>22</v>
      </c>
      <c r="D33" s="155">
        <f>SUM(E33:XFD33)</f>
        <v>0</v>
      </c>
      <c r="E33" s="212"/>
      <c r="L33" s="67" t="s">
        <v>50</v>
      </c>
    </row>
    <row r="34" spans="1:12" ht="18.75">
      <c r="A34" s="6"/>
      <c r="B34" s="140" t="s">
        <v>171</v>
      </c>
      <c r="C34" s="146" t="s">
        <v>116</v>
      </c>
      <c r="D34" s="155">
        <f>SUM(E34:XFD34)</f>
        <v>0</v>
      </c>
      <c r="E34" s="212"/>
      <c r="L34" s="67" t="s">
        <v>51</v>
      </c>
    </row>
    <row r="35" spans="1:12" ht="18.75">
      <c r="A35" s="6"/>
      <c r="B35" s="140" t="s">
        <v>172</v>
      </c>
      <c r="C35" s="146" t="s">
        <v>117</v>
      </c>
      <c r="D35" s="156" t="e">
        <f>SUMPRODUCT(E35:XFD35,E34:XFD34)/D34</f>
        <v>#DIV/0!</v>
      </c>
      <c r="E35" s="182"/>
      <c r="L35" s="67" t="s">
        <v>52</v>
      </c>
    </row>
    <row r="36" spans="1:12" ht="18.75">
      <c r="A36" s="6"/>
      <c r="B36" s="142" t="s">
        <v>173</v>
      </c>
      <c r="C36" s="164" t="s">
        <v>118</v>
      </c>
      <c r="D36" s="87" t="e">
        <f>D30/(D31+D32)</f>
        <v>#DIV/0!</v>
      </c>
      <c r="E36" s="87" t="e">
        <f>E30/(E31+E32)</f>
        <v>#DIV/0!</v>
      </c>
      <c r="L36" s="67" t="s">
        <v>53</v>
      </c>
    </row>
    <row r="37" spans="1:12" ht="18.75">
      <c r="A37" s="6"/>
      <c r="B37" s="75"/>
      <c r="C37" s="78" t="s">
        <v>120</v>
      </c>
      <c r="D37" s="6"/>
      <c r="L37" s="67" t="s">
        <v>54</v>
      </c>
    </row>
    <row r="38" spans="1:12" ht="18.75">
      <c r="A38" s="6"/>
      <c r="B38" s="140" t="s">
        <v>174</v>
      </c>
      <c r="C38" s="146" t="s">
        <v>86</v>
      </c>
      <c r="D38" s="85" t="e">
        <f>D26/D33</f>
        <v>#DIV/0!</v>
      </c>
      <c r="E38" s="85" t="e">
        <f>E26/E33</f>
        <v>#DIV/0!</v>
      </c>
      <c r="L38" s="67" t="s">
        <v>55</v>
      </c>
    </row>
    <row r="39" spans="1:12" ht="18.75">
      <c r="A39" s="6"/>
      <c r="B39" s="140" t="s">
        <v>175</v>
      </c>
      <c r="C39" s="146" t="s">
        <v>87</v>
      </c>
      <c r="D39" s="85" t="e">
        <f>D27/D33</f>
        <v>#DIV/0!</v>
      </c>
      <c r="E39" s="85" t="e">
        <f>E27/E33</f>
        <v>#DIV/0!</v>
      </c>
      <c r="L39" s="67" t="s">
        <v>56</v>
      </c>
    </row>
    <row r="40" spans="1:12" ht="18.75">
      <c r="A40" s="6"/>
      <c r="B40" s="140" t="s">
        <v>176</v>
      </c>
      <c r="C40" s="146" t="s">
        <v>111</v>
      </c>
      <c r="D40" s="85" t="e">
        <f>D28/D33</f>
        <v>#DIV/0!</v>
      </c>
      <c r="E40" s="85" t="e">
        <f>E28/E33</f>
        <v>#DIV/0!</v>
      </c>
      <c r="L40" s="67" t="s">
        <v>57</v>
      </c>
    </row>
    <row r="41" spans="1:12" ht="18.75">
      <c r="A41" s="6"/>
      <c r="B41" s="140" t="s">
        <v>177</v>
      </c>
      <c r="C41" s="146" t="s">
        <v>112</v>
      </c>
      <c r="D41" s="85" t="e">
        <f>D29/D33</f>
        <v>#DIV/0!</v>
      </c>
      <c r="E41" s="85" t="e">
        <f>E29/E33</f>
        <v>#DIV/0!</v>
      </c>
      <c r="L41" s="67" t="s">
        <v>58</v>
      </c>
    </row>
    <row r="42" spans="1:12" ht="18.75">
      <c r="A42" s="6"/>
      <c r="B42" s="140" t="s">
        <v>178</v>
      </c>
      <c r="C42" s="146" t="s">
        <v>113</v>
      </c>
      <c r="D42" s="85" t="e">
        <f>D30/D33</f>
        <v>#DIV/0!</v>
      </c>
      <c r="E42" s="85" t="e">
        <f>E30/E33</f>
        <v>#DIV/0!</v>
      </c>
      <c r="L42" s="67" t="s">
        <v>59</v>
      </c>
    </row>
    <row r="43" spans="1:12" ht="18.75">
      <c r="A43" s="6"/>
      <c r="B43" s="140" t="s">
        <v>179</v>
      </c>
      <c r="C43" s="146" t="s">
        <v>114</v>
      </c>
      <c r="D43" s="85" t="e">
        <f>D31/D33</f>
        <v>#DIV/0!</v>
      </c>
      <c r="E43" s="85" t="e">
        <f>E31/E33</f>
        <v>#DIV/0!</v>
      </c>
      <c r="G43" s="5"/>
      <c r="L43" s="67" t="s">
        <v>60</v>
      </c>
    </row>
    <row r="44" spans="1:12" ht="18.75">
      <c r="A44" s="6"/>
      <c r="B44" s="142" t="s">
        <v>180</v>
      </c>
      <c r="C44" s="164" t="s">
        <v>115</v>
      </c>
      <c r="D44" s="85" t="e">
        <f>D32/D33</f>
        <v>#DIV/0!</v>
      </c>
      <c r="E44" s="85"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0" t="s">
        <v>181</v>
      </c>
      <c r="C47" s="183" t="s">
        <v>106</v>
      </c>
      <c r="D47" s="269"/>
      <c r="E47" s="185" t="str">
        <f>IF(E13&lt;&gt;"",E13,"")</f>
        <v/>
      </c>
      <c r="L47" s="67" t="s">
        <v>64</v>
      </c>
    </row>
    <row r="48" spans="1:12" ht="18.75">
      <c r="A48" s="6"/>
      <c r="B48" s="140" t="s">
        <v>182</v>
      </c>
      <c r="C48" s="183" t="s">
        <v>122</v>
      </c>
      <c r="D48" s="270"/>
      <c r="E48" s="186">
        <f>'Wksh 1 - Market Experience'!F46</f>
        <v>657.70576131687244</v>
      </c>
      <c r="L48" s="67" t="s">
        <v>65</v>
      </c>
    </row>
    <row r="49" spans="1:12" ht="18.75">
      <c r="A49" s="6"/>
      <c r="B49" s="140" t="s">
        <v>183</v>
      </c>
      <c r="C49" s="183" t="s">
        <v>123</v>
      </c>
      <c r="D49" s="270"/>
      <c r="E49" s="187"/>
      <c r="L49" s="67" t="s">
        <v>66</v>
      </c>
    </row>
    <row r="50" spans="1:12" ht="18.75">
      <c r="A50" s="6"/>
      <c r="B50" s="140" t="s">
        <v>184</v>
      </c>
      <c r="C50" s="183" t="s">
        <v>124</v>
      </c>
      <c r="D50" s="270"/>
      <c r="E50" s="187"/>
      <c r="L50" s="67" t="s">
        <v>67</v>
      </c>
    </row>
    <row r="51" spans="1:12" ht="18.75">
      <c r="A51" s="6"/>
      <c r="B51" s="142" t="s">
        <v>185</v>
      </c>
      <c r="C51" s="184" t="s">
        <v>125</v>
      </c>
      <c r="D51" s="271"/>
      <c r="E51" s="187"/>
      <c r="L51" s="67" t="s">
        <v>68</v>
      </c>
    </row>
    <row r="52" spans="1:12" ht="18.75">
      <c r="A52" s="6"/>
      <c r="C52" s="82" t="s">
        <v>133</v>
      </c>
      <c r="D52" s="6"/>
      <c r="L52" s="67" t="s">
        <v>69</v>
      </c>
    </row>
    <row r="53" spans="1:12" ht="18.75">
      <c r="A53" s="6"/>
      <c r="B53" s="140" t="s">
        <v>186</v>
      </c>
      <c r="C53" s="166" t="s">
        <v>134</v>
      </c>
      <c r="D53" s="269"/>
      <c r="E53" s="190"/>
      <c r="F53" s="5"/>
      <c r="L53" s="67" t="s">
        <v>70</v>
      </c>
    </row>
    <row r="54" spans="1:12" ht="18.75">
      <c r="A54" s="6"/>
      <c r="B54" s="140" t="s">
        <v>187</v>
      </c>
      <c r="C54" s="166" t="s">
        <v>135</v>
      </c>
      <c r="D54" s="270"/>
      <c r="E54" s="190"/>
      <c r="F54" s="5"/>
      <c r="L54" s="67" t="s">
        <v>71</v>
      </c>
    </row>
    <row r="55" spans="1:12" ht="18.75">
      <c r="A55" s="6"/>
      <c r="B55" s="140" t="s">
        <v>188</v>
      </c>
      <c r="C55" s="166" t="s">
        <v>12</v>
      </c>
      <c r="D55" s="270"/>
      <c r="E55" s="190"/>
      <c r="F55" s="5"/>
      <c r="L55" s="67" t="s">
        <v>72</v>
      </c>
    </row>
    <row r="56" spans="1:12" ht="18.75">
      <c r="A56" s="6"/>
      <c r="B56" s="140" t="s">
        <v>189</v>
      </c>
      <c r="C56" s="183" t="s">
        <v>126</v>
      </c>
      <c r="D56" s="270"/>
      <c r="E56" s="187"/>
      <c r="F56" s="5"/>
      <c r="L56" s="67" t="s">
        <v>73</v>
      </c>
    </row>
    <row r="57" spans="1:12" ht="18.75">
      <c r="A57" s="6"/>
      <c r="B57" s="142" t="s">
        <v>190</v>
      </c>
      <c r="C57" s="188" t="s">
        <v>79</v>
      </c>
      <c r="D57" s="271"/>
      <c r="E57" s="189">
        <f>($E$48*PRODUCT(E49:E51)*E56)/(1-SUM(E53:E55))</f>
        <v>0</v>
      </c>
      <c r="F57" s="5"/>
      <c r="L57" s="67" t="s">
        <v>74</v>
      </c>
    </row>
    <row r="58" spans="1:12" ht="17.25" customHeight="1">
      <c r="A58" s="6"/>
      <c r="C58" s="6"/>
      <c r="D58" s="6"/>
      <c r="F58" s="5"/>
      <c r="L58" s="67" t="s">
        <v>75</v>
      </c>
    </row>
    <row r="59" spans="1:12" ht="18.75">
      <c r="A59" s="6"/>
      <c r="B59" s="140" t="s">
        <v>191</v>
      </c>
      <c r="C59" s="183" t="s">
        <v>127</v>
      </c>
      <c r="D59" s="203"/>
      <c r="E59" s="200" t="str">
        <f>IF(D59&lt;&gt;"", D59, "")</f>
        <v/>
      </c>
      <c r="F59" s="5"/>
      <c r="L59" s="67" t="s">
        <v>8</v>
      </c>
    </row>
    <row r="60" spans="1:12" ht="18.75">
      <c r="A60" s="6"/>
      <c r="B60" s="140" t="s">
        <v>192</v>
      </c>
      <c r="C60" s="183" t="s">
        <v>128</v>
      </c>
      <c r="D60" s="203"/>
      <c r="E60" s="200" t="str">
        <f>IF(D60&lt;&gt;"", D60, "")</f>
        <v/>
      </c>
      <c r="F60" s="5"/>
      <c r="L60" s="67" t="s">
        <v>76</v>
      </c>
    </row>
    <row r="61" spans="1:12" ht="18.75">
      <c r="A61" s="6"/>
      <c r="B61" s="140" t="s">
        <v>193</v>
      </c>
      <c r="C61" s="183" t="s">
        <v>129</v>
      </c>
      <c r="D61" s="203"/>
      <c r="E61" s="200" t="str">
        <f>IF(D61&lt;&gt;"", D61, "")</f>
        <v/>
      </c>
      <c r="F61" s="5"/>
      <c r="L61" s="31"/>
    </row>
    <row r="62" spans="1:12">
      <c r="B62" s="142" t="s">
        <v>194</v>
      </c>
      <c r="C62" s="188" t="s">
        <v>136</v>
      </c>
      <c r="D62" s="191"/>
      <c r="E62" s="189">
        <f>E57*(PRODUCT($E$59:$E$61))</f>
        <v>0</v>
      </c>
      <c r="F62" s="5"/>
      <c r="L62" s="31"/>
    </row>
    <row r="63" spans="1:12" ht="18.75">
      <c r="B63" s="75"/>
      <c r="C63" s="6"/>
      <c r="D63" s="6"/>
      <c r="F63" s="5"/>
      <c r="L63" s="31"/>
    </row>
    <row r="64" spans="1:12" ht="18.75">
      <c r="C64" s="30" t="s">
        <v>130</v>
      </c>
      <c r="D64" s="6"/>
      <c r="F64" s="5"/>
      <c r="L64" s="31"/>
    </row>
    <row r="65" spans="2:12">
      <c r="B65" s="140" t="s">
        <v>195</v>
      </c>
      <c r="C65" s="146" t="s">
        <v>106</v>
      </c>
      <c r="D65" s="168" t="s">
        <v>2</v>
      </c>
      <c r="E65" s="89" t="str">
        <f>IF(E13&lt;&gt;"",E13,"")</f>
        <v/>
      </c>
      <c r="F65" s="5"/>
      <c r="L65" s="31"/>
    </row>
    <row r="66" spans="2:12">
      <c r="B66" s="140" t="s">
        <v>196</v>
      </c>
      <c r="C66" s="146" t="s">
        <v>86</v>
      </c>
      <c r="D66" s="192">
        <f>SUM(E66:XFD66)</f>
        <v>0</v>
      </c>
      <c r="E66" s="181"/>
      <c r="F66" s="5"/>
    </row>
    <row r="67" spans="2:12">
      <c r="B67" s="140" t="s">
        <v>197</v>
      </c>
      <c r="C67" s="146" t="s">
        <v>87</v>
      </c>
      <c r="D67" s="192">
        <f>SUM(E67:XFD67)</f>
        <v>0</v>
      </c>
      <c r="E67" s="181"/>
      <c r="F67" s="5"/>
    </row>
    <row r="68" spans="2:12">
      <c r="B68" s="140" t="s">
        <v>198</v>
      </c>
      <c r="C68" s="146" t="s">
        <v>111</v>
      </c>
      <c r="D68" s="192">
        <f>SUM(E68:XFD68)</f>
        <v>0</v>
      </c>
      <c r="E68" s="181"/>
      <c r="F68" s="5"/>
    </row>
    <row r="69" spans="2:12">
      <c r="B69" s="140" t="s">
        <v>199</v>
      </c>
      <c r="C69" s="146" t="s">
        <v>112</v>
      </c>
      <c r="D69" s="192">
        <f>SUM(E69:XFD69)</f>
        <v>0</v>
      </c>
      <c r="E69" s="181"/>
      <c r="F69" s="5"/>
    </row>
    <row r="70" spans="2:12">
      <c r="B70" s="140" t="s">
        <v>200</v>
      </c>
      <c r="C70" s="146" t="s">
        <v>113</v>
      </c>
      <c r="D70" s="192">
        <f>D66-D67-D68-D69</f>
        <v>0</v>
      </c>
      <c r="E70" s="153">
        <f>E66-E67-E68-E69</f>
        <v>0</v>
      </c>
      <c r="F70" s="5"/>
    </row>
    <row r="71" spans="2:12">
      <c r="B71" s="140" t="s">
        <v>201</v>
      </c>
      <c r="C71" s="146" t="s">
        <v>114</v>
      </c>
      <c r="D71" s="192">
        <f>SUM(E71:XFD71)</f>
        <v>0</v>
      </c>
      <c r="E71" s="181"/>
      <c r="F71" s="5"/>
    </row>
    <row r="72" spans="2:12">
      <c r="B72" s="140" t="s">
        <v>202</v>
      </c>
      <c r="C72" s="146" t="s">
        <v>115</v>
      </c>
      <c r="D72" s="192">
        <f>SUM(E72:XFD72)</f>
        <v>0</v>
      </c>
      <c r="E72" s="181"/>
      <c r="F72" s="5"/>
    </row>
    <row r="73" spans="2:12">
      <c r="B73" s="140" t="s">
        <v>203</v>
      </c>
      <c r="C73" s="146" t="s">
        <v>4</v>
      </c>
      <c r="D73" s="193">
        <f>SUM(E73:XFD73)</f>
        <v>0</v>
      </c>
      <c r="E73" s="212"/>
      <c r="F73" s="5"/>
    </row>
    <row r="74" spans="2:12">
      <c r="B74" s="142" t="s">
        <v>204</v>
      </c>
      <c r="C74" s="164" t="s">
        <v>118</v>
      </c>
      <c r="D74" s="169" t="e">
        <f>D70/(D71+D72)</f>
        <v>#DIV/0!</v>
      </c>
      <c r="E74" s="88" t="e">
        <f>E70/(E71+E72)</f>
        <v>#DIV/0!</v>
      </c>
      <c r="F74" s="5"/>
    </row>
    <row r="75" spans="2:12" ht="18.75">
      <c r="C75" s="78" t="s">
        <v>120</v>
      </c>
      <c r="D75" s="6"/>
      <c r="F75" s="5"/>
    </row>
    <row r="76" spans="2:12">
      <c r="B76" s="140" t="s">
        <v>205</v>
      </c>
      <c r="C76" s="146" t="s">
        <v>86</v>
      </c>
      <c r="D76" s="105" t="e">
        <f>D66/D73</f>
        <v>#DIV/0!</v>
      </c>
      <c r="E76" s="105" t="e">
        <f>E66/E73</f>
        <v>#DIV/0!</v>
      </c>
      <c r="F76" s="5"/>
    </row>
    <row r="77" spans="2:12">
      <c r="B77" s="140" t="s">
        <v>206</v>
      </c>
      <c r="C77" s="146" t="s">
        <v>87</v>
      </c>
      <c r="D77" s="85" t="e">
        <f>D67/D73</f>
        <v>#DIV/0!</v>
      </c>
      <c r="E77" s="85" t="e">
        <f>E67/E73</f>
        <v>#DIV/0!</v>
      </c>
      <c r="F77" s="5"/>
    </row>
    <row r="78" spans="2:12">
      <c r="B78" s="140" t="s">
        <v>207</v>
      </c>
      <c r="C78" s="146" t="s">
        <v>111</v>
      </c>
      <c r="D78" s="105" t="e">
        <f>D68/D73</f>
        <v>#DIV/0!</v>
      </c>
      <c r="E78" s="105" t="e">
        <f>E68/E73</f>
        <v>#DIV/0!</v>
      </c>
      <c r="F78" s="5"/>
    </row>
    <row r="79" spans="2:12">
      <c r="B79" s="140" t="s">
        <v>208</v>
      </c>
      <c r="C79" s="146" t="s">
        <v>112</v>
      </c>
      <c r="D79" s="105" t="e">
        <f>D69/D73</f>
        <v>#DIV/0!</v>
      </c>
      <c r="E79" s="105" t="e">
        <f>E69/E73</f>
        <v>#DIV/0!</v>
      </c>
      <c r="F79" s="5"/>
    </row>
    <row r="80" spans="2:12">
      <c r="B80" s="140" t="s">
        <v>209</v>
      </c>
      <c r="C80" s="141" t="s">
        <v>113</v>
      </c>
      <c r="D80" s="105" t="e">
        <f>D70/D73</f>
        <v>#DIV/0!</v>
      </c>
      <c r="E80" s="105" t="e">
        <f>E70/E73</f>
        <v>#DIV/0!</v>
      </c>
      <c r="F80" s="5"/>
    </row>
    <row r="81" spans="2:6">
      <c r="B81" s="140" t="s">
        <v>210</v>
      </c>
      <c r="C81" s="141" t="s">
        <v>114</v>
      </c>
      <c r="D81" s="105" t="e">
        <f>D71/D73</f>
        <v>#DIV/0!</v>
      </c>
      <c r="E81" s="105" t="e">
        <f>E71/E73</f>
        <v>#DIV/0!</v>
      </c>
      <c r="F81" s="5"/>
    </row>
    <row r="82" spans="2:6">
      <c r="B82" s="142" t="s">
        <v>211</v>
      </c>
      <c r="C82" s="133" t="s">
        <v>115</v>
      </c>
      <c r="D82" s="105" t="e">
        <f>D72/D73</f>
        <v>#DIV/0!</v>
      </c>
      <c r="E82" s="105" t="e">
        <f>E72/E73</f>
        <v>#DIV/0!</v>
      </c>
      <c r="F82" s="5"/>
    </row>
    <row r="83" spans="2:6">
      <c r="F83" s="5"/>
    </row>
    <row r="84" spans="2:6">
      <c r="F84" s="5"/>
    </row>
    <row r="85" spans="2:6" ht="14.6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8BB9qiTRFGCvW/ND0wclPPoIWyPdjJNbK06IxyyNxK8nmLmTlfaNZdRHYXS8JBwrBFgJ0jqUNud0fpX8r8JQ7A==" saltValue="YIVZ2OufrmbnYaRIZsBlMQ=="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3D1EB2DC-0427-40CE-86B3-B86E5CD998DC}"/>
</file>

<file path=customXml/itemProps3.xml><?xml version="1.0" encoding="utf-8"?>
<ds:datastoreItem xmlns:ds="http://schemas.openxmlformats.org/officeDocument/2006/customXml" ds:itemID="{8BA26A6A-6337-4ED7-A649-960EFD22D054}">
  <ds:schemaRefs>
    <ds:schemaRef ds:uri="http://schemas.microsoft.com/office/infopath/2007/PartnerControls"/>
    <ds:schemaRef ds:uri="a7eddb22-ec30-47fe-81c9-a147b8ade4a5"/>
    <ds:schemaRef ds:uri="http://www.w3.org/XML/1998/namespace"/>
    <ds:schemaRef ds:uri="http://schemas.openxmlformats.org/package/2006/metadata/core-properties"/>
    <ds:schemaRef ds:uri="http://purl.org/dc/terms/"/>
    <ds:schemaRef ds:uri="http://schemas.microsoft.com/office/2006/documentManagement/types"/>
    <ds:schemaRef ds:uri="http://schemas.microsoft.com/office/2006/metadata/properties"/>
    <ds:schemaRef ds:uri="a1027b0e-b76a-4f87-8a3e-5c0955473ea1"/>
    <ds:schemaRef ds:uri="http://purl.org/dc/dcmitype/"/>
    <ds:schemaRef ds:uri="http://purl.org/dc/elements/1.1/"/>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Haggmark, Janin</cp:lastModifiedBy>
  <dcterms:created xsi:type="dcterms:W3CDTF">2013-12-09T20:12:41Z</dcterms:created>
  <dcterms:modified xsi:type="dcterms:W3CDTF">2023-05-30T23:57:18Z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ies>
</file>