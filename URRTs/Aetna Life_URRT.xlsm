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E6A7505E-A0D0-4B59-97AB-B3B10593647A}"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21675" yWindow="1080" windowWidth="17805" windowHeight="8430" tabRatio="515" activeTab="1"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70" i="13" s="1"/>
  <c r="D39" i="13"/>
  <c r="D38" i="13"/>
  <c r="D35" i="13"/>
  <c r="D34" i="13"/>
  <c r="D33" i="13"/>
  <c r="D32" i="13"/>
  <c r="D44" i="13" s="1"/>
  <c r="D31" i="13"/>
  <c r="D43" i="13" s="1"/>
  <c r="D29" i="13"/>
  <c r="D41" i="13" s="1"/>
  <c r="D28" i="13"/>
  <c r="D40" i="13" s="1"/>
  <c r="D27" i="13"/>
  <c r="D26" i="13"/>
  <c r="E22" i="13" a="1"/>
  <c r="E22" i="13" s="1"/>
  <c r="E21" i="13" a="1"/>
  <c r="E21" i="13" s="1"/>
  <c r="C5" i="1"/>
  <c r="E82" i="13"/>
  <c r="E81" i="13"/>
  <c r="E79" i="13"/>
  <c r="E78" i="13"/>
  <c r="E77" i="13"/>
  <c r="E76" i="13"/>
  <c r="E70" i="13"/>
  <c r="E74" i="13" s="1"/>
  <c r="E65" i="13"/>
  <c r="E61" i="13"/>
  <c r="E60" i="13"/>
  <c r="E59" i="13"/>
  <c r="E48" i="13"/>
  <c r="E57" i="13" s="1"/>
  <c r="E62" i="13" s="1"/>
  <c r="E47" i="13"/>
  <c r="E44" i="13"/>
  <c r="E43" i="13"/>
  <c r="E42" i="13"/>
  <c r="E41" i="13"/>
  <c r="E40" i="13"/>
  <c r="E39" i="13"/>
  <c r="E38" i="13"/>
  <c r="E30" i="13"/>
  <c r="E36" i="13" s="1"/>
  <c r="E25" i="13"/>
  <c r="E80" i="13" l="1"/>
  <c r="D30" i="13"/>
  <c r="D79" i="13"/>
  <c r="D82" i="13"/>
  <c r="D81" i="13"/>
  <c r="D78" i="13"/>
  <c r="D76" i="13"/>
  <c r="D77" i="13"/>
  <c r="D42" i="13" l="1"/>
  <c r="D36" i="13"/>
  <c r="D74" i="13"/>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alcChain>
</file>

<file path=xl/sharedStrings.xml><?xml version="1.0" encoding="utf-8"?>
<sst xmlns="http://schemas.openxmlformats.org/spreadsheetml/2006/main" count="462" uniqueCount="252">
  <si>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</si>
  <si>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</si>
  <si>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</si>
  <si>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</si>
  <si>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</si>
  <si>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</si>
  <si>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</si>
  <si>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</si>
  <si>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</si>
  <si>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</si>
  <si>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</si>
  <si>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</si>
  <si>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</si>
  <si>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</si>
  <si>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</si>
  <si>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</si>
  <si>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</si>
  <si>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</si>
  <si>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</si>
  <si>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</si>
  <si>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</si>
  <si>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</si>
  <si>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</si>
  <si>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</si>
  <si>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</si>
  <si>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</si>
  <si>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</si>
  <si>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</si>
  <si>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</si>
  <si>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</si>
  <si>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</si>
  <si>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</si>
  <si>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</si>
  <si>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</si>
  <si>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</si>
  <si>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</si>
  <si>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</si>
  <si>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</si>
  <si>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</si>
  <si>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</si>
  <si>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</si>
  <si>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</si>
  <si>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</si>
  <si>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</si>
  <si>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</si>
  <si>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</si>
  <si>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</si>
  <si>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</si>
  <si>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</si>
  <si>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</si>
  <si>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</si>
  <si>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</si>
  <si>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</si>
  <si>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</si>
  <si>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</si>
  <si>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</si>
  <si>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</si>
  <si>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</si>
  <si>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</si>
  <si>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</si>
  <si>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</si>
  <si>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</si>
  <si>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</si>
  <si>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</si>
  <si>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</si>
  <si>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</si>
  <si>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</si>
  <si>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</si>
  <si>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</si>
  <si>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</si>
  <si>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</si>
  <si>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</si>
  <si>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</si>
  <si>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</si>
  <si>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</si>
  <si>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</si>
  <si>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</si>
  <si>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</si>
  <si>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</si>
  <si>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</si>
  <si>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</si>
  <si>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</si>
  <si>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</si>
  <si>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</si>
  <si>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</si>
  <si>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</si>
  <si>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</si>
  <si>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</si>
  <si>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</si>
  <si>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</si>
  <si>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</si>
  <si>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</si>
  <si>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</si>
  <si>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</si>
  <si>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</si>
  <si>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</si>
  <si>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</si>
  <si>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</si>
  <si>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</si>
  <si>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</si>
  <si>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</si>
  <si>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</si>
  <si>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</si>
  <si>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</si>
  <si>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</si>
  <si>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</si>
  <si>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</si>
  <si>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</si>
  <si>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</si>
  <si>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</si>
  <si>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</si>
  <si>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</si>
  <si>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</si>
  <si>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</si>
  <si>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</si>
  <si>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</si>
  <si>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</si>
  <si>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</si>
  <si>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</si>
  <si>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</si>
  <si>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</si>
  <si>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</si>
  <si>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</si>
  <si>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</si>
  <si>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</si>
  <si>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</si>
  <si>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</si>
  <si>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</si>
  <si>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</si>
  <si>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</si>
  <si>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</si>
  <si>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</si>
  <si>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</si>
  <si>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</si>
  <si>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</si>
  <si>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</si>
  <si>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</si>
  <si>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</si>
  <si>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</si>
  <si>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</si>
  <si>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</si>
  <si>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</si>
  <si>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</si>
  <si>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</si>
  <si>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</si>
  <si>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</si>
  <si>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</si>
  <si>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</si>
  <si>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</si>
  <si>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</si>
  <si>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</si>
  <si>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</si>
  <si>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</si>
  <si>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</si>
  <si>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</si>
  <si>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</si>
  <si>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</si>
  <si>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</si>
  <si>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</si>
  <si>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</si>
  <si>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</si>
  <si>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</si>
  <si>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</si>
  <si>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</si>
  <si>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</si>
  <si>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</si>
  <si>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</si>
  <si>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</si>
  <si>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</si>
  <si>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</si>
  <si>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</si>
  <si>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</si>
  <si>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</si>
  <si>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</si>
  <si>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</si>
  <si>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</si>
  <si>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</si>
  <si>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</si>
  <si>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</si>
  <si>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</si>
  <si>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</si>
  <si>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</si>
  <si>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</si>
  <si>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</si>
  <si>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</si>
  <si>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</si>
  <si>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</si>
  <si>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</si>
  <si>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</si>
  <si>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</si>
  <si>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</si>
  <si>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</si>
  <si>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</si>
  <si>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</si>
  <si>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</si>
  <si>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</si>
  <si>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</si>
  <si>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</si>
  <si>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</si>
  <si>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</si>
  <si>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</si>
  <si>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</si>
  <si>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</si>
  <si>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</si>
  <si>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</si>
  <si>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</si>
  <si>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</si>
  <si>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</si>
  <si>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</si>
  <si>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</si>
  <si>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</si>
  <si>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</si>
  <si>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</si>
  <si>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</si>
  <si>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</si>
  <si>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</si>
  <si>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</si>
  <si>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</si>
  <si>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</si>
  <si>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</si>
  <si>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</si>
  <si>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</si>
  <si>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</si>
  <si>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</si>
  <si>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</si>
  <si>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</si>
  <si>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</si>
  <si>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</si>
  <si>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</si>
  <si>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Aetna Life Insurance Company</t>
  </si>
  <si>
    <t>Small Group</t>
  </si>
  <si>
    <t>Aetna Managed Choice</t>
  </si>
  <si>
    <t>83978GA011</t>
  </si>
  <si>
    <t>Aetna Silver OAMC 8000 80/60</t>
  </si>
  <si>
    <t>83978GA0110086</t>
  </si>
  <si>
    <t>POS</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</si>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</sst>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9">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
      <sz val="11"/>
      <color rgb="FFFF0000"/>
      <name val="Calibri"/>
      <family val="2"/>
      <scheme val="minor"/>
    </font>
    <font>
      <b/>
      <sz val="11"/>
      <color rgb="FFFF0000"/>
      <name val="Calibri"/>
      <family val="2"/>
    </font>
    <font>
      <b/>
      <sz val="11"/>
      <color rgb="FFFF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67">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27" fillId="2" borderId="0" xfId="0" applyFont="1" applyFill="1" applyProtection="1">
      <protection locked="0"/>
    </xf>
    <xf numFmtId="0" fontId="26" fillId="0" borderId="0" xfId="0" applyFont="1" applyProtection="1"/>
    <xf numFmtId="0" fontId="28" fillId="2" borderId="0" xfId="0" applyFont="1" applyFill="1" applyProtection="1">
      <protection locked="0"/>
    </xf>
    <xf numFmtId="10" fontId="0" fillId="0" borderId="7" xfId="0" applyNumberFormat="1" applyBorder="1" applyAlignment="1">
      <alignment horizontal="center"/>
    </xf>
    <xf numFmtId="168" fontId="0" fillId="0" borderId="7" xfId="0" applyNumberFormat="1" applyBorder="1" applyAlignment="1">
      <alignment horizontal="center"/>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0</xdr:row>
          <xdr:rowOff>0</xdr:rowOff>
        </xdr:from>
        <xdr:to>
          <xdr:col>6</xdr:col>
          <xdr:colOff>1238250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0</xdr:row>
          <xdr:rowOff>0</xdr:rowOff>
        </xdr:from>
        <xdr:to>
          <xdr:col>7</xdr:col>
          <xdr:colOff>409575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114300</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zoomScaleNormal="100" zoomScaleSheetLayoutView="40" workbookViewId="0">
      <selection activeCell="D6" sqref="D6"/>
    </sheetView>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83978</v>
      </c>
      <c r="D4" s="207" t="s">
        <v>7</v>
      </c>
      <c r="E4" s="213" t="s">
        <v>37</v>
      </c>
      <c r="F4" s="4"/>
      <c r="G4" s="4"/>
      <c r="H4" s="4"/>
      <c r="K4" s="98" t="s">
        <v>216</v>
      </c>
    </row>
    <row r="5" spans="1:29" ht="15.75">
      <c r="B5" s="96" t="s">
        <v>14</v>
      </c>
      <c r="C5" s="219">
        <f>MAX('Wksh 2 - Plan Product Info'!E19:E19)</f>
        <v>45292</v>
      </c>
      <c r="D5" s="207" t="s">
        <v>9</v>
      </c>
      <c r="E5" s="213" t="s">
        <v>230</v>
      </c>
    </row>
    <row r="6" spans="1:29" ht="18.75">
      <c r="B6" s="3"/>
      <c r="C6" s="3"/>
      <c r="D6" s="232"/>
      <c r="E6" s="3"/>
      <c r="F6" s="4"/>
    </row>
    <row r="7" spans="1:29">
      <c r="F7" s="2"/>
    </row>
    <row r="8" spans="1:29">
      <c r="B8" s="240" t="s">
        <v>3</v>
      </c>
      <c r="C8" s="241"/>
      <c r="D8" s="241"/>
      <c r="E8" s="241"/>
      <c r="F8" s="241"/>
      <c r="G8" s="241"/>
      <c r="H8" s="241"/>
      <c r="I8" s="241"/>
      <c r="J8" s="241"/>
      <c r="K8" s="241"/>
      <c r="L8" s="241"/>
      <c r="M8" s="241"/>
      <c r="N8" s="241"/>
      <c r="O8" s="241"/>
      <c r="P8" s="241"/>
      <c r="Q8" s="242"/>
      <c r="R8"/>
      <c r="S8"/>
      <c r="T8"/>
      <c r="U8"/>
      <c r="V8"/>
      <c r="W8"/>
      <c r="X8"/>
      <c r="Y8"/>
    </row>
    <row r="9" spans="1:29">
      <c r="B9" s="243"/>
      <c r="C9" s="244"/>
      <c r="D9" s="244"/>
      <c r="E9" s="244"/>
      <c r="F9" s="244"/>
      <c r="G9" s="244"/>
      <c r="H9" s="244"/>
      <c r="I9" s="244"/>
      <c r="J9" s="244"/>
      <c r="K9" s="244"/>
      <c r="L9" s="244"/>
      <c r="M9" s="244"/>
      <c r="N9" s="244"/>
      <c r="O9" s="244"/>
      <c r="P9" s="244"/>
      <c r="Q9" s="245"/>
      <c r="R9"/>
      <c r="S9"/>
      <c r="T9"/>
      <c r="U9"/>
      <c r="V9"/>
      <c r="W9"/>
      <c r="X9"/>
      <c r="Y9"/>
    </row>
    <row r="10" spans="1:29">
      <c r="B10" s="19"/>
      <c r="F10" s="2"/>
    </row>
    <row r="11" spans="1:29">
      <c r="B11" s="28" t="s">
        <v>85</v>
      </c>
      <c r="E11" s="29"/>
      <c r="F11" s="2"/>
    </row>
    <row r="12" spans="1:29">
      <c r="B12" s="75" t="s">
        <v>21</v>
      </c>
      <c r="D12" s="214">
        <v>44562</v>
      </c>
      <c r="E12" s="31" t="s">
        <v>11</v>
      </c>
      <c r="F12" s="84">
        <f>EDATE(D12,12)-1</f>
        <v>44926</v>
      </c>
      <c r="H12" s="33"/>
      <c r="I12" s="32"/>
    </row>
    <row r="13" spans="1:29">
      <c r="B13" s="30"/>
      <c r="E13" s="69" t="s">
        <v>2</v>
      </c>
      <c r="F13" s="34" t="s">
        <v>23</v>
      </c>
      <c r="G13"/>
      <c r="J13"/>
      <c r="P13"/>
      <c r="Q13"/>
      <c r="U13"/>
      <c r="V13"/>
      <c r="W13"/>
      <c r="X13"/>
      <c r="Y13"/>
      <c r="AC13" s="35"/>
    </row>
    <row r="14" spans="1:29">
      <c r="B14" s="249" t="s">
        <v>86</v>
      </c>
      <c r="C14" s="250"/>
      <c r="D14" s="251"/>
      <c r="E14" s="102">
        <v>4600408.45</v>
      </c>
      <c r="F14" s="103">
        <f>E14/E19</f>
        <v>1190.2738551099612</v>
      </c>
      <c r="G14" s="36"/>
      <c r="J14"/>
      <c r="P14"/>
      <c r="Q14"/>
      <c r="U14"/>
      <c r="V14"/>
      <c r="W14"/>
      <c r="X14"/>
      <c r="Y14"/>
      <c r="AC14" s="35"/>
    </row>
    <row r="15" spans="1:29">
      <c r="B15" s="252" t="s">
        <v>87</v>
      </c>
      <c r="C15" s="252"/>
      <c r="D15" s="252"/>
      <c r="E15" s="102">
        <v>0</v>
      </c>
      <c r="F15" s="104">
        <f>E15/E19</f>
        <v>0</v>
      </c>
      <c r="G15" s="36"/>
      <c r="J15"/>
      <c r="P15"/>
      <c r="Q15"/>
      <c r="U15"/>
      <c r="V15"/>
      <c r="W15"/>
      <c r="X15"/>
      <c r="Y15"/>
      <c r="AC15" s="35"/>
    </row>
    <row r="16" spans="1:29">
      <c r="B16" s="252" t="s">
        <v>88</v>
      </c>
      <c r="C16" s="252"/>
      <c r="D16" s="252"/>
      <c r="E16" s="102">
        <v>3713412.62</v>
      </c>
      <c r="F16" s="104">
        <f>E16/E19</f>
        <v>960.77946183699873</v>
      </c>
      <c r="G16" s="36"/>
      <c r="J16"/>
      <c r="P16"/>
      <c r="Q16"/>
      <c r="U16"/>
      <c r="V16"/>
      <c r="W16"/>
      <c r="X16"/>
      <c r="Y16"/>
      <c r="AC16" s="35"/>
    </row>
    <row r="17" spans="2:31">
      <c r="B17" s="252" t="s">
        <v>89</v>
      </c>
      <c r="C17" s="252"/>
      <c r="D17" s="252"/>
      <c r="E17" s="105">
        <v>716566.58</v>
      </c>
      <c r="F17" s="106">
        <f>E17/E19</f>
        <v>185.39885640362223</v>
      </c>
      <c r="G17" s="37"/>
      <c r="H17" s="38"/>
      <c r="I17" s="32"/>
      <c r="J17"/>
      <c r="O17" s="39"/>
      <c r="P17"/>
      <c r="Q17"/>
      <c r="U17"/>
      <c r="V17"/>
      <c r="W17"/>
      <c r="X17"/>
      <c r="Y17"/>
      <c r="AC17" s="35"/>
    </row>
    <row r="18" spans="2:31">
      <c r="B18" s="252" t="s">
        <v>90</v>
      </c>
      <c r="C18" s="252"/>
      <c r="D18" s="252"/>
      <c r="E18" s="105">
        <v>3350510.06</v>
      </c>
      <c r="F18" s="107">
        <f>E18/E19</f>
        <v>866.88487968952131</v>
      </c>
      <c r="G18" s="40"/>
      <c r="H18" s="38"/>
      <c r="I18" s="32"/>
      <c r="J18"/>
      <c r="P18"/>
      <c r="Q18"/>
      <c r="U18"/>
      <c r="V18"/>
      <c r="W18"/>
      <c r="X18"/>
      <c r="Y18"/>
      <c r="AC18" s="35"/>
    </row>
    <row r="19" spans="2:31">
      <c r="B19" s="252" t="s">
        <v>22</v>
      </c>
      <c r="C19" s="252"/>
      <c r="D19" s="252"/>
      <c r="E19" s="215">
        <f>'Wksh 2 - Plan Product Info'!D33</f>
        <v>3865</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46" t="s">
        <v>92</v>
      </c>
      <c r="E22" s="247"/>
      <c r="F22" s="248" t="s">
        <v>93</v>
      </c>
      <c r="G22" s="248"/>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204.85</v>
      </c>
      <c r="D24" s="122">
        <v>1.0680000000000001</v>
      </c>
      <c r="E24" s="125">
        <v>1.0129999999999999</v>
      </c>
      <c r="F24" s="122">
        <v>1.0680000000000001</v>
      </c>
      <c r="G24" s="127">
        <v>1.0129999999999999</v>
      </c>
      <c r="H24" s="131">
        <f t="shared" ref="H24:H29" si="0">PRODUCT(C24:G24)</f>
        <v>239.77139189006155</v>
      </c>
      <c r="I24" s="38"/>
      <c r="J24" s="32"/>
      <c r="K24" s="38"/>
      <c r="L24"/>
      <c r="R24"/>
      <c r="S24"/>
      <c r="W24"/>
      <c r="X24"/>
      <c r="Y24"/>
      <c r="Z24"/>
      <c r="AA24"/>
      <c r="AE24" s="35"/>
    </row>
    <row r="25" spans="2:31">
      <c r="B25" s="111" t="s">
        <v>19</v>
      </c>
      <c r="C25" s="130">
        <v>165.77</v>
      </c>
      <c r="D25" s="123">
        <v>1.0489999999999999</v>
      </c>
      <c r="E25" s="124">
        <v>1.0529999999999999</v>
      </c>
      <c r="F25" s="123">
        <v>1.0489999999999999</v>
      </c>
      <c r="G25" s="126">
        <v>1.0529999999999999</v>
      </c>
      <c r="H25" s="132">
        <f t="shared" si="0"/>
        <v>202.26170143743988</v>
      </c>
      <c r="I25" s="38"/>
      <c r="J25" s="32"/>
      <c r="K25" s="38"/>
      <c r="L25"/>
      <c r="R25"/>
      <c r="S25"/>
      <c r="W25"/>
      <c r="X25"/>
      <c r="Y25"/>
      <c r="Z25"/>
      <c r="AA25"/>
      <c r="AE25" s="35"/>
    </row>
    <row r="26" spans="2:31">
      <c r="B26" s="111" t="s">
        <v>0</v>
      </c>
      <c r="C26" s="130">
        <v>225.3</v>
      </c>
      <c r="D26" s="123">
        <v>1.022</v>
      </c>
      <c r="E26" s="124">
        <v>1.048</v>
      </c>
      <c r="F26" s="123">
        <v>1.022</v>
      </c>
      <c r="G26" s="128">
        <v>1.048</v>
      </c>
      <c r="H26" s="132">
        <f t="shared" si="0"/>
        <v>258.45536319214085</v>
      </c>
      <c r="I26" s="38"/>
      <c r="J26" s="32"/>
      <c r="K26" s="38"/>
      <c r="L26"/>
      <c r="R26"/>
      <c r="S26"/>
      <c r="W26"/>
      <c r="X26"/>
      <c r="Y26"/>
      <c r="Z26"/>
      <c r="AA26"/>
      <c r="AE26" s="35"/>
    </row>
    <row r="27" spans="2:31">
      <c r="B27" s="111" t="s">
        <v>18</v>
      </c>
      <c r="C27" s="130">
        <v>294.22000000000003</v>
      </c>
      <c r="D27" s="123">
        <v>1.0489999999999999</v>
      </c>
      <c r="E27" s="124">
        <v>1.0529999999999999</v>
      </c>
      <c r="F27" s="123">
        <v>1.0489999999999999</v>
      </c>
      <c r="G27" s="126">
        <v>1.0529999999999999</v>
      </c>
      <c r="H27" s="132">
        <f t="shared" si="0"/>
        <v>358.98798212537594</v>
      </c>
      <c r="I27" s="38"/>
      <c r="J27" s="32"/>
      <c r="K27" s="38"/>
      <c r="L27"/>
      <c r="R27"/>
      <c r="S27"/>
      <c r="W27"/>
      <c r="X27"/>
      <c r="Y27"/>
      <c r="Z27"/>
      <c r="AA27"/>
      <c r="AE27" s="35"/>
    </row>
    <row r="28" spans="2:31">
      <c r="B28" s="111" t="s">
        <v>1</v>
      </c>
      <c r="C28" s="130">
        <v>0.2</v>
      </c>
      <c r="D28" s="120">
        <v>1</v>
      </c>
      <c r="E28" s="121">
        <v>1</v>
      </c>
      <c r="F28" s="123">
        <v>1</v>
      </c>
      <c r="G28" s="126">
        <v>1</v>
      </c>
      <c r="H28" s="132">
        <f t="shared" si="0"/>
        <v>0.2</v>
      </c>
      <c r="I28" s="38"/>
      <c r="J28" s="32"/>
      <c r="K28" s="38"/>
      <c r="L28"/>
      <c r="R28"/>
      <c r="S28"/>
      <c r="W28"/>
      <c r="X28"/>
      <c r="Y28"/>
      <c r="Z28"/>
      <c r="AA28"/>
      <c r="AE28" s="35"/>
    </row>
    <row r="29" spans="2:31" ht="15.75" thickBot="1">
      <c r="B29" s="111" t="s">
        <v>20</v>
      </c>
      <c r="C29" s="114">
        <v>299.94</v>
      </c>
      <c r="D29" s="119">
        <v>1</v>
      </c>
      <c r="E29" s="118">
        <v>1.026</v>
      </c>
      <c r="F29" s="119">
        <v>1</v>
      </c>
      <c r="G29" s="85">
        <v>1.026</v>
      </c>
      <c r="H29" s="116">
        <f t="shared" si="0"/>
        <v>315.73963944000002</v>
      </c>
      <c r="I29" s="38"/>
      <c r="J29" s="32"/>
      <c r="K29" s="38"/>
      <c r="L29"/>
      <c r="R29"/>
      <c r="S29"/>
      <c r="W29"/>
      <c r="X29"/>
      <c r="Y29"/>
      <c r="Z29"/>
      <c r="AA29"/>
      <c r="AE29" s="35"/>
    </row>
    <row r="30" spans="2:31" ht="15.75" thickBot="1">
      <c r="B30" s="112" t="s">
        <v>2</v>
      </c>
      <c r="C30" s="113">
        <f>SUM(C24:C29)</f>
        <v>1190.2800000000002</v>
      </c>
      <c r="D30" s="237"/>
      <c r="E30" s="238"/>
      <c r="F30" s="238"/>
      <c r="G30" s="238"/>
      <c r="H30" s="144">
        <f>SUM(H24:H29)</f>
        <v>1375.4160780850184</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1.0820000000000001</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0.94899999999999995</v>
      </c>
      <c r="G34" s="40"/>
      <c r="H34" s="38"/>
      <c r="I34" s="38"/>
      <c r="J34" s="32"/>
      <c r="K34" s="38"/>
      <c r="L34"/>
      <c r="R34"/>
      <c r="S34"/>
      <c r="W34"/>
      <c r="X34"/>
      <c r="Y34"/>
      <c r="Z34"/>
      <c r="AA34"/>
      <c r="AE34" s="35"/>
    </row>
    <row r="35" spans="2:31">
      <c r="B35" s="223" t="s">
        <v>17</v>
      </c>
      <c r="C35" s="224"/>
      <c r="D35" s="224"/>
      <c r="E35" s="225"/>
      <c r="F35" s="136">
        <v>0.91400000000000003</v>
      </c>
      <c r="G35" s="40"/>
      <c r="H35" s="38"/>
      <c r="I35" s="38"/>
      <c r="J35" s="32"/>
      <c r="K35" s="38"/>
      <c r="L35"/>
      <c r="R35"/>
      <c r="S35"/>
      <c r="W35"/>
      <c r="X35"/>
      <c r="Y35"/>
      <c r="Z35"/>
      <c r="AA35"/>
      <c r="AE35" s="35"/>
    </row>
    <row r="36" spans="2:31">
      <c r="B36" s="223" t="s">
        <v>220</v>
      </c>
      <c r="C36" s="224"/>
      <c r="D36" s="137">
        <f>IF(C5&lt;&gt;"",C5,"")</f>
        <v>45292</v>
      </c>
      <c r="E36" s="138"/>
      <c r="F36" s="135">
        <f>H30*PRODUCT(F32:F35)</f>
        <v>1290.8440156309318</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1252.67</v>
      </c>
      <c r="G38" s="40"/>
      <c r="H38" s="38"/>
      <c r="I38" s="38"/>
      <c r="J38" s="32"/>
      <c r="K38" s="38"/>
      <c r="L38"/>
      <c r="R38"/>
      <c r="S38"/>
      <c r="W38"/>
      <c r="X38"/>
      <c r="Y38"/>
      <c r="Z38"/>
      <c r="AA38"/>
      <c r="AE38" s="35"/>
    </row>
    <row r="39" spans="2:31">
      <c r="B39" s="223" t="s">
        <v>219</v>
      </c>
      <c r="C39" s="224"/>
      <c r="D39" s="224"/>
      <c r="E39" s="225"/>
      <c r="F39" s="134">
        <v>0.23169999999999999</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f>IF(C5&lt;&gt;"",C5,"")</f>
        <v>45292</v>
      </c>
      <c r="E42" s="139"/>
      <c r="F42" s="135">
        <f>ROUND(F39*F36+(1-F39)*F38,2)</f>
        <v>1261.51</v>
      </c>
      <c r="G42" s="140">
        <f>F42*F48</f>
        <v>4026739.92</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82.32</v>
      </c>
      <c r="G44" s="140">
        <f>F44*F48</f>
        <v>262765.44</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1179.19</v>
      </c>
      <c r="G46" s="143">
        <f>F46*F48</f>
        <v>3763974.48</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3192</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9" t="s">
        <v>148</v>
      </c>
      <c r="C50" s="239"/>
      <c r="D50" s="239"/>
      <c r="E50" s="239"/>
      <c r="F50" s="239"/>
      <c r="G50" s="239"/>
      <c r="H50" s="239"/>
      <c r="I50" s="239"/>
      <c r="J50" s="239"/>
      <c r="K50" s="239"/>
      <c r="L50" s="239"/>
      <c r="M50" s="239"/>
      <c r="N50" s="239"/>
      <c r="O50" s="239"/>
      <c r="P50" s="239"/>
      <c r="Q50" s="239"/>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9"/>
      <c r="B112" s="239"/>
      <c r="C112" s="239"/>
      <c r="D112" s="239"/>
      <c r="E112" s="239"/>
      <c r="F112" s="239"/>
      <c r="G112" s="239"/>
      <c r="H112" s="239"/>
      <c r="I112" s="239"/>
      <c r="J112" s="239"/>
      <c r="K112" s="239"/>
      <c r="L112" s="239"/>
      <c r="M112" s="239"/>
      <c r="N112" s="239"/>
      <c r="O112" s="239"/>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L1eAFY0yuTsQGcGakQj1A1xuXdZi+8yI2XHzbGyj7bughrpWH7dRowVYnnzqW/6aAqcNAJXtdot77dLZ2uoqTw==" saltValue="cWSDp2E75ZQL9N4iiSvKuQ=="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disablePrompts="1"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180975</xdr:colOff>
                    <xdr:row>0</xdr:row>
                    <xdr:rowOff>0</xdr:rowOff>
                  </from>
                  <to>
                    <xdr:col>6</xdr:col>
                    <xdr:colOff>1238250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1285875</xdr:colOff>
                    <xdr:row>0</xdr:row>
                    <xdr:rowOff>0</xdr:rowOff>
                  </from>
                  <to>
                    <xdr:col>7</xdr:col>
                    <xdr:colOff>409575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83"/>
  <sheetViews>
    <sheetView showGridLines="0" tabSelected="1"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22" ht="18.600000000000001" customHeight="1">
      <c r="A1" s="100" t="s">
        <v>226</v>
      </c>
      <c r="C1" s="16" t="s">
        <v>221</v>
      </c>
      <c r="D1" s="16"/>
      <c r="E1" s="3"/>
      <c r="F1" s="3"/>
      <c r="G1" s="3"/>
      <c r="H1" s="4"/>
      <c r="I1" s="1"/>
      <c r="J1" s="1"/>
      <c r="K1" s="1"/>
      <c r="L1" s="1"/>
      <c r="M1" s="1"/>
      <c r="N1" s="1"/>
      <c r="O1" s="1"/>
      <c r="P1" s="98" t="s">
        <v>213</v>
      </c>
      <c r="Q1" s="1"/>
      <c r="S1" s="1"/>
      <c r="T1" s="1"/>
      <c r="U1" s="1"/>
    </row>
    <row r="2" spans="1:22" ht="18.75">
      <c r="C2" s="3"/>
      <c r="D2" s="3"/>
      <c r="E2" s="3"/>
      <c r="F2" s="3"/>
      <c r="G2" s="3"/>
      <c r="H2" s="4"/>
      <c r="I2" s="1"/>
      <c r="J2" s="1"/>
      <c r="K2" s="1"/>
      <c r="L2" s="1"/>
      <c r="M2" s="1"/>
      <c r="N2" s="1"/>
      <c r="O2" s="1"/>
      <c r="P2" s="98" t="s">
        <v>214</v>
      </c>
      <c r="Q2" s="1"/>
      <c r="S2" s="1"/>
      <c r="T2" s="1"/>
      <c r="U2" s="1"/>
    </row>
    <row r="3" spans="1:22" ht="18.75">
      <c r="C3" s="96" t="s">
        <v>5</v>
      </c>
      <c r="D3" s="93" t="str">
        <f>IF('Wksh 1 - Market Experience'!C3&lt;&gt;"", 'Wksh 1 - Market Experience'!C3,"")</f>
        <v>Aetna Life Insurance Company</v>
      </c>
      <c r="F3" s="6"/>
      <c r="G3" s="6"/>
      <c r="J3" s="1"/>
      <c r="K3" s="1"/>
      <c r="P3" s="99" t="s">
        <v>215</v>
      </c>
    </row>
    <row r="4" spans="1:22" ht="18.75">
      <c r="C4" s="97" t="s">
        <v>6</v>
      </c>
      <c r="D4" s="94">
        <f>IF('Wksh 1 - Market Experience'!C4&lt;&gt;"", 'Wksh 1 - Market Experience'!C4,"")</f>
        <v>83978</v>
      </c>
      <c r="E4" s="96" t="s">
        <v>7</v>
      </c>
      <c r="F4" s="101" t="str">
        <f>IF('Wksh 1 - Market Experience'!E4&lt;&gt;"",'Wksh 1 - Market Experience'!E4,"")</f>
        <v>GA</v>
      </c>
      <c r="G4" s="7"/>
      <c r="J4" s="1"/>
      <c r="K4" s="1"/>
      <c r="P4" s="99" t="s">
        <v>216</v>
      </c>
    </row>
    <row r="5" spans="1:22" ht="15.75">
      <c r="C5" s="96" t="s">
        <v>14</v>
      </c>
      <c r="D5" s="95">
        <f>IF('Wksh 1 - Market Experience'!C5&lt;&gt;"", 'Wksh 1 - Market Experience'!C5,"")</f>
        <v>45292</v>
      </c>
      <c r="E5" s="96" t="s">
        <v>9</v>
      </c>
      <c r="F5" s="101" t="str">
        <f>IF('Wksh 1 - Market Experience'!E5&lt;&gt;"",'Wksh 1 - Market Experience'!E5,"")</f>
        <v>Small Group</v>
      </c>
      <c r="G5" s="1"/>
      <c r="H5" s="1"/>
      <c r="I5" s="1"/>
      <c r="J5" s="1"/>
      <c r="K5" s="1"/>
      <c r="L5" s="1"/>
      <c r="P5" s="99" t="s">
        <v>223</v>
      </c>
    </row>
    <row r="6" spans="1:22">
      <c r="C6" s="1"/>
      <c r="D6" s="1"/>
      <c r="E6" s="1"/>
      <c r="F6" s="234"/>
      <c r="G6" s="1"/>
      <c r="H6" s="2"/>
      <c r="I6" s="1"/>
      <c r="J6" s="1"/>
      <c r="K6" s="1"/>
      <c r="L6" s="1"/>
      <c r="M6" s="1"/>
      <c r="N6" s="1"/>
      <c r="O6" s="1"/>
      <c r="P6" s="99" t="s">
        <v>224</v>
      </c>
      <c r="Q6" s="1"/>
      <c r="R6" s="1"/>
      <c r="S6" s="1"/>
      <c r="T6" s="1"/>
      <c r="U6" s="1"/>
    </row>
    <row r="7" spans="1:22">
      <c r="C7" s="253" t="s">
        <v>15</v>
      </c>
      <c r="D7" s="254"/>
      <c r="E7" s="254"/>
      <c r="F7" s="254"/>
      <c r="G7" s="254"/>
      <c r="H7" s="254"/>
      <c r="I7" s="254"/>
      <c r="J7" s="254"/>
      <c r="K7" s="254"/>
      <c r="L7" s="254"/>
      <c r="M7" s="254"/>
      <c r="N7" s="254"/>
      <c r="O7" s="254"/>
      <c r="P7" s="254"/>
      <c r="Q7" s="254"/>
      <c r="R7" s="254"/>
      <c r="S7" s="254"/>
      <c r="T7" s="254"/>
      <c r="U7" s="254"/>
      <c r="V7" s="255"/>
    </row>
    <row r="8" spans="1:22">
      <c r="C8" s="256"/>
      <c r="D8" s="257"/>
      <c r="E8" s="257"/>
      <c r="F8" s="257"/>
      <c r="G8" s="257"/>
      <c r="H8" s="257"/>
      <c r="I8" s="257"/>
      <c r="J8" s="257"/>
      <c r="K8" s="257"/>
      <c r="L8" s="257"/>
      <c r="M8" s="257"/>
      <c r="N8" s="257"/>
      <c r="O8" s="257"/>
      <c r="P8" s="257"/>
      <c r="Q8" s="257"/>
      <c r="R8" s="257"/>
      <c r="S8" s="257"/>
      <c r="T8" s="257"/>
      <c r="U8" s="257"/>
      <c r="V8" s="258"/>
    </row>
    <row r="9" spans="1:22">
      <c r="B9" t="s">
        <v>103</v>
      </c>
      <c r="C9" s="19" t="s">
        <v>77</v>
      </c>
      <c r="D9" s="19"/>
      <c r="E9" s="17"/>
      <c r="F9" s="17"/>
      <c r="G9" s="17"/>
      <c r="H9" s="18"/>
      <c r="I9" s="17"/>
      <c r="J9" s="17"/>
      <c r="K9" s="17"/>
      <c r="L9" s="17"/>
      <c r="M9" s="17"/>
      <c r="N9" s="17"/>
      <c r="O9" s="17"/>
      <c r="P9" s="17"/>
      <c r="Q9" s="17"/>
      <c r="R9" s="17"/>
      <c r="S9" s="17"/>
      <c r="T9" s="17"/>
      <c r="U9" s="17"/>
    </row>
    <row r="10" spans="1:22" ht="15" customHeight="1">
      <c r="B10" s="146" t="s">
        <v>155</v>
      </c>
      <c r="C10" s="168" t="s">
        <v>104</v>
      </c>
      <c r="D10" s="220"/>
      <c r="E10" s="177" t="s">
        <v>231</v>
      </c>
    </row>
    <row r="11" spans="1:22" ht="15" customHeight="1">
      <c r="B11" s="146" t="s">
        <v>156</v>
      </c>
      <c r="C11" s="168" t="s">
        <v>105</v>
      </c>
      <c r="D11" s="221"/>
      <c r="E11" s="177" t="s">
        <v>232</v>
      </c>
    </row>
    <row r="12" spans="1:22" ht="15" customHeight="1">
      <c r="B12" s="146" t="s">
        <v>157</v>
      </c>
      <c r="C12" s="168" t="s">
        <v>10</v>
      </c>
      <c r="D12" s="221"/>
      <c r="E12" s="179" t="s">
        <v>233</v>
      </c>
    </row>
    <row r="13" spans="1:22" ht="15" customHeight="1">
      <c r="B13" s="146" t="s">
        <v>158</v>
      </c>
      <c r="C13" s="168" t="s">
        <v>106</v>
      </c>
      <c r="D13" s="221"/>
      <c r="E13" s="180" t="s">
        <v>234</v>
      </c>
    </row>
    <row r="14" spans="1:22" ht="15" customHeight="1">
      <c r="B14" s="146" t="s">
        <v>159</v>
      </c>
      <c r="C14" s="168" t="s">
        <v>107</v>
      </c>
      <c r="D14" s="221"/>
      <c r="E14" s="181" t="s">
        <v>141</v>
      </c>
    </row>
    <row r="15" spans="1:22" ht="15" customHeight="1">
      <c r="B15" s="146" t="s">
        <v>160</v>
      </c>
      <c r="C15" s="168" t="s">
        <v>26</v>
      </c>
      <c r="D15" s="221"/>
      <c r="E15" s="182">
        <v>0.69</v>
      </c>
    </row>
    <row r="16" spans="1:22" ht="15" customHeight="1">
      <c r="B16" s="146" t="s">
        <v>161</v>
      </c>
      <c r="C16" s="168" t="s">
        <v>80</v>
      </c>
      <c r="D16" s="221"/>
      <c r="E16" s="179" t="s">
        <v>82</v>
      </c>
    </row>
    <row r="17" spans="1:5" ht="15" customHeight="1">
      <c r="B17" s="146" t="s">
        <v>154</v>
      </c>
      <c r="C17" s="169" t="s">
        <v>108</v>
      </c>
      <c r="D17" s="221"/>
      <c r="E17" s="179" t="s">
        <v>235</v>
      </c>
    </row>
    <row r="18" spans="1:5" ht="15" customHeight="1">
      <c r="B18" s="146" t="s">
        <v>153</v>
      </c>
      <c r="C18" s="168" t="s">
        <v>16</v>
      </c>
      <c r="D18" s="221"/>
      <c r="E18" s="183" t="s">
        <v>146</v>
      </c>
    </row>
    <row r="19" spans="1:5" ht="15" customHeight="1">
      <c r="B19" s="146" t="s">
        <v>149</v>
      </c>
      <c r="C19" s="168" t="s">
        <v>25</v>
      </c>
      <c r="D19" s="221"/>
      <c r="E19" s="184">
        <v>45292</v>
      </c>
    </row>
    <row r="20" spans="1:5" ht="15" customHeight="1">
      <c r="B20" s="146" t="s">
        <v>150</v>
      </c>
      <c r="C20" s="168" t="s">
        <v>109</v>
      </c>
      <c r="D20" s="221"/>
      <c r="E20" s="185">
        <v>0.14219999999999999</v>
      </c>
    </row>
    <row r="21" spans="1:5" ht="15" customHeight="1">
      <c r="B21" s="146" t="s">
        <v>151</v>
      </c>
      <c r="C21" s="168" t="s">
        <v>84</v>
      </c>
      <c r="D21" s="221"/>
      <c r="E21" s="178">
        <f t="array" ref="E21">IF(SUMPRODUCT((E16:E16="Renewing")*((E14:E14="Platinum")+(E14:E14="Gold")+(E14:E14="Silver")+(E14:E14="Bronze")+(E14:E14="Catastrophic")))=0, 0, ROUND(ROUND(SUMPRODUCT(1+E20:E20,E34:E34,E35:E35,--(E16:E16="Renewing")*((E14:E14="Platinum")+(E14:E14="Gold")+(E14:E14="Silver")+(E14:E14="Bronze")+(E14:E14="Catastrophic")))/SUMPRODUCT(E34:E34,E35:E35,--(E16:E16="Renewing")*((E14:E14="Platinum")+(E14:E14="Gold")+(E14:E14="Silver")+(E14:E14="Bronze")+(E14:E14="Catastrophic"))), 4)-1, 4))</f>
        <v>0.14219999999999999</v>
      </c>
    </row>
    <row r="22" spans="1:5" ht="15" customHeight="1">
      <c r="B22" s="148" t="s">
        <v>152</v>
      </c>
      <c r="C22" s="139" t="s">
        <v>212</v>
      </c>
      <c r="D22" s="222"/>
      <c r="E22" s="235">
        <f t="array" ref="E22">IF(SUMPRODUCT((E16:E16="Renewing")*((E14:E14="Platinum")+(E14:E14="Gold")+(E14:E14="Silver")+(E14:E14="Bronze")+(E14:E14="Catastrophic")))=0, 0, ROUND(ROUND(SUMPRODUCT(1+E20:E20,E34:E34,E35:E35,--(E16:E16="Renewing")*((E14:E14="Platinum")+(E14:E14="Gold")+(E14:E14="Silver")+(E14:E14="Bronze")+(E14:E14="Catastrophic")))/SUMPRODUCT(E34:E34,E35:E35,--(E16:E16="Renewing")*((E14:E14="Platinum")+(E14:E14="Gold")+(E14:E14="Silver")+(E14:E14="Bronze")+(E14:E14="Catastrophic"))), 4)-1, 4))</f>
        <v>0.14219999999999999</v>
      </c>
    </row>
    <row r="23" spans="1:5" ht="15" customHeight="1">
      <c r="E23" s="73"/>
    </row>
    <row r="24" spans="1:5" ht="15" customHeight="1">
      <c r="A24" s="71" t="s">
        <v>119</v>
      </c>
      <c r="C24" s="19" t="s">
        <v>110</v>
      </c>
      <c r="D24" s="19"/>
      <c r="E24" s="17"/>
    </row>
    <row r="25" spans="1:5" ht="15" customHeight="1">
      <c r="A25" s="149"/>
      <c r="B25" s="146" t="s">
        <v>162</v>
      </c>
      <c r="C25" s="152" t="s">
        <v>106</v>
      </c>
      <c r="D25" s="150" t="s">
        <v>2</v>
      </c>
      <c r="E25" s="90" t="str">
        <f>IF(E13&lt;&gt;"",E13,"")</f>
        <v>83978GA0110086</v>
      </c>
    </row>
    <row r="26" spans="1:5" ht="15" customHeight="1">
      <c r="A26" s="151">
        <f>'Wksh 1 - Market Experience'!E14</f>
        <v>4600408.45</v>
      </c>
      <c r="B26" s="146" t="s">
        <v>163</v>
      </c>
      <c r="C26" s="200" t="s">
        <v>86</v>
      </c>
      <c r="D26" s="198">
        <f>SUM(E26:E26)</f>
        <v>4600408.45</v>
      </c>
      <c r="E26" s="187">
        <v>4600408.45</v>
      </c>
    </row>
    <row r="27" spans="1:5" ht="15" customHeight="1">
      <c r="A27" s="153">
        <f>'Wksh 1 - Market Experience'!E15</f>
        <v>0</v>
      </c>
      <c r="B27" s="146" t="s">
        <v>164</v>
      </c>
      <c r="C27" s="200" t="s">
        <v>87</v>
      </c>
      <c r="D27" s="198">
        <f>SUM(E27:E27)</f>
        <v>0</v>
      </c>
      <c r="E27" s="187">
        <v>0</v>
      </c>
    </row>
    <row r="28" spans="1:5" ht="15" customHeight="1">
      <c r="A28" s="154"/>
      <c r="B28" s="146" t="s">
        <v>165</v>
      </c>
      <c r="C28" s="147" t="s">
        <v>111</v>
      </c>
      <c r="D28" s="201">
        <f>SUM(E28:E28)</f>
        <v>886996</v>
      </c>
      <c r="E28" s="187">
        <v>886996</v>
      </c>
    </row>
    <row r="29" spans="1:5" ht="15" customHeight="1">
      <c r="A29" s="154"/>
      <c r="B29" s="146" t="s">
        <v>166</v>
      </c>
      <c r="C29" s="156" t="s">
        <v>112</v>
      </c>
      <c r="D29" s="201">
        <f>SUM(E29:E29)</f>
        <v>0</v>
      </c>
      <c r="E29" s="187">
        <v>0</v>
      </c>
    </row>
    <row r="30" spans="1:5" ht="15" customHeight="1">
      <c r="A30" s="153">
        <f>'Wksh 1 - Market Experience'!E16</f>
        <v>3713412.62</v>
      </c>
      <c r="B30" s="146" t="s">
        <v>167</v>
      </c>
      <c r="C30" s="147" t="s">
        <v>113</v>
      </c>
      <c r="D30" s="201">
        <f>D26-D27-D28-D29</f>
        <v>3713412.45</v>
      </c>
      <c r="E30" s="217">
        <f>E26-E27-E28-E29</f>
        <v>3713412.45</v>
      </c>
    </row>
    <row r="31" spans="1:5" ht="15" customHeight="1">
      <c r="A31" s="153">
        <f>'Wksh 1 - Market Experience'!E17</f>
        <v>716566.58</v>
      </c>
      <c r="B31" s="146" t="s">
        <v>168</v>
      </c>
      <c r="C31" s="156" t="s">
        <v>114</v>
      </c>
      <c r="D31" s="201">
        <f>SUM(E31:E31)</f>
        <v>716566.58</v>
      </c>
      <c r="E31" s="187">
        <v>716566.58</v>
      </c>
    </row>
    <row r="32" spans="1:5" ht="15" customHeight="1">
      <c r="A32" s="153">
        <f>'Wksh 1 - Market Experience'!E18</f>
        <v>3350510.06</v>
      </c>
      <c r="B32" s="146" t="s">
        <v>169</v>
      </c>
      <c r="C32" s="156" t="s">
        <v>115</v>
      </c>
      <c r="D32" s="201">
        <f>SUM(E32:E32)</f>
        <v>3350510.06</v>
      </c>
      <c r="E32" s="187">
        <v>3350510.06</v>
      </c>
    </row>
    <row r="33" spans="1:9" ht="15" customHeight="1">
      <c r="A33" s="157">
        <f>'Wksh 1 - Market Experience'!E19</f>
        <v>3865</v>
      </c>
      <c r="B33" s="146" t="s">
        <v>170</v>
      </c>
      <c r="C33" s="156" t="s">
        <v>22</v>
      </c>
      <c r="D33" s="202">
        <f>SUM(E33:E33)</f>
        <v>3865</v>
      </c>
      <c r="E33" s="218">
        <v>3865</v>
      </c>
    </row>
    <row r="34" spans="1:9" ht="15" customHeight="1">
      <c r="A34" s="154"/>
      <c r="B34" s="146" t="s">
        <v>171</v>
      </c>
      <c r="C34" s="156" t="s">
        <v>116</v>
      </c>
      <c r="D34" s="202">
        <f>SUM(E34:E34)</f>
        <v>266</v>
      </c>
      <c r="E34" s="218">
        <v>266</v>
      </c>
      <c r="G34" s="5"/>
      <c r="H34" s="5"/>
    </row>
    <row r="35" spans="1:9" ht="15" customHeight="1">
      <c r="A35" s="149"/>
      <c r="B35" s="148" t="s">
        <v>172</v>
      </c>
      <c r="C35" s="138" t="s">
        <v>117</v>
      </c>
      <c r="D35" s="203">
        <f>SUMPRODUCT(E35:E35,E34:E34)/D34</f>
        <v>966.58</v>
      </c>
      <c r="E35" s="188">
        <v>966.58</v>
      </c>
      <c r="G35" s="5"/>
      <c r="H35" s="20"/>
    </row>
    <row r="36" spans="1:9" ht="15" customHeight="1">
      <c r="A36" s="149"/>
      <c r="B36" s="204" t="s">
        <v>173</v>
      </c>
      <c r="C36" s="205" t="s">
        <v>118</v>
      </c>
      <c r="D36" s="158">
        <f>D30/(D31+D32)</f>
        <v>0.9130421623921009</v>
      </c>
      <c r="E36" s="88">
        <f>E30/(E31+E32)</f>
        <v>0.9130421623921009</v>
      </c>
    </row>
    <row r="37" spans="1:9" ht="15" customHeight="1">
      <c r="A37" s="72"/>
      <c r="C37" s="76" t="s">
        <v>120</v>
      </c>
      <c r="D37" s="25"/>
      <c r="G37" s="5"/>
      <c r="H37" s="5"/>
      <c r="I37" s="5"/>
    </row>
    <row r="38" spans="1:9" ht="15" customHeight="1">
      <c r="A38" s="149"/>
      <c r="B38" s="146" t="s">
        <v>174</v>
      </c>
      <c r="C38" s="156" t="s">
        <v>86</v>
      </c>
      <c r="D38" s="86">
        <f>D26/D33</f>
        <v>1190.2738551099612</v>
      </c>
      <c r="E38" s="86">
        <f>E26/E33</f>
        <v>1190.2738551099612</v>
      </c>
    </row>
    <row r="39" spans="1:9" ht="15" customHeight="1">
      <c r="A39" s="149"/>
      <c r="B39" s="146" t="s">
        <v>175</v>
      </c>
      <c r="C39" s="156" t="s">
        <v>87</v>
      </c>
      <c r="D39" s="86">
        <f>D27/D33</f>
        <v>0</v>
      </c>
      <c r="E39" s="86">
        <f>E27/E33</f>
        <v>0</v>
      </c>
    </row>
    <row r="40" spans="1:9" ht="15" customHeight="1">
      <c r="A40" s="149"/>
      <c r="B40" s="146" t="s">
        <v>176</v>
      </c>
      <c r="C40" s="156" t="s">
        <v>111</v>
      </c>
      <c r="D40" s="86">
        <f>D28/D33</f>
        <v>229.49443725743856</v>
      </c>
      <c r="E40" s="86">
        <f>E28/E33</f>
        <v>229.49443725743856</v>
      </c>
    </row>
    <row r="41" spans="1:9" ht="15" customHeight="1">
      <c r="A41" s="149"/>
      <c r="B41" s="146" t="s">
        <v>177</v>
      </c>
      <c r="C41" s="156" t="s">
        <v>112</v>
      </c>
      <c r="D41" s="86">
        <f>D29/D33</f>
        <v>0</v>
      </c>
      <c r="E41" s="86">
        <f>E29/E33</f>
        <v>0</v>
      </c>
    </row>
    <row r="42" spans="1:9" ht="15" customHeight="1">
      <c r="A42" s="149"/>
      <c r="B42" s="146" t="s">
        <v>178</v>
      </c>
      <c r="C42" s="156" t="s">
        <v>113</v>
      </c>
      <c r="D42" s="86">
        <f>D30/D33</f>
        <v>960.77941785252267</v>
      </c>
      <c r="E42" s="86">
        <f>E30/E33</f>
        <v>960.77941785252267</v>
      </c>
    </row>
    <row r="43" spans="1:9" ht="15" customHeight="1">
      <c r="A43" s="149"/>
      <c r="B43" s="146" t="s">
        <v>179</v>
      </c>
      <c r="C43" s="156" t="s">
        <v>114</v>
      </c>
      <c r="D43" s="86">
        <f>D31/D33</f>
        <v>185.39885640362223</v>
      </c>
      <c r="E43" s="86">
        <f>E31/E33</f>
        <v>185.39885640362223</v>
      </c>
    </row>
    <row r="44" spans="1:9" ht="15" customHeight="1">
      <c r="A44" s="149"/>
      <c r="B44" s="148" t="s">
        <v>180</v>
      </c>
      <c r="C44" s="155" t="s">
        <v>115</v>
      </c>
      <c r="D44" s="86">
        <f>D32/D33</f>
        <v>866.88487968952131</v>
      </c>
      <c r="E44" s="86">
        <f>E32/E33</f>
        <v>866.88487968952131</v>
      </c>
    </row>
    <row r="45" spans="1:9" ht="15" customHeight="1"/>
    <row r="46" spans="1:9" ht="15" customHeight="1">
      <c r="C46" s="76" t="s">
        <v>121</v>
      </c>
    </row>
    <row r="47" spans="1:9" ht="15" customHeight="1">
      <c r="B47" s="146" t="s">
        <v>181</v>
      </c>
      <c r="C47" s="163" t="s">
        <v>106</v>
      </c>
      <c r="D47" s="165"/>
      <c r="E47" s="191" t="str">
        <f>IF(E13&lt;&gt;"",E13,"")</f>
        <v>83978GA0110086</v>
      </c>
    </row>
    <row r="48" spans="1:9" ht="15" customHeight="1">
      <c r="B48" s="146" t="s">
        <v>182</v>
      </c>
      <c r="C48" s="163" t="s">
        <v>122</v>
      </c>
      <c r="D48" s="166"/>
      <c r="E48" s="236">
        <f>'Wksh 1 - Market Experience'!F46</f>
        <v>1179.19</v>
      </c>
    </row>
    <row r="49" spans="2:5" ht="15" customHeight="1">
      <c r="B49" s="146" t="s">
        <v>183</v>
      </c>
      <c r="C49" s="163" t="s">
        <v>123</v>
      </c>
      <c r="D49" s="166"/>
      <c r="E49" s="193">
        <v>0.73970000000000002</v>
      </c>
    </row>
    <row r="50" spans="2:5" ht="15" customHeight="1">
      <c r="B50" s="146" t="s">
        <v>184</v>
      </c>
      <c r="C50" s="163" t="s">
        <v>124</v>
      </c>
      <c r="D50" s="166"/>
      <c r="E50" s="193">
        <v>1</v>
      </c>
    </row>
    <row r="51" spans="2:5" ht="15" customHeight="1">
      <c r="B51" s="148" t="s">
        <v>185</v>
      </c>
      <c r="C51" s="164" t="s">
        <v>125</v>
      </c>
      <c r="D51" s="167"/>
      <c r="E51" s="193">
        <v>1</v>
      </c>
    </row>
    <row r="52" spans="2:5" ht="15" customHeight="1">
      <c r="C52" s="77" t="s">
        <v>133</v>
      </c>
    </row>
    <row r="53" spans="2:5" ht="15" customHeight="1">
      <c r="B53" s="146" t="s">
        <v>186</v>
      </c>
      <c r="C53" s="172" t="s">
        <v>134</v>
      </c>
      <c r="D53" s="165"/>
      <c r="E53" s="196">
        <v>5.8200000000000002E-2</v>
      </c>
    </row>
    <row r="54" spans="2:5" ht="15" customHeight="1">
      <c r="B54" s="146" t="s">
        <v>187</v>
      </c>
      <c r="C54" s="172" t="s">
        <v>135</v>
      </c>
      <c r="D54" s="166"/>
      <c r="E54" s="196">
        <v>3.7999999999999999E-2</v>
      </c>
    </row>
    <row r="55" spans="2:5" ht="15" customHeight="1">
      <c r="B55" s="146" t="s">
        <v>188</v>
      </c>
      <c r="C55" s="172" t="s">
        <v>12</v>
      </c>
      <c r="D55" s="166"/>
      <c r="E55" s="196">
        <v>5.6099999999999997E-2</v>
      </c>
    </row>
    <row r="56" spans="2:5" ht="15" customHeight="1">
      <c r="B56" s="146" t="s">
        <v>189</v>
      </c>
      <c r="C56" s="163" t="s">
        <v>126</v>
      </c>
      <c r="D56" s="166"/>
      <c r="E56" s="193">
        <v>1</v>
      </c>
    </row>
    <row r="57" spans="2:5" ht="15" customHeight="1">
      <c r="B57" s="148" t="s">
        <v>190</v>
      </c>
      <c r="C57" s="173" t="s">
        <v>79</v>
      </c>
      <c r="D57" s="167"/>
      <c r="E57" s="195">
        <f>($E$48*PRODUCT(E49:E51)*E56)/(1-SUM(E53:E55))</f>
        <v>1028.9569930399905</v>
      </c>
    </row>
    <row r="58" spans="2:5" ht="15" customHeight="1"/>
    <row r="59" spans="2:5" ht="15" customHeight="1">
      <c r="B59" s="146" t="s">
        <v>191</v>
      </c>
      <c r="C59" s="156" t="s">
        <v>127</v>
      </c>
      <c r="D59" s="208">
        <v>0.62429999999999997</v>
      </c>
      <c r="E59" s="206">
        <f>IF(D59&lt;&gt;"", D59, "")</f>
        <v>0.62429999999999997</v>
      </c>
    </row>
    <row r="60" spans="2:5" ht="15" customHeight="1">
      <c r="B60" s="146" t="s">
        <v>192</v>
      </c>
      <c r="C60" s="156" t="s">
        <v>128</v>
      </c>
      <c r="D60" s="208">
        <v>0.99560000000000004</v>
      </c>
      <c r="E60" s="206">
        <f>IF(D60&lt;&gt;"", D60, "")</f>
        <v>0.99560000000000004</v>
      </c>
    </row>
    <row r="61" spans="2:5" ht="15" customHeight="1">
      <c r="B61" s="146" t="s">
        <v>193</v>
      </c>
      <c r="C61" s="156" t="s">
        <v>129</v>
      </c>
      <c r="D61" s="208">
        <v>1</v>
      </c>
      <c r="E61" s="206">
        <f>IF(D61&lt;&gt;"", D61, "")</f>
        <v>1</v>
      </c>
    </row>
    <row r="62" spans="2:5" ht="15" customHeight="1">
      <c r="B62" s="148" t="s">
        <v>194</v>
      </c>
      <c r="C62" s="171" t="s">
        <v>136</v>
      </c>
      <c r="D62" s="170"/>
      <c r="E62" s="195">
        <f>E57*(PRODUCT($E$59:$E$61))</f>
        <v>639.55138821154469</v>
      </c>
    </row>
    <row r="63" spans="2:5" ht="15" customHeight="1"/>
    <row r="64" spans="2:5" ht="15" customHeight="1">
      <c r="C64" s="76" t="s">
        <v>130</v>
      </c>
    </row>
    <row r="65" spans="2:5" ht="15" customHeight="1">
      <c r="B65" s="146" t="s">
        <v>195</v>
      </c>
      <c r="C65" s="152" t="s">
        <v>106</v>
      </c>
      <c r="D65" s="174" t="s">
        <v>2</v>
      </c>
      <c r="E65" s="90" t="str">
        <f>IF(E13&lt;&gt;"",E13,"")</f>
        <v>83978GA0110086</v>
      </c>
    </row>
    <row r="66" spans="2:5" ht="15" customHeight="1">
      <c r="B66" s="146" t="s">
        <v>196</v>
      </c>
      <c r="C66" s="152" t="s">
        <v>86</v>
      </c>
      <c r="D66" s="159">
        <f>SUM(E66:E66)</f>
        <v>4026978.92</v>
      </c>
      <c r="E66" s="187">
        <v>4026978.92</v>
      </c>
    </row>
    <row r="67" spans="2:5" ht="15" customHeight="1">
      <c r="B67" s="146" t="s">
        <v>197</v>
      </c>
      <c r="C67" s="152" t="s">
        <v>87</v>
      </c>
      <c r="D67" s="159">
        <f>SUM(E67:E67)</f>
        <v>0</v>
      </c>
      <c r="E67" s="187">
        <v>0</v>
      </c>
    </row>
    <row r="68" spans="2:5" ht="15" customHeight="1">
      <c r="B68" s="146" t="s">
        <v>198</v>
      </c>
      <c r="C68" s="152" t="s">
        <v>111</v>
      </c>
      <c r="D68" s="159">
        <f>SUM(E68:E68)</f>
        <v>1048442.1</v>
      </c>
      <c r="E68" s="187">
        <v>1048442.1</v>
      </c>
    </row>
    <row r="69" spans="2:5" ht="15" customHeight="1">
      <c r="B69" s="146" t="s">
        <v>199</v>
      </c>
      <c r="C69" s="152" t="s">
        <v>112</v>
      </c>
      <c r="D69" s="159">
        <f>SUM(E69:E69)</f>
        <v>0</v>
      </c>
      <c r="E69" s="187">
        <v>0</v>
      </c>
    </row>
    <row r="70" spans="2:5" ht="15" customHeight="1">
      <c r="B70" s="146" t="s">
        <v>200</v>
      </c>
      <c r="C70" s="152" t="s">
        <v>113</v>
      </c>
      <c r="D70" s="159">
        <f>D66-D67-D68-D69</f>
        <v>2978536.82</v>
      </c>
      <c r="E70" s="159">
        <f>E66-E67-E68-E69</f>
        <v>2978536.82</v>
      </c>
    </row>
    <row r="71" spans="2:5" ht="15" customHeight="1">
      <c r="B71" s="146" t="s">
        <v>201</v>
      </c>
      <c r="C71" s="152" t="s">
        <v>114</v>
      </c>
      <c r="D71" s="159">
        <f>SUM(E71:E71)</f>
        <v>194344.66</v>
      </c>
      <c r="E71" s="187">
        <v>194344.66</v>
      </c>
    </row>
    <row r="72" spans="2:5" ht="15" customHeight="1">
      <c r="B72" s="146" t="s">
        <v>202</v>
      </c>
      <c r="C72" s="152" t="s">
        <v>115</v>
      </c>
      <c r="D72" s="159">
        <f>SUM(E72:E72)</f>
        <v>3284307.67</v>
      </c>
      <c r="E72" s="187">
        <v>3284307.67</v>
      </c>
    </row>
    <row r="73" spans="2:5" ht="15" customHeight="1">
      <c r="B73" s="146" t="s">
        <v>203</v>
      </c>
      <c r="C73" s="152" t="s">
        <v>4</v>
      </c>
      <c r="D73" s="176">
        <f>SUM(E73:E73)</f>
        <v>3192</v>
      </c>
      <c r="E73" s="218">
        <v>3192</v>
      </c>
    </row>
    <row r="74" spans="2:5" ht="15" customHeight="1">
      <c r="B74" s="148" t="s">
        <v>204</v>
      </c>
      <c r="C74" s="170" t="s">
        <v>118</v>
      </c>
      <c r="D74" s="89">
        <f>D70/(D71+D72)</f>
        <v>0.85623297111729468</v>
      </c>
      <c r="E74" s="89">
        <f>E70/(E71+E72)</f>
        <v>0.85623297111729468</v>
      </c>
    </row>
    <row r="75" spans="2:5" ht="15" customHeight="1">
      <c r="C75" s="78" t="s">
        <v>120</v>
      </c>
    </row>
    <row r="76" spans="2:5" ht="15" customHeight="1">
      <c r="B76" s="146" t="s">
        <v>205</v>
      </c>
      <c r="C76" s="152" t="s">
        <v>86</v>
      </c>
      <c r="D76" s="107">
        <f>D66/D73</f>
        <v>1261.5848746867168</v>
      </c>
      <c r="E76" s="107">
        <f>E66/E73</f>
        <v>1261.5848746867168</v>
      </c>
    </row>
    <row r="77" spans="2:5" ht="15" customHeight="1">
      <c r="B77" s="146" t="s">
        <v>206</v>
      </c>
      <c r="C77" s="152" t="s">
        <v>87</v>
      </c>
      <c r="D77" s="86">
        <f>D67/D73</f>
        <v>0</v>
      </c>
      <c r="E77" s="86">
        <f>E67/E73</f>
        <v>0</v>
      </c>
    </row>
    <row r="78" spans="2:5" ht="15" customHeight="1">
      <c r="B78" s="146" t="s">
        <v>207</v>
      </c>
      <c r="C78" s="152" t="s">
        <v>111</v>
      </c>
      <c r="D78" s="107">
        <f>D68/D73</f>
        <v>328.45930451127816</v>
      </c>
      <c r="E78" s="107">
        <f>E68/E73</f>
        <v>328.45930451127816</v>
      </c>
    </row>
    <row r="79" spans="2:5" ht="15" customHeight="1">
      <c r="B79" s="146" t="s">
        <v>208</v>
      </c>
      <c r="C79" s="152" t="s">
        <v>112</v>
      </c>
      <c r="D79" s="107">
        <f>D69/D73</f>
        <v>0</v>
      </c>
      <c r="E79" s="107">
        <f>E69/E73</f>
        <v>0</v>
      </c>
    </row>
    <row r="80" spans="2:5" ht="15" customHeight="1">
      <c r="B80" s="146" t="s">
        <v>209</v>
      </c>
      <c r="C80" s="152" t="s">
        <v>113</v>
      </c>
      <c r="D80" s="107">
        <f>D70/D73</f>
        <v>933.1255701754385</v>
      </c>
      <c r="E80" s="107">
        <f>E70/E73</f>
        <v>933.1255701754385</v>
      </c>
    </row>
    <row r="81" spans="2:5" ht="15" customHeight="1">
      <c r="B81" s="146" t="s">
        <v>210</v>
      </c>
      <c r="C81" s="152" t="s">
        <v>114</v>
      </c>
      <c r="D81" s="107">
        <f>D71/D73</f>
        <v>60.884918546365917</v>
      </c>
      <c r="E81" s="107">
        <f>E71/E73</f>
        <v>60.884918546365917</v>
      </c>
    </row>
    <row r="82" spans="2:5" ht="15" customHeight="1">
      <c r="B82" s="148" t="s">
        <v>211</v>
      </c>
      <c r="C82" s="170" t="s">
        <v>115</v>
      </c>
      <c r="D82" s="107">
        <f>D72/D73</f>
        <v>1028.9184429824561</v>
      </c>
      <c r="E82" s="107">
        <f>E72/E73</f>
        <v>1028.9184429824561</v>
      </c>
    </row>
    <row r="83" spans="2:5" ht="15" customHeight="1"/>
  </sheetData>
  <sheetProtection algorithmName="SHA-512" hashValue="ttIdoEeQUie8iQqzfU4Ar3eerT20WpIwfgtre8CSyhx70ffoJg6kNr4WE21DmH3RtboeGkhSxrPIHtgpUskIkw==" saltValue="XWkWO0Dx2KaZrJOhxOuT8A==" spinCount="100000" sheet="1" objects="1"/>
  <mergeCells count="1">
    <mergeCell ref="C7:V8"/>
  </mergeCells>
  <dataValidations disablePrompts="1"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704F97E2-D9DF-4D6A-AC66-C10FD1DC1178}">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 xr:uid="{F2D782F0-C04E-4737-82E1-6E4185005D60}"/>
    <dataValidation allowBlank="1" showInputMessage="1" showErrorMessage="1" promptTitle="Required:" prompt="Enter the Risk Adjustment Transfer Amount for the benefit plan for the projection period as a dollar value with up to 16 characters including decimal place." sqref="E71" xr:uid="{FFF44468-C1EA-458A-89E4-636F93D3F845}"/>
    <dataValidation allowBlank="1" showInputMessage="1" showErrorMessage="1" promptTitle="Required:" prompt="Enter the Cost Sharing Reduction for the benefit plan for the projection period as a dollar value with up to 16 characters including decimal place." sqref="E69" xr:uid="{4ED99B27-6C5C-4609-A567-AB05EDC292F8}"/>
    <dataValidation allowBlank="1" showInputMessage="1" showErrorMessage="1" promptTitle="Required:" prompt="Enter the Member Cost Sharing for the benefit plan for the projection period as a dollar value with up to 16 characters including decimal place." sqref="E68" xr:uid="{1A87A7ED-61D0-4D43-B95A-2CA9A4E8FCA2}"/>
    <dataValidation allowBlank="1" showInputMessage="1" showErrorMessage="1" promptTitle="Required:" prompt="Enter the Reinsurance for the benefit plan for the projection period as a dollar value with up to 16 characters including decimal place." sqref="E67" xr:uid="{5D0C832A-C55C-4B3F-A890-FCB403CFB65B}"/>
    <dataValidation allowBlank="1" showInputMessage="1" showErrorMessage="1" promptTitle="Required:" prompt="Enter the total allowed claims for the benefit plan for the projection period as a dollar value with up to 16 characters including decimal place." sqref="E66" xr:uid="{03500F37-3193-4B7D-BDA5-77F33E8BA6FD}"/>
    <dataValidation allowBlank="1" showInputMessage="1" showErrorMessage="1" promptTitle="Required:" prompt="Enter the Catastrophic Adjustment for each plan as a numeric value greater than or equal to 0 with up to 16 characters including decimal place." sqref="E56" xr:uid="{9B7ED4C6-153A-4949-9007-7901C0AA4EA1}"/>
    <dataValidation allowBlank="1" showInputMessage="1" showErrorMessage="1" promptTitle="Required:" prompt="Enter the Profit and Risk Load as a percentage up to 16 characters including decimal place." sqref="E55" xr:uid="{D137E672-850B-4A87-A65E-914853C84BAE}"/>
    <dataValidation allowBlank="1" showInputMessage="1" showErrorMessage="1" promptTitle="Required:" prompt="Enter the Taxes and Fees as a percentage up to 16 characters including decimal place." sqref="E54" xr:uid="{B2D2D096-CC2E-42F2-BD2D-CDA84F0900D1}"/>
    <dataValidation allowBlank="1" showInputMessage="1" showErrorMessage="1" promptTitle="Required:" prompt="Enter the Administrative Expense as a percentage up to 16 characters including decimal place." sqref="E53" xr:uid="{F0B0816A-B0B4-40AB-99B7-84BCF0F9C623}"/>
    <dataValidation allowBlank="1" showInputMessage="1" showErrorMessage="1" promptTitle="Required:" prompt="Enter the Benefits in Addition to EHB as a numeric value up to 16 characters including decimal place." sqref="E51" xr:uid="{E6A6F211-17D0-437C-9B69-AE6AD726261A}"/>
    <dataValidation allowBlank="1" showInputMessage="1" showErrorMessage="1" promptTitle="Required:" prompt="Enter the Provider Network Adjustment as a numeric value up to 16 characters including decimal place." sqref="E50" xr:uid="{40CE6DFE-B351-4120-A23D-10DD1C0BF7B3}"/>
    <dataValidation allowBlank="1" showInputMessage="1" showErrorMessage="1" promptTitle="Required:" prompt="Enter the AV Cost Sharing Design of Plan as a numeric value up to 16 characters including decimal place." sqref="E49" xr:uid="{5A167D82-95B7-415A-8097-BB3E3A0D0DA4}"/>
    <dataValidation allowBlank="1" showInputMessage="1" showErrorMessage="1" promptTitle="Required:" prompt="Enter the Current Premium PMPM as a dollar amount greater than or equal to 0, with up to 16 characters including decimal place." sqref="E35" xr:uid="{1D592116-F455-4278-9820-4778FBD79317}"/>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427F49D4-5777-451E-A009-10D8568A74E9}">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7DE32004-F919-4AA4-8946-67F7BB5187FC}">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 xr:uid="{2B6B535B-1623-4788-BA1B-A92720C9E450}"/>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F65943FB-18E7-40BA-AAD8-584C3C5E83BD}"/>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52A572CC-3E4D-4D81-ABFF-DA0E5028E0AC}">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 xr:uid="{87E33C84-6262-4D8E-B937-81E3D1A2DFCA}"/>
    <dataValidation allowBlank="1" showInputMessage="1" showErrorMessage="1" promptTitle="Required:" prompt="Enter the Member Cost Sharing for the benefit plan with service dates within the experience period as a dollar value with up to 16 characters including decimal place." sqref="E28" xr:uid="{39B66369-988E-449F-BF37-DB6738B04386}"/>
    <dataValidation allowBlank="1" showInputMessage="1" showErrorMessage="1" promptTitle="Required:" prompt="Enter Reinsurance for the benefit plan with service dates within the experience period as a dollar value with up to 16 characters including decimal place." sqref="E27" xr:uid="{280F0074-D9CA-4D7B-8C67-6A30684E0FA7}"/>
    <dataValidation allowBlank="1" showInputMessage="1" showErrorMessage="1" promptTitle="Required:" prompt="Enter the total allowed claims for the benefit plan with service dates within the experience period as a dollar value with up to 16 characters including decimal place." sqref="E26" xr:uid="{9186B3FC-791B-4F44-957C-07116EFD3982}"/>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51B4B46-9FCE-4328-BEA8-B791D278682C}"/>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07943750-0CE8-415D-8C60-1A2D44E5E358}">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749773D9-81AF-424D-8022-0CCA7E3C56AE}">
      <formula1>YesNo</formula1>
    </dataValidation>
    <dataValidation allowBlank="1" showInputMessage="1" showErrorMessage="1" promptTitle="Required:" prompt="Enter the AV Metal Value for the designated plan as a numeric value between 0 and 1, with up to 16 characters including decimal place." sqref="E15" xr:uid="{4842F3BB-F59A-4E0F-BFBE-17F838FAA60B}"/>
    <dataValidation type="list" operator="greaterThan" allowBlank="1" showInputMessage="1" showErrorMessage="1" errorTitle="Value not valid:" error="Select a value from the list." promptTitle="Required:" prompt="Select the Plan Category for the designated plan." sqref="E16" xr:uid="{217D0877-CDA0-44D3-A387-03D0A03EAFD8}">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A637B323-9D77-4096-A9EA-B97DE0168F6F}">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680E98E2-6122-426C-A1F1-5031E793934B}">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 xr:uid="{B12DA7D0-60F2-48D3-9A68-109E429880F9}">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C965D800-852D-4544-8942-478902B7D8B4}">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FB1EB83-4A7B-4F7B-BE1E-6FBCC7D2AD65}">
      <formula1>0</formula1>
      <formula2>100</formula2>
    </dataValidation>
    <dataValidation type="list" allowBlank="1" showInputMessage="1" showErrorMessage="1" errorTitle="Value not valid:" error="Select a value from the list." promptTitle="Required:" prompt="Select the Plan Type for the designated plan." sqref="E17" xr:uid="{2474487C-D3EE-4B77-AEC4-A81CE41B372D}">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114300</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election activeCell="E6" sqref="E6"/>
    </sheetView>
  </sheetViews>
  <sheetFormatPr defaultColWidth="0" defaultRowHeight="15"/>
  <cols>
    <col min="1" max="1" width="28.7109375" style="87" customWidth="1"/>
    <col min="2" max="2" width="28.7109375" style="91" customWidth="1"/>
    <col min="3" max="14" width="9.140625" customWidth="1"/>
    <col min="15" max="16384" width="9.140625" hidden="1"/>
  </cols>
  <sheetData>
    <row r="1" spans="1:5" ht="15.75">
      <c r="A1" s="81" t="s">
        <v>222</v>
      </c>
      <c r="B1"/>
      <c r="C1" s="99" t="s">
        <v>217</v>
      </c>
    </row>
    <row r="2" spans="1:5">
      <c r="A2" s="100" t="s">
        <v>227</v>
      </c>
      <c r="B2"/>
      <c r="C2" s="99" t="s">
        <v>218</v>
      </c>
    </row>
    <row r="3" spans="1:5">
      <c r="A3"/>
      <c r="B3"/>
      <c r="C3" s="99" t="s">
        <v>215</v>
      </c>
    </row>
    <row r="4" spans="1:5">
      <c r="A4"/>
      <c r="B4"/>
      <c r="C4" s="99" t="s">
        <v>216</v>
      </c>
    </row>
    <row r="5" spans="1:5">
      <c r="A5" s="79" t="s">
        <v>131</v>
      </c>
      <c r="B5" s="80" t="s">
        <v>132</v>
      </c>
      <c r="C5" s="99"/>
    </row>
    <row r="6" spans="1:5">
      <c r="A6" s="87" t="s">
        <v>236</v>
      </c>
      <c r="B6" s="91">
        <v>1.2944</v>
      </c>
      <c r="E6" s="233"/>
    </row>
    <row r="7" spans="1:5">
      <c r="A7" s="87" t="s">
        <v>237</v>
      </c>
      <c r="B7" s="91">
        <v>1.0587</v>
      </c>
    </row>
    <row r="8" spans="1:5">
      <c r="A8" s="87" t="s">
        <v>238</v>
      </c>
      <c r="B8" s="91">
        <v>1</v>
      </c>
    </row>
    <row r="9" spans="1:5">
      <c r="A9" s="87" t="s">
        <v>239</v>
      </c>
      <c r="B9" s="91">
        <v>1.1656</v>
      </c>
    </row>
    <row r="10" spans="1:5">
      <c r="A10" s="87" t="s">
        <v>240</v>
      </c>
      <c r="B10" s="91">
        <v>0.99050000000000005</v>
      </c>
    </row>
    <row r="11" spans="1:5">
      <c r="A11" s="87" t="s">
        <v>241</v>
      </c>
      <c r="B11" s="91">
        <v>1.1160000000000001</v>
      </c>
    </row>
    <row r="12" spans="1:5">
      <c r="A12" s="87" t="s">
        <v>242</v>
      </c>
      <c r="B12" s="91">
        <v>1.27</v>
      </c>
    </row>
    <row r="13" spans="1:5">
      <c r="A13" s="87" t="s">
        <v>243</v>
      </c>
      <c r="B13" s="91">
        <v>0.99219999999999997</v>
      </c>
    </row>
    <row r="14" spans="1:5">
      <c r="A14" s="87" t="s">
        <v>244</v>
      </c>
      <c r="B14" s="91">
        <v>1.1345000000000001</v>
      </c>
    </row>
    <row r="15" spans="1:5">
      <c r="A15" s="87" t="s">
        <v>245</v>
      </c>
      <c r="B15" s="91">
        <v>1.0851999999999999</v>
      </c>
    </row>
    <row r="16" spans="1:5">
      <c r="A16" s="87" t="s">
        <v>246</v>
      </c>
      <c r="B16" s="91">
        <v>1.1657</v>
      </c>
    </row>
    <row r="17" spans="1:2">
      <c r="A17" s="87" t="s">
        <v>247</v>
      </c>
      <c r="B17" s="91">
        <v>0.9929</v>
      </c>
    </row>
    <row r="18" spans="1:2">
      <c r="A18" s="87" t="s">
        <v>248</v>
      </c>
      <c r="B18" s="91">
        <v>1.1396999999999999</v>
      </c>
    </row>
    <row r="19" spans="1:2">
      <c r="A19" s="87" t="s">
        <v>249</v>
      </c>
      <c r="B19" s="91">
        <v>1.0370999999999999</v>
      </c>
    </row>
    <row r="20" spans="1:2">
      <c r="A20" s="87" t="s">
        <v>250</v>
      </c>
      <c r="B20" s="91">
        <v>1.2270000000000001</v>
      </c>
    </row>
    <row r="21" spans="1:2">
      <c r="A21" s="87" t="s">
        <v>251</v>
      </c>
      <c r="B21" s="91">
        <v>1.0976999999999999</v>
      </c>
    </row>
  </sheetData>
  <sheetProtection algorithmName="SHA-512" hashValue="alq4l10kd9LTJbgex2R9LtGYghAJke8MV4VKE7BIo1JlQpfxrF8xR+WgZKHWnf8fY4iXEYNRUck00ZSTQp1MRg==" saltValue="ZI6Lb66WZrAVPqfT9UOO7g==" spinCount="100000" sheet="1" objects="1" scenarios="1"/>
  <dataValidations disablePrompts="1"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Aetna Life Insurance Company</v>
      </c>
      <c r="F3" s="3"/>
      <c r="G3" s="21"/>
      <c r="J3" s="1"/>
      <c r="K3" s="1"/>
      <c r="N3" s="6" t="s">
        <v>7</v>
      </c>
      <c r="O3" s="74" t="str">
        <f>IF('Wksh 1 - Market Experience'!E4="","",'Wksh 1 - Market Experience'!E4)</f>
        <v>GA</v>
      </c>
      <c r="P3" s="1"/>
    </row>
    <row r="4" spans="2:23" ht="18.75">
      <c r="C4" s="7" t="s">
        <v>6</v>
      </c>
      <c r="D4" s="4">
        <f>IF('Wksh 1 - Market Experience'!C4&lt;&gt;"", 'Wksh 1 - Market Experience'!C4,"")</f>
        <v>83978</v>
      </c>
      <c r="F4" s="3"/>
      <c r="G4" s="68"/>
      <c r="J4" s="1"/>
      <c r="K4" s="1"/>
      <c r="N4" s="6" t="s">
        <v>9</v>
      </c>
      <c r="O4" s="74" t="str">
        <f>IF('Wksh 1 - Market Experience'!E5="","",'Wksh 1 - Market Experience'!E5)</f>
        <v>Small Group</v>
      </c>
      <c r="P4" s="1"/>
    </row>
    <row r="5" spans="2:23" ht="18.75">
      <c r="C5" s="6" t="s">
        <v>14</v>
      </c>
      <c r="D5" s="83" t="e">
        <f>IF('Wksh 1 - Market Experience'!#REF!&lt;&gt;"", 'Wksh 1 - Market Experience'!#REF!,"")</f>
        <v>#REF!</v>
      </c>
      <c r="F5" s="3"/>
      <c r="G5" s="259"/>
      <c r="H5" s="259"/>
      <c r="I5" s="260"/>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6" t="s">
        <v>155</v>
      </c>
      <c r="C10" s="147" t="s">
        <v>104</v>
      </c>
      <c r="D10" s="261"/>
      <c r="E10" s="177"/>
      <c r="I10" s="70"/>
      <c r="J10" s="70"/>
      <c r="K10" s="70" t="s">
        <v>236</v>
      </c>
      <c r="L10" s="67" t="s">
        <v>27</v>
      </c>
      <c r="M10" s="70" t="s">
        <v>81</v>
      </c>
      <c r="N10" s="70" t="s">
        <v>139</v>
      </c>
      <c r="O10" s="70" t="s">
        <v>145</v>
      </c>
    </row>
    <row r="11" spans="2:23">
      <c r="B11" s="146" t="s">
        <v>156</v>
      </c>
      <c r="C11" s="147" t="s">
        <v>105</v>
      </c>
      <c r="D11" s="262"/>
      <c r="E11" s="177"/>
      <c r="I11" s="70"/>
      <c r="J11" s="70"/>
      <c r="K11" s="70" t="s">
        <v>237</v>
      </c>
      <c r="L11" s="67" t="s">
        <v>28</v>
      </c>
      <c r="M11" s="70" t="s">
        <v>82</v>
      </c>
      <c r="N11" s="70" t="s">
        <v>140</v>
      </c>
      <c r="O11" s="70" t="s">
        <v>146</v>
      </c>
    </row>
    <row r="12" spans="2:23">
      <c r="B12" s="146" t="s">
        <v>157</v>
      </c>
      <c r="C12" s="147" t="s">
        <v>10</v>
      </c>
      <c r="D12" s="262"/>
      <c r="E12" s="179"/>
      <c r="I12" s="70"/>
      <c r="J12" s="70"/>
      <c r="K12" s="70" t="s">
        <v>238</v>
      </c>
      <c r="L12" s="67" t="s">
        <v>29</v>
      </c>
      <c r="M12" s="70" t="s">
        <v>83</v>
      </c>
      <c r="N12" s="70" t="s">
        <v>141</v>
      </c>
    </row>
    <row r="13" spans="2:23">
      <c r="B13" s="146" t="s">
        <v>158</v>
      </c>
      <c r="C13" s="147" t="s">
        <v>106</v>
      </c>
      <c r="D13" s="262"/>
      <c r="E13" s="180"/>
      <c r="I13" s="70"/>
      <c r="K13" s="70" t="s">
        <v>239</v>
      </c>
      <c r="L13" s="67" t="s">
        <v>30</v>
      </c>
      <c r="N13" s="70" t="s">
        <v>142</v>
      </c>
    </row>
    <row r="14" spans="2:23">
      <c r="B14" s="146" t="s">
        <v>159</v>
      </c>
      <c r="C14" s="147" t="s">
        <v>107</v>
      </c>
      <c r="D14" s="262"/>
      <c r="E14" s="181"/>
      <c r="K14" s="70" t="s">
        <v>240</v>
      </c>
      <c r="L14" s="67" t="s">
        <v>31</v>
      </c>
      <c r="N14" s="70" t="s">
        <v>143</v>
      </c>
    </row>
    <row r="15" spans="2:23">
      <c r="B15" s="146" t="s">
        <v>160</v>
      </c>
      <c r="C15" s="147" t="s">
        <v>26</v>
      </c>
      <c r="D15" s="262"/>
      <c r="E15" s="182"/>
      <c r="K15" s="70" t="s">
        <v>241</v>
      </c>
      <c r="L15" s="67" t="s">
        <v>32</v>
      </c>
      <c r="N15" s="70" t="s">
        <v>144</v>
      </c>
    </row>
    <row r="16" spans="2:23">
      <c r="B16" s="146" t="s">
        <v>161</v>
      </c>
      <c r="C16" s="147" t="s">
        <v>80</v>
      </c>
      <c r="D16" s="262"/>
      <c r="E16" s="179"/>
      <c r="K16" t="s">
        <v>242</v>
      </c>
      <c r="L16" s="67" t="s">
        <v>33</v>
      </c>
    </row>
    <row r="17" spans="1:12">
      <c r="B17" s="146" t="s">
        <v>154</v>
      </c>
      <c r="C17" s="147" t="s">
        <v>108</v>
      </c>
      <c r="D17" s="262"/>
      <c r="E17" s="179"/>
      <c r="K17" t="s">
        <v>243</v>
      </c>
      <c r="L17" s="67" t="s">
        <v>35</v>
      </c>
    </row>
    <row r="18" spans="1:12">
      <c r="B18" s="146" t="s">
        <v>153</v>
      </c>
      <c r="C18" s="147" t="s">
        <v>16</v>
      </c>
      <c r="D18" s="262"/>
      <c r="E18" s="183"/>
      <c r="K18" t="s">
        <v>244</v>
      </c>
      <c r="L18" s="67" t="s">
        <v>34</v>
      </c>
    </row>
    <row r="19" spans="1:12">
      <c r="B19" s="146" t="s">
        <v>149</v>
      </c>
      <c r="C19" s="147" t="s">
        <v>25</v>
      </c>
      <c r="D19" s="262"/>
      <c r="E19" s="184"/>
      <c r="K19" t="s">
        <v>245</v>
      </c>
      <c r="L19" s="67" t="s">
        <v>36</v>
      </c>
    </row>
    <row r="20" spans="1:12">
      <c r="B20" s="146" t="s">
        <v>150</v>
      </c>
      <c r="C20" s="147" t="s">
        <v>109</v>
      </c>
      <c r="D20" s="262"/>
      <c r="E20" s="185"/>
      <c r="K20" t="s">
        <v>246</v>
      </c>
      <c r="L20" s="67" t="s">
        <v>37</v>
      </c>
    </row>
    <row r="21" spans="1:12">
      <c r="B21" s="146" t="s">
        <v>151</v>
      </c>
      <c r="C21" s="147" t="s">
        <v>84</v>
      </c>
      <c r="D21" s="262"/>
      <c r="E21" s="178"/>
      <c r="K21" t="s">
        <v>247</v>
      </c>
      <c r="L21" s="67" t="s">
        <v>38</v>
      </c>
    </row>
    <row r="22" spans="1:12">
      <c r="B22" s="148" t="s">
        <v>152</v>
      </c>
      <c r="C22" s="138" t="s">
        <v>212</v>
      </c>
      <c r="D22" s="263"/>
      <c r="E22" s="178"/>
      <c r="K22" t="s">
        <v>248</v>
      </c>
      <c r="L22" s="67" t="s">
        <v>39</v>
      </c>
    </row>
    <row r="23" spans="1:12">
      <c r="E23" s="73"/>
      <c r="K23" t="s">
        <v>249</v>
      </c>
      <c r="L23" s="67" t="s">
        <v>40</v>
      </c>
    </row>
    <row r="24" spans="1:12" ht="18.75">
      <c r="A24" s="6"/>
      <c r="B24" s="75"/>
      <c r="C24" s="78" t="s">
        <v>110</v>
      </c>
      <c r="D24" s="1"/>
      <c r="E24" s="17"/>
      <c r="K24" t="s">
        <v>250</v>
      </c>
      <c r="L24" s="67" t="s">
        <v>41</v>
      </c>
    </row>
    <row r="25" spans="1:12" ht="18.75">
      <c r="A25" s="6"/>
      <c r="B25" s="146" t="s">
        <v>162</v>
      </c>
      <c r="C25" s="147" t="s">
        <v>106</v>
      </c>
      <c r="D25" s="186" t="s">
        <v>2</v>
      </c>
      <c r="E25" s="90" t="str">
        <f>IF(E13&lt;&gt;"",E13,"")</f>
        <v/>
      </c>
      <c r="K25" t="s">
        <v>251</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64"/>
      <c r="E47" s="191" t="str">
        <f>IF(E13&lt;&gt;"",E13,"")</f>
        <v/>
      </c>
      <c r="L47" s="67" t="s">
        <v>64</v>
      </c>
    </row>
    <row r="48" spans="1:12" ht="18.75">
      <c r="A48" s="6"/>
      <c r="B48" s="146" t="s">
        <v>182</v>
      </c>
      <c r="C48" s="189" t="s">
        <v>122</v>
      </c>
      <c r="D48" s="265"/>
      <c r="E48" s="192">
        <f>'Wksh 1 - Market Experience'!F46</f>
        <v>1179.19</v>
      </c>
      <c r="L48" s="67" t="s">
        <v>65</v>
      </c>
    </row>
    <row r="49" spans="1:12" ht="18.75">
      <c r="A49" s="6"/>
      <c r="B49" s="146" t="s">
        <v>183</v>
      </c>
      <c r="C49" s="189" t="s">
        <v>123</v>
      </c>
      <c r="D49" s="265"/>
      <c r="E49" s="193"/>
      <c r="L49" s="67" t="s">
        <v>66</v>
      </c>
    </row>
    <row r="50" spans="1:12" ht="18.75">
      <c r="A50" s="6"/>
      <c r="B50" s="146" t="s">
        <v>184</v>
      </c>
      <c r="C50" s="189" t="s">
        <v>124</v>
      </c>
      <c r="D50" s="265"/>
      <c r="E50" s="193"/>
      <c r="L50" s="67" t="s">
        <v>67</v>
      </c>
    </row>
    <row r="51" spans="1:12" ht="18.75">
      <c r="A51" s="6"/>
      <c r="B51" s="148" t="s">
        <v>185</v>
      </c>
      <c r="C51" s="190" t="s">
        <v>125</v>
      </c>
      <c r="D51" s="266"/>
      <c r="E51" s="193"/>
      <c r="L51" s="67" t="s">
        <v>68</v>
      </c>
    </row>
    <row r="52" spans="1:12" ht="18.75">
      <c r="A52" s="6"/>
      <c r="C52" s="82" t="s">
        <v>133</v>
      </c>
      <c r="D52" s="6"/>
      <c r="L52" s="67" t="s">
        <v>69</v>
      </c>
    </row>
    <row r="53" spans="1:12" ht="18.75">
      <c r="A53" s="6"/>
      <c r="B53" s="146" t="s">
        <v>186</v>
      </c>
      <c r="C53" s="172" t="s">
        <v>134</v>
      </c>
      <c r="D53" s="264"/>
      <c r="E53" s="196"/>
      <c r="F53" s="5"/>
      <c r="L53" s="67" t="s">
        <v>70</v>
      </c>
    </row>
    <row r="54" spans="1:12" ht="18.75">
      <c r="A54" s="6"/>
      <c r="B54" s="146" t="s">
        <v>187</v>
      </c>
      <c r="C54" s="172" t="s">
        <v>135</v>
      </c>
      <c r="D54" s="265"/>
      <c r="E54" s="196"/>
      <c r="F54" s="5"/>
      <c r="L54" s="67" t="s">
        <v>71</v>
      </c>
    </row>
    <row r="55" spans="1:12" ht="18.75">
      <c r="A55" s="6"/>
      <c r="B55" s="146" t="s">
        <v>188</v>
      </c>
      <c r="C55" s="172" t="s">
        <v>12</v>
      </c>
      <c r="D55" s="265"/>
      <c r="E55" s="196"/>
      <c r="F55" s="5"/>
      <c r="L55" s="67" t="s">
        <v>72</v>
      </c>
    </row>
    <row r="56" spans="1:12" ht="18.75">
      <c r="A56" s="6"/>
      <c r="B56" s="146" t="s">
        <v>189</v>
      </c>
      <c r="C56" s="189" t="s">
        <v>126</v>
      </c>
      <c r="D56" s="265"/>
      <c r="E56" s="193"/>
      <c r="F56" s="5"/>
      <c r="L56" s="67" t="s">
        <v>73</v>
      </c>
    </row>
    <row r="57" spans="1:12" ht="18.75">
      <c r="A57" s="6"/>
      <c r="B57" s="148" t="s">
        <v>190</v>
      </c>
      <c r="C57" s="194" t="s">
        <v>79</v>
      </c>
      <c r="D57" s="266"/>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hge6HQC33saUCdyVORNmY59P4XyNJNs7oCQNgXSMYymChspROOQPfXoZxl9PEh4z3xcZriX2V0AnDk+1SgIaNg==" saltValue="tJELIwGztNtqh4E+2CysBA=="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9FED3E5E-8048-48EC-B31F-53B7412C700A}"/>
</file>

<file path=customXml/itemProps3.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2023-06-22T17:38:45Z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y fmtid="{D5CDD505-2E9C-101B-9397-08002B2CF9AE}" pid="6" name="SV_QUERY_LIST_4F35BF76-6C0D-4D9B-82B2-816C12CF3733">
    <vt:lpwstr>empty_477D106A-C0D6-4607-AEBD-E2C9D60EA279</vt:lpwstr>
  </property>
  <property fmtid="{D5CDD505-2E9C-101B-9397-08002B2CF9AE}" pid="7" name="SV_HIDDEN_GRID_QUERY_LIST_4F35BF76-6C0D-4D9B-82B2-816C12CF3733">
    <vt:lpwstr>empty_477D106A-C0D6-4607-AEBD-E2C9D60EA279</vt:lpwstr>
  </property>
</Properties>
</file>