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R:\Life and Health\2023 Filings for 2024 Plan Year\URRT SG\"/>
    </mc:Choice>
  </mc:AlternateContent>
  <xr:revisionPtr revIDLastSave="0" documentId="8_{C94793A9-5589-40F8-8F87-33A3C957F3E0}" xr6:coauthVersionLast="47" xr6:coauthVersionMax="47" xr10:uidLastSave="{00000000-0000-0000-0000-000000000000}"/>
  <workbookProtection workbookAlgorithmName="SHA-512" workbookHashValue="7VbHqZtVfWkJ7YLlvZG4QvMmF+0PcddqEPcBtXK9NHLxRGV+ihPZQ/Ura21uLHDMh8CnbDu5eEs75c0XZel51g==" workbookSaltValue="zzQWUWAIXnIKC8t+A3WCDQ==" workbookSpinCount="100000" lockStructure="1"/>
  <bookViews>
    <workbookView xWindow="1170" yWindow="1170" windowWidth="17805" windowHeight="8430" tabRatio="515" firstSheet="1" activeTab="1" xr2:uid="{00000000-000D-0000-FFFF-FFFF00000000}"/>
  </bookViews>
  <sheets>
    <sheet name="Wksh 1 - Market Experience" sheetId="1" r:id="rId1"/>
    <sheet name="Wksh 2 - Plan Product Info" sheetId="13" r:id="rId2"/>
    <sheet name="Wksh 3 - Rating Areas" sheetId="18" r:id="rId3"/>
    <sheet name="PlanTemplate" sheetId="15" state="veryHidden" r:id="rId4"/>
  </sheets>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PlanTemplate!$K$10:$K$25</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70" i="13" s="1"/>
  <c r="D67" i="13"/>
  <c r="D66" i="13"/>
  <c r="D41" i="13"/>
  <c r="D40" i="13"/>
  <c r="D39" i="13"/>
  <c r="D35" i="13"/>
  <c r="D34" i="13"/>
  <c r="D33" i="13"/>
  <c r="D32" i="13"/>
  <c r="D44" i="13" s="1"/>
  <c r="D31" i="13"/>
  <c r="D43" i="13" s="1"/>
  <c r="D30" i="13"/>
  <c r="D36" i="13" s="1"/>
  <c r="D29" i="13"/>
  <c r="D28" i="13"/>
  <c r="D27" i="13"/>
  <c r="D26" i="13"/>
  <c r="D38" i="13" s="1"/>
  <c r="E22" i="13" a="1"/>
  <c r="E22" i="13" s="1"/>
  <c r="E21" i="13" a="1"/>
  <c r="E21" i="13" s="1"/>
  <c r="C5" i="1"/>
  <c r="E82" i="13"/>
  <c r="E81" i="13"/>
  <c r="E79" i="13"/>
  <c r="E78" i="13"/>
  <c r="E77" i="13"/>
  <c r="E76" i="13"/>
  <c r="E70" i="13"/>
  <c r="E80" i="13" s="1"/>
  <c r="E65" i="13"/>
  <c r="E61" i="13"/>
  <c r="E60" i="13"/>
  <c r="E59" i="13"/>
  <c r="E48" i="13"/>
  <c r="E57" i="13" s="1"/>
  <c r="E62" i="13" s="1"/>
  <c r="E47" i="13"/>
  <c r="E44" i="13"/>
  <c r="E43" i="13"/>
  <c r="E42" i="13"/>
  <c r="E41" i="13"/>
  <c r="E40" i="13"/>
  <c r="E39" i="13"/>
  <c r="E38" i="13"/>
  <c r="E30" i="13"/>
  <c r="E36" i="13" s="1"/>
  <c r="E25" i="13"/>
  <c r="D42" i="13" l="1"/>
  <c r="E74" i="13"/>
  <c r="D79" i="13"/>
  <c r="D82" i="13"/>
  <c r="D81" i="13"/>
  <c r="D78" i="13"/>
  <c r="D76" i="13"/>
  <c r="D77" i="13"/>
  <c r="D74" i="13" l="1"/>
  <c r="D80"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F18" i="1"/>
  <c r="F17" i="1"/>
  <c r="F16" i="1"/>
  <c r="F15" i="1"/>
  <c r="F14" i="1"/>
  <c r="F12" i="1"/>
  <c r="G42" i="1" l="1"/>
  <c r="E38" i="15" l="1"/>
  <c r="D26" i="15"/>
  <c r="D38" i="15" s="1"/>
  <c r="D30" i="15" l="1"/>
  <c r="D36" i="15" l="1"/>
  <c r="D42" i="15"/>
  <c r="G45" i="1" l="1"/>
  <c r="G46" i="1"/>
  <c r="E48" i="15"/>
  <c r="E57" i="15" s="1"/>
  <c r="E62" i="15" s="1"/>
</calcChain>
</file>

<file path=xl/sharedStrings.xml><?xml version="1.0" encoding="utf-8"?>
<sst xmlns="http://schemas.openxmlformats.org/spreadsheetml/2006/main" count="462" uniqueCount="252">
  <si>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</si>
  <si>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</si>
  <si>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</si>
  <si>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</si>
  <si>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</si>
  <si>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</si>
  <si>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</si>
  <si>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</si>
  <si>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</si>
  <si>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</si>
  <si>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</si>
  <si>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</si>
  <si>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</si>
  <si>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</si>
  <si>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</si>
  <si>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</si>
  <si>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</si>
  <si>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</si>
  <si>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</si>
  <si>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</si>
  <si>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</si>
  <si>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</si>
  <si>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</si>
  <si>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</si>
  <si>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</si>
  <si>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</si>
  <si>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</si>
  <si>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</si>
  <si>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</si>
  <si>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</si>
  <si>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</si>
  <si>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</si>
  <si>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</si>
  <si>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</si>
  <si>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</si>
  <si>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</si>
  <si>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</si>
  <si>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</si>
  <si>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</si>
  <si>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</si>
  <si>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</si>
  <si>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</si>
  <si>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</si>
  <si>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</si>
  <si>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</si>
  <si>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</si>
  <si>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</si>
  <si>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</si>
  <si>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</si>
  <si>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</si>
  <si>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</si>
  <si>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</si>
  <si>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</si>
  <si>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</si>
  <si>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</si>
  <si>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</si>
  <si>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</si>
  <si>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</si>
  <si>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</si>
  <si>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</si>
  <si>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</si>
  <si>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</si>
  <si>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</si>
  <si>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</si>
  <si>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</si>
  <si>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</si>
  <si>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</si>
  <si>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</si>
  <si>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</si>
  <si>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</si>
  <si>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</si>
  <si>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</si>
  <si>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</si>
  <si>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</si>
  <si>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</si>
  <si>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</si>
  <si>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</si>
  <si>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</si>
  <si>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</si>
  <si>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</si>
  <si>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</si>
  <si>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</si>
  <si>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</si>
  <si>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</si>
  <si>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</si>
  <si>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</si>
  <si>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</si>
  <si>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</si>
  <si>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</si>
  <si>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</si>
  <si>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</si>
  <si>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</si>
  <si>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</si>
  <si>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</si>
  <si>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</si>
  <si>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</si>
  <si>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</si>
  <si>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</si>
  <si>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</si>
  <si>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</si>
  <si>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</si>
  <si>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</si>
  <si>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</si>
  <si>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</si>
  <si>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</si>
  <si>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</si>
  <si>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</si>
  <si>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</si>
  <si>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</si>
  <si>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</si>
  <si>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</si>
  <si>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</si>
  <si>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</si>
  <si>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</si>
  <si>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</si>
  <si>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</si>
  <si>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</si>
  <si>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</si>
  <si>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</si>
  <si>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</si>
  <si>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</si>
  <si>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</si>
  <si>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</si>
  <si>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</si>
  <si>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</si>
  <si>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</si>
  <si>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</si>
  <si>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</si>
  <si>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</si>
  <si>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</si>
  <si>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</si>
  <si>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</si>
  <si>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</si>
  <si>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</si>
  <si>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</si>
  <si>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</si>
  <si>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</si>
  <si>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</si>
  <si>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</si>
  <si>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</si>
  <si>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</si>
  <si>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</si>
  <si>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</si>
  <si>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</si>
  <si>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</si>
  <si>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</si>
  <si>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</si>
  <si>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</si>
  <si>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</si>
  <si>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</si>
  <si>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</si>
  <si>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</si>
  <si>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</si>
  <si>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</si>
  <si>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</si>
  <si>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</si>
  <si>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</si>
  <si>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</si>
  <si>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</si>
  <si>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</si>
  <si>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</si>
  <si>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</si>
  <si>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</si>
  <si>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</si>
  <si>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</si>
  <si>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</si>
  <si>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</si>
  <si>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</si>
  <si>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</si>
  <si>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</si>
  <si>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</si>
  <si>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</si>
  <si>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</si>
  <si>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</si>
  <si>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</si>
  <si>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</si>
  <si>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</si>
  <si>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</si>
  <si>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</si>
  <si>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</si>
  <si>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</si>
  <si>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</si>
  <si>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</si>
  <si>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</si>
  <si>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</si>
  <si>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</si>
  <si>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</si>
  <si>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</si>
  <si>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</si>
  <si>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</si>
  <si>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</si>
  <si>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</si>
  <si>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</si>
  <si>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</si>
  <si>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</si>
  <si>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</si>
  <si>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</si>
  <si>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</si>
  <si>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</si>
  <si>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</si>
  <si>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</si>
  <si>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</si>
  <si>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</si>
  <si>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</si>
  <si>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</si>
  <si>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</si>
  <si>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</si>
  <si>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</si>
  <si>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</si>
  <si>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</si>
  <si>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</si>
  <si>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</si>
  <si>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</si>
  <si>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</si>
  <si>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</si>
  <si>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</si>
  <si>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</si>
  <si>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</si>
  <si>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</si>
  <si>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</si>
  <si>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</si>
  <si>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</si>
  <si>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</si>
  <si>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</si>
  <si>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</si>
  <si>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</si>
  <si>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</si>
  <si>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</si>
  <si>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</si>
  <si>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Aetna Health Inc.  (a GA corp.)</t>
  </si>
  <si>
    <t>Small Group</t>
  </si>
  <si>
    <t>Aetna Health Maintenance Organization</t>
  </si>
  <si>
    <t>82824GA004</t>
  </si>
  <si>
    <t>Aetna Silver HNOnly 8000 80%</t>
  </si>
  <si>
    <t>82824GA0040021</t>
  </si>
  <si>
    <t>HMO</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</si>
  <si>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</si>
  <si>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</si>
  <si>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</si>
  <si>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</si>
  <si>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</si>
  <si>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</si>
  <si>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</si>
  <si>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</si>
  <si>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</si>
  <si>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</si>
  <si>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</si>
  <si>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</si>
  <si>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</si>
  <si>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</si>
  <si>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Rating Area 15</t>
  </si>
  <si>
    <t>Rating Area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</si>
</sst>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9">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
      <sz val="11"/>
      <color rgb="FFFF0000"/>
      <name val="Calibri"/>
      <family val="2"/>
      <scheme val="minor"/>
    </font>
    <font>
      <b/>
      <sz val="11"/>
      <color rgb="FFFF0000"/>
      <name val="Calibri"/>
      <family val="2"/>
    </font>
    <font>
      <b/>
      <sz val="11"/>
      <color rgb="FFFF0000"/>
      <name val="Calibri"/>
      <family val="2"/>
      <scheme val="minor"/>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67">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27" fillId="2" borderId="0" xfId="0" applyFont="1" applyFill="1" applyProtection="1">
      <protection locked="0"/>
    </xf>
    <xf numFmtId="0" fontId="26" fillId="0" borderId="0" xfId="0" applyFont="1" applyProtection="1"/>
    <xf numFmtId="0" fontId="28" fillId="2" borderId="0" xfId="0" applyFont="1" applyFill="1" applyProtection="1">
      <protection locked="0"/>
    </xf>
    <xf numFmtId="10" fontId="0" fillId="0" borderId="7" xfId="0" applyNumberFormat="1" applyBorder="1" applyAlignment="1">
      <alignment horizontal="center"/>
    </xf>
    <xf numFmtId="168" fontId="0" fillId="0" borderId="7" xfId="0" applyNumberFormat="1" applyBorder="1" applyAlignment="1">
      <alignment horizontal="center"/>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57150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0</xdr:row>
          <xdr:rowOff>0</xdr:rowOff>
        </xdr:from>
        <xdr:to>
          <xdr:col>6</xdr:col>
          <xdr:colOff>1238250</xdr:colOff>
          <xdr:row>1</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1285875</xdr:colOff>
          <xdr:row>0</xdr:row>
          <xdr:rowOff>0</xdr:rowOff>
        </xdr:from>
        <xdr:to>
          <xdr:col>7</xdr:col>
          <xdr:colOff>409575</xdr:colOff>
          <xdr:row>1</xdr:row>
          <xdr:rowOff>57150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6</xdr:col>
          <xdr:colOff>209550</xdr:colOff>
          <xdr:row>1</xdr:row>
          <xdr:rowOff>57150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47625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9525</xdr:colOff>
          <xdr:row>1</xdr:row>
          <xdr:rowOff>47625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9</xdr:col>
          <xdr:colOff>9525</xdr:colOff>
          <xdr:row>1</xdr:row>
          <xdr:rowOff>47625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7</xdr:col>
          <xdr:colOff>0</xdr:colOff>
          <xdr:row>1</xdr:row>
          <xdr:rowOff>47625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219075</xdr:colOff>
          <xdr:row>1</xdr:row>
          <xdr:rowOff>47625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209550</xdr:colOff>
          <xdr:row>1</xdr:row>
          <xdr:rowOff>47625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1647825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zoomScaleNormal="100" zoomScaleSheetLayoutView="40" workbookViewId="0">
      <selection activeCell="D6" sqref="D6"/>
    </sheetView>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140625" style="1" customWidth="1"/>
    <col min="21" max="16384" width="9.140625" style="1" hidden="1"/>
  </cols>
  <sheetData>
    <row r="1" spans="1:29" ht="18.600000000000001" customHeight="1">
      <c r="A1" s="92" t="s">
        <v>225</v>
      </c>
      <c r="B1" s="4" t="s">
        <v>228</v>
      </c>
      <c r="C1" s="3"/>
      <c r="D1" s="3"/>
      <c r="E1" s="3"/>
      <c r="F1" s="4"/>
      <c r="K1" s="98" t="s">
        <v>213</v>
      </c>
    </row>
    <row r="2" spans="1:29" ht="18.75">
      <c r="B2" s="3"/>
      <c r="C2" s="3"/>
      <c r="D2" s="3"/>
      <c r="E2" s="3"/>
      <c r="F2" s="4"/>
      <c r="K2" s="98" t="s">
        <v>214</v>
      </c>
    </row>
    <row r="3" spans="1:29" ht="15.75">
      <c r="B3" s="96" t="s">
        <v>5</v>
      </c>
      <c r="C3" s="210" t="s">
        <v>229</v>
      </c>
      <c r="D3" s="211"/>
      <c r="E3" s="211"/>
      <c r="F3" s="211"/>
      <c r="G3" s="211"/>
      <c r="H3" s="212"/>
      <c r="K3" s="98" t="s">
        <v>215</v>
      </c>
    </row>
    <row r="4" spans="1:29" ht="18.75">
      <c r="B4" s="97" t="s">
        <v>6</v>
      </c>
      <c r="C4" s="213">
        <v>82824</v>
      </c>
      <c r="D4" s="207" t="s">
        <v>7</v>
      </c>
      <c r="E4" s="213" t="s">
        <v>37</v>
      </c>
      <c r="F4" s="4"/>
      <c r="G4" s="4"/>
      <c r="H4" s="4"/>
      <c r="K4" s="98" t="s">
        <v>216</v>
      </c>
    </row>
    <row r="5" spans="1:29" ht="15.75">
      <c r="B5" s="96" t="s">
        <v>14</v>
      </c>
      <c r="C5" s="219">
        <f>MAX('Wksh 2 - Plan Product Info'!E19:E19)</f>
        <v>45292</v>
      </c>
      <c r="D5" s="207" t="s">
        <v>9</v>
      </c>
      <c r="E5" s="213" t="s">
        <v>230</v>
      </c>
    </row>
    <row r="6" spans="1:29" ht="18.75">
      <c r="B6" s="3"/>
      <c r="C6" s="3"/>
      <c r="D6" s="232"/>
      <c r="E6" s="3"/>
      <c r="F6" s="4"/>
    </row>
    <row r="7" spans="1:29">
      <c r="F7" s="2"/>
    </row>
    <row r="8" spans="1:29">
      <c r="B8" s="240" t="s">
        <v>3</v>
      </c>
      <c r="C8" s="241"/>
      <c r="D8" s="241"/>
      <c r="E8" s="241"/>
      <c r="F8" s="241"/>
      <c r="G8" s="241"/>
      <c r="H8" s="241"/>
      <c r="I8" s="241"/>
      <c r="J8" s="241"/>
      <c r="K8" s="241"/>
      <c r="L8" s="241"/>
      <c r="M8" s="241"/>
      <c r="N8" s="241"/>
      <c r="O8" s="241"/>
      <c r="P8" s="241"/>
      <c r="Q8" s="242"/>
      <c r="R8"/>
      <c r="S8"/>
      <c r="T8"/>
      <c r="U8"/>
      <c r="V8"/>
      <c r="W8"/>
      <c r="X8"/>
      <c r="Y8"/>
    </row>
    <row r="9" spans="1:29">
      <c r="B9" s="243"/>
      <c r="C9" s="244"/>
      <c r="D9" s="244"/>
      <c r="E9" s="244"/>
      <c r="F9" s="244"/>
      <c r="G9" s="244"/>
      <c r="H9" s="244"/>
      <c r="I9" s="244"/>
      <c r="J9" s="244"/>
      <c r="K9" s="244"/>
      <c r="L9" s="244"/>
      <c r="M9" s="244"/>
      <c r="N9" s="244"/>
      <c r="O9" s="244"/>
      <c r="P9" s="244"/>
      <c r="Q9" s="245"/>
      <c r="R9"/>
      <c r="S9"/>
      <c r="T9"/>
      <c r="U9"/>
      <c r="V9"/>
      <c r="W9"/>
      <c r="X9"/>
      <c r="Y9"/>
    </row>
    <row r="10" spans="1:29">
      <c r="B10" s="19"/>
      <c r="F10" s="2"/>
    </row>
    <row r="11" spans="1:29">
      <c r="B11" s="28" t="s">
        <v>85</v>
      </c>
      <c r="E11" s="29"/>
      <c r="F11" s="2"/>
    </row>
    <row r="12" spans="1:29">
      <c r="B12" s="75" t="s">
        <v>21</v>
      </c>
      <c r="D12" s="214">
        <v>44562</v>
      </c>
      <c r="E12" s="31" t="s">
        <v>11</v>
      </c>
      <c r="F12" s="84">
        <f>EDATE(D12,12)-1</f>
        <v>44926</v>
      </c>
      <c r="H12" s="33"/>
      <c r="I12" s="32"/>
    </row>
    <row r="13" spans="1:29">
      <c r="B13" s="30"/>
      <c r="E13" s="69" t="s">
        <v>2</v>
      </c>
      <c r="F13" s="34" t="s">
        <v>23</v>
      </c>
      <c r="G13"/>
      <c r="J13"/>
      <c r="P13"/>
      <c r="Q13"/>
      <c r="U13"/>
      <c r="V13"/>
      <c r="W13"/>
      <c r="X13"/>
      <c r="Y13"/>
      <c r="AC13" s="35"/>
    </row>
    <row r="14" spans="1:29">
      <c r="B14" s="249" t="s">
        <v>86</v>
      </c>
      <c r="C14" s="250"/>
      <c r="D14" s="251"/>
      <c r="E14" s="102">
        <v>1052081.3</v>
      </c>
      <c r="F14" s="103">
        <f>E14/E19</f>
        <v>1623.5822530864198</v>
      </c>
      <c r="G14" s="36"/>
      <c r="J14"/>
      <c r="P14"/>
      <c r="Q14"/>
      <c r="U14"/>
      <c r="V14"/>
      <c r="W14"/>
      <c r="X14"/>
      <c r="Y14"/>
      <c r="AC14" s="35"/>
    </row>
    <row r="15" spans="1:29">
      <c r="B15" s="252" t="s">
        <v>87</v>
      </c>
      <c r="C15" s="252"/>
      <c r="D15" s="252"/>
      <c r="E15" s="102">
        <v>0</v>
      </c>
      <c r="F15" s="104">
        <f>E15/E19</f>
        <v>0</v>
      </c>
      <c r="G15" s="36"/>
      <c r="J15"/>
      <c r="P15"/>
      <c r="Q15"/>
      <c r="U15"/>
      <c r="V15"/>
      <c r="W15"/>
      <c r="X15"/>
      <c r="Y15"/>
      <c r="AC15" s="35"/>
    </row>
    <row r="16" spans="1:29">
      <c r="B16" s="252" t="s">
        <v>88</v>
      </c>
      <c r="C16" s="252"/>
      <c r="D16" s="252"/>
      <c r="E16" s="102">
        <v>896670.67</v>
      </c>
      <c r="F16" s="104">
        <f>E16/E19</f>
        <v>1383.7510339506173</v>
      </c>
      <c r="G16" s="36"/>
      <c r="J16"/>
      <c r="P16"/>
      <c r="Q16"/>
      <c r="U16"/>
      <c r="V16"/>
      <c r="W16"/>
      <c r="X16"/>
      <c r="Y16"/>
      <c r="AC16" s="35"/>
    </row>
    <row r="17" spans="2:31">
      <c r="B17" s="252" t="s">
        <v>89</v>
      </c>
      <c r="C17" s="252"/>
      <c r="D17" s="252"/>
      <c r="E17" s="105">
        <v>399387.31</v>
      </c>
      <c r="F17" s="106">
        <f>E17/E19</f>
        <v>616.33844135802474</v>
      </c>
      <c r="G17" s="37"/>
      <c r="H17" s="38"/>
      <c r="I17" s="32"/>
      <c r="J17"/>
      <c r="O17" s="39"/>
      <c r="P17"/>
      <c r="Q17"/>
      <c r="U17"/>
      <c r="V17"/>
      <c r="W17"/>
      <c r="X17"/>
      <c r="Y17"/>
      <c r="AC17" s="35"/>
    </row>
    <row r="18" spans="2:31">
      <c r="B18" s="252" t="s">
        <v>90</v>
      </c>
      <c r="C18" s="252"/>
      <c r="D18" s="252"/>
      <c r="E18" s="105">
        <v>596405.56999999995</v>
      </c>
      <c r="F18" s="107">
        <f>E18/E19</f>
        <v>920.3789660493826</v>
      </c>
      <c r="G18" s="40"/>
      <c r="H18" s="38"/>
      <c r="I18" s="32"/>
      <c r="J18"/>
      <c r="P18"/>
      <c r="Q18"/>
      <c r="U18"/>
      <c r="V18"/>
      <c r="W18"/>
      <c r="X18"/>
      <c r="Y18"/>
      <c r="AC18" s="35"/>
    </row>
    <row r="19" spans="2:31">
      <c r="B19" s="252" t="s">
        <v>22</v>
      </c>
      <c r="C19" s="252"/>
      <c r="D19" s="252"/>
      <c r="E19" s="215">
        <f>'Wksh 2 - Plan Product Info'!D33</f>
        <v>648</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6"/>
      <c r="C22" s="227"/>
      <c r="D22" s="246" t="s">
        <v>92</v>
      </c>
      <c r="E22" s="247"/>
      <c r="F22" s="248" t="s">
        <v>93</v>
      </c>
      <c r="G22" s="248"/>
      <c r="H22" s="228"/>
      <c r="I22" s="38"/>
      <c r="J22" s="32"/>
      <c r="K22" s="38"/>
      <c r="L22"/>
      <c r="R22"/>
      <c r="S22"/>
      <c r="W22"/>
      <c r="X22"/>
      <c r="Y22"/>
      <c r="Z22"/>
      <c r="AA22"/>
      <c r="AE22" s="35"/>
    </row>
    <row r="23" spans="2:31" ht="30.75" thickBot="1">
      <c r="B23" s="229" t="s">
        <v>147</v>
      </c>
      <c r="C23" s="230" t="s">
        <v>137</v>
      </c>
      <c r="D23" s="110" t="s">
        <v>94</v>
      </c>
      <c r="E23" s="109" t="s">
        <v>95</v>
      </c>
      <c r="F23" s="117" t="s">
        <v>94</v>
      </c>
      <c r="G23" s="115" t="s">
        <v>95</v>
      </c>
      <c r="H23" s="231" t="s">
        <v>96</v>
      </c>
      <c r="I23" s="38"/>
      <c r="J23" s="32"/>
      <c r="K23" s="38"/>
      <c r="L23"/>
      <c r="R23"/>
      <c r="S23"/>
      <c r="W23"/>
      <c r="X23"/>
      <c r="Y23"/>
      <c r="Z23"/>
      <c r="AA23"/>
      <c r="AE23" s="35"/>
    </row>
    <row r="24" spans="2:31">
      <c r="B24" s="111" t="s">
        <v>78</v>
      </c>
      <c r="C24" s="129">
        <v>142.52000000000001</v>
      </c>
      <c r="D24" s="122">
        <v>1.0680000000000001</v>
      </c>
      <c r="E24" s="125">
        <v>1.0129999999999999</v>
      </c>
      <c r="F24" s="122">
        <v>1.0680000000000001</v>
      </c>
      <c r="G24" s="127">
        <v>1.0129999999999999</v>
      </c>
      <c r="H24" s="131">
        <f t="shared" ref="H24:H29" si="0">PRODUCT(C24:G24)</f>
        <v>166.81581045726912</v>
      </c>
      <c r="I24" s="38"/>
      <c r="J24" s="32"/>
      <c r="K24" s="38"/>
      <c r="L24"/>
      <c r="R24"/>
      <c r="S24"/>
      <c r="W24"/>
      <c r="X24"/>
      <c r="Y24"/>
      <c r="Z24"/>
      <c r="AA24"/>
      <c r="AE24" s="35"/>
    </row>
    <row r="25" spans="2:31">
      <c r="B25" s="111" t="s">
        <v>19</v>
      </c>
      <c r="C25" s="130">
        <v>91.95</v>
      </c>
      <c r="D25" s="123">
        <v>1.0489999999999999</v>
      </c>
      <c r="E25" s="124">
        <v>1.0529999999999999</v>
      </c>
      <c r="F25" s="123">
        <v>1.0489999999999999</v>
      </c>
      <c r="G25" s="126">
        <v>1.0529999999999999</v>
      </c>
      <c r="H25" s="132">
        <f t="shared" si="0"/>
        <v>112.19137025500753</v>
      </c>
      <c r="I25" s="38"/>
      <c r="J25" s="32"/>
      <c r="K25" s="38"/>
      <c r="L25"/>
      <c r="R25"/>
      <c r="S25"/>
      <c r="W25"/>
      <c r="X25"/>
      <c r="Y25"/>
      <c r="Z25"/>
      <c r="AA25"/>
      <c r="AE25" s="35"/>
    </row>
    <row r="26" spans="2:31">
      <c r="B26" s="111" t="s">
        <v>0</v>
      </c>
      <c r="C26" s="130">
        <v>294.74</v>
      </c>
      <c r="D26" s="123">
        <v>1.022</v>
      </c>
      <c r="E26" s="124">
        <v>1.048</v>
      </c>
      <c r="F26" s="123">
        <v>1.022</v>
      </c>
      <c r="G26" s="128">
        <v>1.048</v>
      </c>
      <c r="H26" s="132">
        <f t="shared" si="0"/>
        <v>338.11421991678475</v>
      </c>
      <c r="I26" s="38"/>
      <c r="J26" s="32"/>
      <c r="K26" s="38"/>
      <c r="L26"/>
      <c r="R26"/>
      <c r="S26"/>
      <c r="W26"/>
      <c r="X26"/>
      <c r="Y26"/>
      <c r="Z26"/>
      <c r="AA26"/>
      <c r="AE26" s="35"/>
    </row>
    <row r="27" spans="2:31">
      <c r="B27" s="111" t="s">
        <v>18</v>
      </c>
      <c r="C27" s="130">
        <v>193.81</v>
      </c>
      <c r="D27" s="123">
        <v>1.0489999999999999</v>
      </c>
      <c r="E27" s="124">
        <v>1.0529999999999999</v>
      </c>
      <c r="F27" s="123">
        <v>1.0489999999999999</v>
      </c>
      <c r="G27" s="126">
        <v>1.0529999999999999</v>
      </c>
      <c r="H27" s="132">
        <f t="shared" si="0"/>
        <v>236.47427372618824</v>
      </c>
      <c r="I27" s="38"/>
      <c r="J27" s="32"/>
      <c r="K27" s="38"/>
      <c r="L27"/>
      <c r="R27"/>
      <c r="S27"/>
      <c r="W27"/>
      <c r="X27"/>
      <c r="Y27"/>
      <c r="Z27"/>
      <c r="AA27"/>
      <c r="AE27" s="35"/>
    </row>
    <row r="28" spans="2:31">
      <c r="B28" s="111" t="s">
        <v>1</v>
      </c>
      <c r="C28" s="130">
        <v>0.69</v>
      </c>
      <c r="D28" s="120">
        <v>1</v>
      </c>
      <c r="E28" s="121">
        <v>1</v>
      </c>
      <c r="F28" s="123">
        <v>1</v>
      </c>
      <c r="G28" s="126">
        <v>1</v>
      </c>
      <c r="H28" s="132">
        <f t="shared" si="0"/>
        <v>0.69</v>
      </c>
      <c r="I28" s="38"/>
      <c r="J28" s="32"/>
      <c r="K28" s="38"/>
      <c r="L28"/>
      <c r="R28"/>
      <c r="S28"/>
      <c r="W28"/>
      <c r="X28"/>
      <c r="Y28"/>
      <c r="Z28"/>
      <c r="AA28"/>
      <c r="AE28" s="35"/>
    </row>
    <row r="29" spans="2:31" ht="15.75" thickBot="1">
      <c r="B29" s="111" t="s">
        <v>20</v>
      </c>
      <c r="C29" s="114">
        <v>899.88</v>
      </c>
      <c r="D29" s="119">
        <v>1</v>
      </c>
      <c r="E29" s="118">
        <v>1.026</v>
      </c>
      <c r="F29" s="119">
        <v>1</v>
      </c>
      <c r="G29" s="85">
        <v>1.026</v>
      </c>
      <c r="H29" s="116">
        <f t="shared" si="0"/>
        <v>947.28207887999997</v>
      </c>
      <c r="I29" s="38"/>
      <c r="J29" s="32"/>
      <c r="K29" s="38"/>
      <c r="L29"/>
      <c r="R29"/>
      <c r="S29"/>
      <c r="W29"/>
      <c r="X29"/>
      <c r="Y29"/>
      <c r="Z29"/>
      <c r="AA29"/>
      <c r="AE29" s="35"/>
    </row>
    <row r="30" spans="2:31" ht="15.75" thickBot="1">
      <c r="B30" s="112" t="s">
        <v>2</v>
      </c>
      <c r="C30" s="113">
        <f>SUM(C24:C29)</f>
        <v>1623.5900000000001</v>
      </c>
      <c r="D30" s="237"/>
      <c r="E30" s="238"/>
      <c r="F30" s="238"/>
      <c r="G30" s="238"/>
      <c r="H30" s="144">
        <f>SUM(H24:H29)</f>
        <v>1801.5677532352497</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3" t="s">
        <v>98</v>
      </c>
      <c r="C32" s="224"/>
      <c r="D32" s="224"/>
      <c r="E32" s="225"/>
      <c r="F32" s="136">
        <v>1.0820000000000001</v>
      </c>
      <c r="G32" s="40"/>
      <c r="H32" s="38"/>
      <c r="I32" s="38"/>
      <c r="J32" s="32"/>
      <c r="K32" s="38"/>
      <c r="L32"/>
      <c r="R32"/>
      <c r="S32"/>
      <c r="W32"/>
      <c r="X32"/>
      <c r="Y32"/>
      <c r="Z32"/>
      <c r="AA32"/>
      <c r="AE32" s="35"/>
    </row>
    <row r="33" spans="2:31">
      <c r="B33" s="223" t="s">
        <v>99</v>
      </c>
      <c r="C33" s="224"/>
      <c r="D33" s="224"/>
      <c r="E33" s="225"/>
      <c r="F33" s="136">
        <v>0.999</v>
      </c>
      <c r="G33" s="40"/>
      <c r="H33" s="38"/>
      <c r="I33" s="38"/>
      <c r="J33" s="32"/>
      <c r="K33" s="38"/>
      <c r="L33"/>
      <c r="R33"/>
      <c r="S33"/>
      <c r="W33"/>
      <c r="X33"/>
      <c r="Y33"/>
      <c r="Z33"/>
      <c r="AA33"/>
      <c r="AE33" s="35"/>
    </row>
    <row r="34" spans="2:31">
      <c r="B34" s="223" t="s">
        <v>100</v>
      </c>
      <c r="C34" s="224"/>
      <c r="D34" s="224"/>
      <c r="E34" s="225"/>
      <c r="F34" s="136">
        <v>1.022</v>
      </c>
      <c r="G34" s="40"/>
      <c r="H34" s="38"/>
      <c r="I34" s="38"/>
      <c r="J34" s="32"/>
      <c r="K34" s="38"/>
      <c r="L34"/>
      <c r="R34"/>
      <c r="S34"/>
      <c r="W34"/>
      <c r="X34"/>
      <c r="Y34"/>
      <c r="Z34"/>
      <c r="AA34"/>
      <c r="AE34" s="35"/>
    </row>
    <row r="35" spans="2:31">
      <c r="B35" s="223" t="s">
        <v>17</v>
      </c>
      <c r="C35" s="224"/>
      <c r="D35" s="224"/>
      <c r="E35" s="225"/>
      <c r="F35" s="136">
        <v>0.63600000000000001</v>
      </c>
      <c r="G35" s="40"/>
      <c r="H35" s="38"/>
      <c r="I35" s="38"/>
      <c r="J35" s="32"/>
      <c r="K35" s="38"/>
      <c r="L35"/>
      <c r="R35"/>
      <c r="S35"/>
      <c r="W35"/>
      <c r="X35"/>
      <c r="Y35"/>
      <c r="Z35"/>
      <c r="AA35"/>
      <c r="AE35" s="35"/>
    </row>
    <row r="36" spans="2:31">
      <c r="B36" s="223" t="s">
        <v>220</v>
      </c>
      <c r="C36" s="224"/>
      <c r="D36" s="137">
        <f>IF(C5&lt;&gt;"",C5,"")</f>
        <v>45292</v>
      </c>
      <c r="E36" s="138"/>
      <c r="F36" s="135">
        <f>H30*PRODUCT(F32:F35)</f>
        <v>1265.7599794733992</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3" t="s">
        <v>97</v>
      </c>
      <c r="C38" s="224"/>
      <c r="D38" s="224"/>
      <c r="E38" s="225"/>
      <c r="F38" s="133">
        <v>1327.61</v>
      </c>
      <c r="G38" s="40"/>
      <c r="H38" s="38"/>
      <c r="I38" s="38"/>
      <c r="J38" s="32"/>
      <c r="K38" s="38"/>
      <c r="L38"/>
      <c r="R38"/>
      <c r="S38"/>
      <c r="W38"/>
      <c r="X38"/>
      <c r="Y38"/>
      <c r="Z38"/>
      <c r="AA38"/>
      <c r="AE38" s="35"/>
    </row>
    <row r="39" spans="2:31">
      <c r="B39" s="223" t="s">
        <v>219</v>
      </c>
      <c r="C39" s="224"/>
      <c r="D39" s="224"/>
      <c r="E39" s="225"/>
      <c r="F39" s="134">
        <v>9.4899999999999998E-2</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5" t="s">
        <v>24</v>
      </c>
      <c r="H41" s="38"/>
      <c r="I41" s="38"/>
      <c r="J41" s="32"/>
      <c r="K41" s="38"/>
      <c r="L41"/>
      <c r="R41"/>
      <c r="S41"/>
      <c r="W41"/>
      <c r="X41"/>
      <c r="Y41"/>
      <c r="Z41"/>
      <c r="AA41"/>
      <c r="AE41" s="35"/>
    </row>
    <row r="42" spans="2:31">
      <c r="B42" s="223" t="s">
        <v>101</v>
      </c>
      <c r="C42" s="224"/>
      <c r="D42" s="137">
        <f>IF(C5&lt;&gt;"",C5,"")</f>
        <v>45292</v>
      </c>
      <c r="E42" s="139"/>
      <c r="F42" s="135">
        <f>ROUND(F39*F36+(1-F39)*F38,2)</f>
        <v>1321.74</v>
      </c>
      <c r="G42" s="140">
        <f>F42*F48</f>
        <v>808904.88</v>
      </c>
      <c r="H42" s="38"/>
      <c r="I42" s="38"/>
      <c r="J42" s="32"/>
      <c r="K42" s="38"/>
      <c r="L42"/>
      <c r="R42"/>
      <c r="S42"/>
      <c r="W42"/>
      <c r="X42"/>
      <c r="Y42"/>
      <c r="Z42"/>
      <c r="AA42"/>
      <c r="AE42" s="35"/>
    </row>
    <row r="43" spans="2:31">
      <c r="B43" s="223" t="s">
        <v>87</v>
      </c>
      <c r="C43" s="224"/>
      <c r="D43" s="224"/>
      <c r="E43" s="225"/>
      <c r="F43" s="133">
        <v>0</v>
      </c>
      <c r="G43" s="140">
        <f>F43*F48</f>
        <v>0</v>
      </c>
      <c r="H43" s="38"/>
      <c r="I43" s="38"/>
      <c r="J43" s="32"/>
      <c r="K43" s="38"/>
      <c r="L43"/>
      <c r="R43"/>
      <c r="S43"/>
      <c r="W43"/>
      <c r="X43"/>
      <c r="Y43"/>
      <c r="Z43"/>
      <c r="AA43"/>
      <c r="AE43" s="35"/>
    </row>
    <row r="44" spans="2:31">
      <c r="B44" s="223" t="s">
        <v>138</v>
      </c>
      <c r="C44" s="224"/>
      <c r="D44" s="224"/>
      <c r="E44" s="225"/>
      <c r="F44" s="133">
        <v>81.53</v>
      </c>
      <c r="G44" s="140">
        <f>F44*F48</f>
        <v>49896.36</v>
      </c>
      <c r="H44" s="38"/>
      <c r="I44" s="38"/>
      <c r="J44" s="32"/>
      <c r="K44" s="38"/>
      <c r="L44"/>
      <c r="R44"/>
      <c r="S44"/>
      <c r="W44"/>
      <c r="X44"/>
      <c r="Y44"/>
      <c r="Z44"/>
      <c r="AA44"/>
      <c r="AE44" s="35"/>
    </row>
    <row r="45" spans="2:31">
      <c r="B45" s="223" t="s">
        <v>102</v>
      </c>
      <c r="C45" s="224"/>
      <c r="D45" s="224"/>
      <c r="E45" s="225"/>
      <c r="F45" s="142">
        <v>0</v>
      </c>
      <c r="G45" s="141">
        <f>F45*F46*F48</f>
        <v>0</v>
      </c>
      <c r="H45" s="38"/>
      <c r="I45" s="38"/>
      <c r="J45" s="32"/>
      <c r="K45" s="38"/>
      <c r="L45"/>
      <c r="R45"/>
      <c r="S45"/>
      <c r="W45"/>
      <c r="X45"/>
      <c r="Y45"/>
      <c r="Z45"/>
      <c r="AA45"/>
      <c r="AE45" s="35"/>
    </row>
    <row r="46" spans="2:31">
      <c r="B46" s="223" t="s">
        <v>122</v>
      </c>
      <c r="C46" s="224"/>
      <c r="D46" s="224"/>
      <c r="E46" s="225"/>
      <c r="F46" s="135">
        <f>(F42-F43-F44)/(1-F45)</f>
        <v>1240.21</v>
      </c>
      <c r="G46" s="143">
        <f>F46*F48</f>
        <v>759008.52</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3" t="s">
        <v>4</v>
      </c>
      <c r="C48" s="224"/>
      <c r="D48" s="224"/>
      <c r="E48" s="225"/>
      <c r="F48" s="216">
        <f>'Wksh 2 - Plan Product Info'!D73</f>
        <v>612</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39" t="s">
        <v>148</v>
      </c>
      <c r="C50" s="239"/>
      <c r="D50" s="239"/>
      <c r="E50" s="239"/>
      <c r="F50" s="239"/>
      <c r="G50" s="239"/>
      <c r="H50" s="239"/>
      <c r="I50" s="239"/>
      <c r="J50" s="239"/>
      <c r="K50" s="239"/>
      <c r="L50" s="239"/>
      <c r="M50" s="239"/>
      <c r="N50" s="239"/>
      <c r="O50" s="239"/>
      <c r="P50" s="239"/>
      <c r="Q50" s="239"/>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39"/>
      <c r="B112" s="239"/>
      <c r="C112" s="239"/>
      <c r="D112" s="239"/>
      <c r="E112" s="239"/>
      <c r="F112" s="239"/>
      <c r="G112" s="239"/>
      <c r="H112" s="239"/>
      <c r="I112" s="239"/>
      <c r="J112" s="239"/>
      <c r="K112" s="239"/>
      <c r="L112" s="239"/>
      <c r="M112" s="239"/>
      <c r="N112" s="239"/>
      <c r="O112" s="239"/>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algorithmName="SHA-512" hashValue="8XRDCKrH4SxXjuTT6NXWwhrhBJ/4JQBm3yZY2MuXUph/gQTF220FoB2qV8QKpVZ7RVTt6cu8OrUWfd4OmmQ4Nw==" saltValue="4OYLcMHmjjCkcypwGffUQQ==" spinCount="100000" sheet="1" object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disablePrompts="1"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57150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180975</xdr:colOff>
                    <xdr:row>0</xdr:row>
                    <xdr:rowOff>0</xdr:rowOff>
                  </from>
                  <to>
                    <xdr:col>6</xdr:col>
                    <xdr:colOff>1238250</xdr:colOff>
                    <xdr:row>1</xdr:row>
                    <xdr:rowOff>57150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1285875</xdr:colOff>
                    <xdr:row>0</xdr:row>
                    <xdr:rowOff>0</xdr:rowOff>
                  </from>
                  <to>
                    <xdr:col>7</xdr:col>
                    <xdr:colOff>409575</xdr:colOff>
                    <xdr:row>1</xdr:row>
                    <xdr:rowOff>57150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6</xdr:col>
                    <xdr:colOff>209550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V83"/>
  <sheetViews>
    <sheetView showGridLines="0" tabSelected="1" zoomScaleNormal="100" workbookViewId="0">
      <selection activeCell="F6" sqref="F6"/>
    </sheetView>
  </sheetViews>
  <sheetFormatPr defaultColWidth="8.85546875" defaultRowHeight="15" zeroHeight="1"/>
  <cols>
    <col min="1" max="1" width="17.7109375" customWidth="1"/>
    <col min="2" max="2" width="6.7109375" customWidth="1"/>
    <col min="3" max="3" width="41.7109375" customWidth="1"/>
    <col min="4" max="4" width="14.5703125" customWidth="1"/>
    <col min="5" max="5" width="15.5703125" customWidth="1"/>
    <col min="6" max="59" width="15.7109375" customWidth="1"/>
  </cols>
  <sheetData>
    <row r="1" spans="1:22" ht="18.600000000000001" customHeight="1">
      <c r="A1" s="100" t="s">
        <v>226</v>
      </c>
      <c r="C1" s="16" t="s">
        <v>221</v>
      </c>
      <c r="D1" s="16"/>
      <c r="E1" s="3"/>
      <c r="F1" s="3"/>
      <c r="G1" s="3"/>
      <c r="H1" s="4"/>
      <c r="I1" s="1"/>
      <c r="J1" s="1"/>
      <c r="K1" s="1"/>
      <c r="L1" s="1"/>
      <c r="M1" s="1"/>
      <c r="N1" s="1"/>
      <c r="O1" s="1"/>
      <c r="P1" s="98" t="s">
        <v>213</v>
      </c>
      <c r="Q1" s="1"/>
      <c r="S1" s="1"/>
      <c r="T1" s="1"/>
      <c r="U1" s="1"/>
    </row>
    <row r="2" spans="1:22" ht="18.75">
      <c r="C2" s="3"/>
      <c r="D2" s="3"/>
      <c r="E2" s="3"/>
      <c r="F2" s="3"/>
      <c r="G2" s="3"/>
      <c r="H2" s="4"/>
      <c r="I2" s="1"/>
      <c r="J2" s="1"/>
      <c r="K2" s="1"/>
      <c r="L2" s="1"/>
      <c r="M2" s="1"/>
      <c r="N2" s="1"/>
      <c r="O2" s="1"/>
      <c r="P2" s="98" t="s">
        <v>214</v>
      </c>
      <c r="Q2" s="1"/>
      <c r="S2" s="1"/>
      <c r="T2" s="1"/>
      <c r="U2" s="1"/>
    </row>
    <row r="3" spans="1:22" ht="18.75">
      <c r="C3" s="96" t="s">
        <v>5</v>
      </c>
      <c r="D3" s="93" t="str">
        <f>IF('Wksh 1 - Market Experience'!C3&lt;&gt;"", 'Wksh 1 - Market Experience'!C3,"")</f>
        <v>Aetna Health Inc.  (a GA corp.)</v>
      </c>
      <c r="F3" s="6"/>
      <c r="G3" s="6"/>
      <c r="J3" s="1"/>
      <c r="K3" s="1"/>
      <c r="P3" s="99" t="s">
        <v>215</v>
      </c>
    </row>
    <row r="4" spans="1:22" ht="18.75">
      <c r="C4" s="97" t="s">
        <v>6</v>
      </c>
      <c r="D4" s="94">
        <f>IF('Wksh 1 - Market Experience'!C4&lt;&gt;"", 'Wksh 1 - Market Experience'!C4,"")</f>
        <v>82824</v>
      </c>
      <c r="E4" s="96" t="s">
        <v>7</v>
      </c>
      <c r="F4" s="101" t="str">
        <f>IF('Wksh 1 - Market Experience'!E4&lt;&gt;"",'Wksh 1 - Market Experience'!E4,"")</f>
        <v>GA</v>
      </c>
      <c r="G4" s="7"/>
      <c r="J4" s="1"/>
      <c r="K4" s="1"/>
      <c r="P4" s="99" t="s">
        <v>216</v>
      </c>
    </row>
    <row r="5" spans="1:22" ht="15.75">
      <c r="C5" s="96" t="s">
        <v>14</v>
      </c>
      <c r="D5" s="95">
        <f>IF('Wksh 1 - Market Experience'!C5&lt;&gt;"", 'Wksh 1 - Market Experience'!C5,"")</f>
        <v>45292</v>
      </c>
      <c r="E5" s="96" t="s">
        <v>9</v>
      </c>
      <c r="F5" s="101" t="str">
        <f>IF('Wksh 1 - Market Experience'!E5&lt;&gt;"",'Wksh 1 - Market Experience'!E5,"")</f>
        <v>Small Group</v>
      </c>
      <c r="G5" s="1"/>
      <c r="H5" s="1"/>
      <c r="I5" s="1"/>
      <c r="J5" s="1"/>
      <c r="K5" s="1"/>
      <c r="L5" s="1"/>
      <c r="P5" s="99" t="s">
        <v>223</v>
      </c>
    </row>
    <row r="6" spans="1:22">
      <c r="C6" s="1"/>
      <c r="D6" s="1"/>
      <c r="E6" s="1"/>
      <c r="F6" s="234"/>
      <c r="G6" s="1"/>
      <c r="H6" s="2"/>
      <c r="I6" s="1"/>
      <c r="J6" s="1"/>
      <c r="K6" s="1"/>
      <c r="L6" s="1"/>
      <c r="M6" s="1"/>
      <c r="N6" s="1"/>
      <c r="O6" s="1"/>
      <c r="P6" s="99" t="s">
        <v>224</v>
      </c>
      <c r="Q6" s="1"/>
      <c r="R6" s="1"/>
      <c r="S6" s="1"/>
      <c r="T6" s="1"/>
      <c r="U6" s="1"/>
    </row>
    <row r="7" spans="1:22">
      <c r="C7" s="253" t="s">
        <v>15</v>
      </c>
      <c r="D7" s="254"/>
      <c r="E7" s="254"/>
      <c r="F7" s="254"/>
      <c r="G7" s="254"/>
      <c r="H7" s="254"/>
      <c r="I7" s="254"/>
      <c r="J7" s="254"/>
      <c r="K7" s="254"/>
      <c r="L7" s="254"/>
      <c r="M7" s="254"/>
      <c r="N7" s="254"/>
      <c r="O7" s="254"/>
      <c r="P7" s="254"/>
      <c r="Q7" s="254"/>
      <c r="R7" s="254"/>
      <c r="S7" s="254"/>
      <c r="T7" s="254"/>
      <c r="U7" s="254"/>
      <c r="V7" s="255"/>
    </row>
    <row r="8" spans="1:22">
      <c r="C8" s="256"/>
      <c r="D8" s="257"/>
      <c r="E8" s="257"/>
      <c r="F8" s="257"/>
      <c r="G8" s="257"/>
      <c r="H8" s="257"/>
      <c r="I8" s="257"/>
      <c r="J8" s="257"/>
      <c r="K8" s="257"/>
      <c r="L8" s="257"/>
      <c r="M8" s="257"/>
      <c r="N8" s="257"/>
      <c r="O8" s="257"/>
      <c r="P8" s="257"/>
      <c r="Q8" s="257"/>
      <c r="R8" s="257"/>
      <c r="S8" s="257"/>
      <c r="T8" s="257"/>
      <c r="U8" s="257"/>
      <c r="V8" s="258"/>
    </row>
    <row r="9" spans="1:22">
      <c r="B9" t="s">
        <v>103</v>
      </c>
      <c r="C9" s="19" t="s">
        <v>77</v>
      </c>
      <c r="D9" s="19"/>
      <c r="E9" s="17"/>
      <c r="F9" s="17"/>
      <c r="G9" s="17"/>
      <c r="H9" s="18"/>
      <c r="I9" s="17"/>
      <c r="J9" s="17"/>
      <c r="K9" s="17"/>
      <c r="L9" s="17"/>
      <c r="M9" s="17"/>
      <c r="N9" s="17"/>
      <c r="O9" s="17"/>
      <c r="P9" s="17"/>
      <c r="Q9" s="17"/>
      <c r="R9" s="17"/>
      <c r="S9" s="17"/>
      <c r="T9" s="17"/>
      <c r="U9" s="17"/>
    </row>
    <row r="10" spans="1:22" ht="15" customHeight="1">
      <c r="B10" s="146" t="s">
        <v>155</v>
      </c>
      <c r="C10" s="168" t="s">
        <v>104</v>
      </c>
      <c r="D10" s="220"/>
      <c r="E10" s="177" t="s">
        <v>231</v>
      </c>
    </row>
    <row r="11" spans="1:22" ht="15" customHeight="1">
      <c r="B11" s="146" t="s">
        <v>156</v>
      </c>
      <c r="C11" s="168" t="s">
        <v>105</v>
      </c>
      <c r="D11" s="221"/>
      <c r="E11" s="177" t="s">
        <v>232</v>
      </c>
    </row>
    <row r="12" spans="1:22" ht="15" customHeight="1">
      <c r="B12" s="146" t="s">
        <v>157</v>
      </c>
      <c r="C12" s="168" t="s">
        <v>10</v>
      </c>
      <c r="D12" s="221"/>
      <c r="E12" s="179" t="s">
        <v>233</v>
      </c>
    </row>
    <row r="13" spans="1:22" ht="15" customHeight="1">
      <c r="B13" s="146" t="s">
        <v>158</v>
      </c>
      <c r="C13" s="168" t="s">
        <v>106</v>
      </c>
      <c r="D13" s="221"/>
      <c r="E13" s="180" t="s">
        <v>234</v>
      </c>
    </row>
    <row r="14" spans="1:22" ht="15" customHeight="1">
      <c r="B14" s="146" t="s">
        <v>159</v>
      </c>
      <c r="C14" s="168" t="s">
        <v>107</v>
      </c>
      <c r="D14" s="221"/>
      <c r="E14" s="181" t="s">
        <v>141</v>
      </c>
    </row>
    <row r="15" spans="1:22" ht="15" customHeight="1">
      <c r="B15" s="146" t="s">
        <v>160</v>
      </c>
      <c r="C15" s="168" t="s">
        <v>26</v>
      </c>
      <c r="D15" s="221"/>
      <c r="E15" s="182">
        <v>0.69</v>
      </c>
    </row>
    <row r="16" spans="1:22" ht="15" customHeight="1">
      <c r="B16" s="146" t="s">
        <v>161</v>
      </c>
      <c r="C16" s="168" t="s">
        <v>80</v>
      </c>
      <c r="D16" s="221"/>
      <c r="E16" s="179" t="s">
        <v>82</v>
      </c>
    </row>
    <row r="17" spans="1:5" ht="15" customHeight="1">
      <c r="B17" s="146" t="s">
        <v>154</v>
      </c>
      <c r="C17" s="169" t="s">
        <v>108</v>
      </c>
      <c r="D17" s="221"/>
      <c r="E17" s="179" t="s">
        <v>235</v>
      </c>
    </row>
    <row r="18" spans="1:5" ht="15" customHeight="1">
      <c r="B18" s="146" t="s">
        <v>153</v>
      </c>
      <c r="C18" s="168" t="s">
        <v>16</v>
      </c>
      <c r="D18" s="221"/>
      <c r="E18" s="183" t="s">
        <v>146</v>
      </c>
    </row>
    <row r="19" spans="1:5" ht="15" customHeight="1">
      <c r="B19" s="146" t="s">
        <v>149</v>
      </c>
      <c r="C19" s="168" t="s">
        <v>25</v>
      </c>
      <c r="D19" s="221"/>
      <c r="E19" s="184">
        <v>45292</v>
      </c>
    </row>
    <row r="20" spans="1:5" ht="15" customHeight="1">
      <c r="B20" s="146" t="s">
        <v>150</v>
      </c>
      <c r="C20" s="168" t="s">
        <v>109</v>
      </c>
      <c r="D20" s="221"/>
      <c r="E20" s="185">
        <v>7.9699999999999993E-2</v>
      </c>
    </row>
    <row r="21" spans="1:5" ht="15" customHeight="1">
      <c r="B21" s="146" t="s">
        <v>151</v>
      </c>
      <c r="C21" s="168" t="s">
        <v>84</v>
      </c>
      <c r="D21" s="221"/>
      <c r="E21" s="178">
        <f t="array" ref="E21">IF(SUMPRODUCT((E16:E16="Renewing")*((E14:E14="Platinum")+(E14:E14="Gold")+(E14:E14="Silver")+(E14:E14="Bronze")+(E14:E14="Catastrophic")))=0, 0, ROUND(ROUND(SUMPRODUCT(1+E20:E20,E34:E34,E35:E35,--(E16:E16="Renewing")*((E14:E14="Platinum")+(E14:E14="Gold")+(E14:E14="Silver")+(E14:E14="Bronze")+(E14:E14="Catastrophic")))/SUMPRODUCT(E34:E34,E35:E35,--(E16:E16="Renewing")*((E14:E14="Platinum")+(E14:E14="Gold")+(E14:E14="Silver")+(E14:E14="Bronze")+(E14:E14="Catastrophic"))), 4)-1, 4))</f>
        <v>7.9699999999999993E-2</v>
      </c>
    </row>
    <row r="22" spans="1:5" ht="15" customHeight="1">
      <c r="B22" s="148" t="s">
        <v>152</v>
      </c>
      <c r="C22" s="139" t="s">
        <v>212</v>
      </c>
      <c r="D22" s="222"/>
      <c r="E22" s="235">
        <f t="array" ref="E22">IF(SUMPRODUCT((E16:E16="Renewing")*((E14:E14="Platinum")+(E14:E14="Gold")+(E14:E14="Silver")+(E14:E14="Bronze")+(E14:E14="Catastrophic")))=0, 0, ROUND(ROUND(SUMPRODUCT(1+E20:E20,E34:E34,E35:E35,--(E16:E16="Renewing")*((E14:E14="Platinum")+(E14:E14="Gold")+(E14:E14="Silver")+(E14:E14="Bronze")+(E14:E14="Catastrophic")))/SUMPRODUCT(E34:E34,E35:E35,--(E16:E16="Renewing")*((E14:E14="Platinum")+(E14:E14="Gold")+(E14:E14="Silver")+(E14:E14="Bronze")+(E14:E14="Catastrophic"))), 4)-1, 4))</f>
        <v>7.9699999999999993E-2</v>
      </c>
    </row>
    <row r="23" spans="1:5" ht="15" customHeight="1">
      <c r="E23" s="73"/>
    </row>
    <row r="24" spans="1:5" ht="15" customHeight="1">
      <c r="A24" s="71" t="s">
        <v>119</v>
      </c>
      <c r="C24" s="19" t="s">
        <v>110</v>
      </c>
      <c r="D24" s="19"/>
      <c r="E24" s="17"/>
    </row>
    <row r="25" spans="1:5" ht="15" customHeight="1">
      <c r="A25" s="149"/>
      <c r="B25" s="146" t="s">
        <v>162</v>
      </c>
      <c r="C25" s="152" t="s">
        <v>106</v>
      </c>
      <c r="D25" s="150" t="s">
        <v>2</v>
      </c>
      <c r="E25" s="90" t="str">
        <f>IF(E13&lt;&gt;"",E13,"")</f>
        <v>82824GA0040021</v>
      </c>
    </row>
    <row r="26" spans="1:5" ht="15" customHeight="1">
      <c r="A26" s="151">
        <f>'Wksh 1 - Market Experience'!E14</f>
        <v>1052081.3</v>
      </c>
      <c r="B26" s="146" t="s">
        <v>163</v>
      </c>
      <c r="C26" s="200" t="s">
        <v>86</v>
      </c>
      <c r="D26" s="198">
        <f>SUM(E26:E26)</f>
        <v>1052081.3</v>
      </c>
      <c r="E26" s="187">
        <v>1052081.3</v>
      </c>
    </row>
    <row r="27" spans="1:5" ht="15" customHeight="1">
      <c r="A27" s="153">
        <f>'Wksh 1 - Market Experience'!E15</f>
        <v>0</v>
      </c>
      <c r="B27" s="146" t="s">
        <v>164</v>
      </c>
      <c r="C27" s="200" t="s">
        <v>87</v>
      </c>
      <c r="D27" s="198">
        <f>SUM(E27:E27)</f>
        <v>0</v>
      </c>
      <c r="E27" s="187">
        <v>0</v>
      </c>
    </row>
    <row r="28" spans="1:5" ht="15" customHeight="1">
      <c r="A28" s="154"/>
      <c r="B28" s="146" t="s">
        <v>165</v>
      </c>
      <c r="C28" s="147" t="s">
        <v>111</v>
      </c>
      <c r="D28" s="201">
        <f>SUM(E28:E28)</f>
        <v>155411</v>
      </c>
      <c r="E28" s="187">
        <v>155411</v>
      </c>
    </row>
    <row r="29" spans="1:5" ht="15" customHeight="1">
      <c r="A29" s="154"/>
      <c r="B29" s="146" t="s">
        <v>166</v>
      </c>
      <c r="C29" s="156" t="s">
        <v>112</v>
      </c>
      <c r="D29" s="201">
        <f>SUM(E29:E29)</f>
        <v>0</v>
      </c>
      <c r="E29" s="187">
        <v>0</v>
      </c>
    </row>
    <row r="30" spans="1:5" ht="15" customHeight="1">
      <c r="A30" s="153">
        <f>'Wksh 1 - Market Experience'!E16</f>
        <v>896670.67</v>
      </c>
      <c r="B30" s="146" t="s">
        <v>167</v>
      </c>
      <c r="C30" s="147" t="s">
        <v>113</v>
      </c>
      <c r="D30" s="201">
        <f>D26-D27-D28-D29</f>
        <v>896670.3</v>
      </c>
      <c r="E30" s="217">
        <f>E26-E27-E28-E29</f>
        <v>896670.3</v>
      </c>
    </row>
    <row r="31" spans="1:5" ht="15" customHeight="1">
      <c r="A31" s="153">
        <f>'Wksh 1 - Market Experience'!E17</f>
        <v>399387.31</v>
      </c>
      <c r="B31" s="146" t="s">
        <v>168</v>
      </c>
      <c r="C31" s="156" t="s">
        <v>114</v>
      </c>
      <c r="D31" s="201">
        <f>SUM(E31:E31)</f>
        <v>399387.31</v>
      </c>
      <c r="E31" s="187">
        <v>399387.31</v>
      </c>
    </row>
    <row r="32" spans="1:5" ht="15" customHeight="1">
      <c r="A32" s="153">
        <f>'Wksh 1 - Market Experience'!E18</f>
        <v>596405.56999999995</v>
      </c>
      <c r="B32" s="146" t="s">
        <v>169</v>
      </c>
      <c r="C32" s="156" t="s">
        <v>115</v>
      </c>
      <c r="D32" s="201">
        <f>SUM(E32:E32)</f>
        <v>596405.56999999995</v>
      </c>
      <c r="E32" s="187">
        <v>596405.56999999995</v>
      </c>
    </row>
    <row r="33" spans="1:9" ht="15" customHeight="1">
      <c r="A33" s="157">
        <f>'Wksh 1 - Market Experience'!E19</f>
        <v>648</v>
      </c>
      <c r="B33" s="146" t="s">
        <v>170</v>
      </c>
      <c r="C33" s="156" t="s">
        <v>22</v>
      </c>
      <c r="D33" s="202">
        <f>SUM(E33:E33)</f>
        <v>648</v>
      </c>
      <c r="E33" s="218">
        <v>648</v>
      </c>
    </row>
    <row r="34" spans="1:9" ht="15" customHeight="1">
      <c r="A34" s="154"/>
      <c r="B34" s="146" t="s">
        <v>171</v>
      </c>
      <c r="C34" s="156" t="s">
        <v>116</v>
      </c>
      <c r="D34" s="202">
        <f>SUM(E34:E34)</f>
        <v>51</v>
      </c>
      <c r="E34" s="218">
        <v>51</v>
      </c>
      <c r="G34" s="5"/>
      <c r="H34" s="5"/>
    </row>
    <row r="35" spans="1:9" ht="15" customHeight="1">
      <c r="A35" s="149"/>
      <c r="B35" s="148" t="s">
        <v>172</v>
      </c>
      <c r="C35" s="138" t="s">
        <v>117</v>
      </c>
      <c r="D35" s="203">
        <f>SUMPRODUCT(E35:E35,E34:E34)/D34</f>
        <v>1036.8</v>
      </c>
      <c r="E35" s="188">
        <v>1036.8</v>
      </c>
      <c r="G35" s="5"/>
      <c r="H35" s="20"/>
    </row>
    <row r="36" spans="1:9" ht="15" customHeight="1">
      <c r="A36" s="149"/>
      <c r="B36" s="204" t="s">
        <v>173</v>
      </c>
      <c r="C36" s="205" t="s">
        <v>118</v>
      </c>
      <c r="D36" s="158">
        <f>D30/(D31+D32)</f>
        <v>0.90045863754318078</v>
      </c>
      <c r="E36" s="88">
        <f>E30/(E31+E32)</f>
        <v>0.90045863754318078</v>
      </c>
    </row>
    <row r="37" spans="1:9" ht="15" customHeight="1">
      <c r="A37" s="72"/>
      <c r="C37" s="76" t="s">
        <v>120</v>
      </c>
      <c r="D37" s="25"/>
      <c r="G37" s="5"/>
      <c r="H37" s="5"/>
      <c r="I37" s="5"/>
    </row>
    <row r="38" spans="1:9" ht="15" customHeight="1">
      <c r="A38" s="149"/>
      <c r="B38" s="146" t="s">
        <v>174</v>
      </c>
      <c r="C38" s="156" t="s">
        <v>86</v>
      </c>
      <c r="D38" s="86">
        <f>D26/D33</f>
        <v>1623.5822530864198</v>
      </c>
      <c r="E38" s="86">
        <f>E26/E33</f>
        <v>1623.5822530864198</v>
      </c>
    </row>
    <row r="39" spans="1:9" ht="15" customHeight="1">
      <c r="A39" s="149"/>
      <c r="B39" s="146" t="s">
        <v>175</v>
      </c>
      <c r="C39" s="156" t="s">
        <v>87</v>
      </c>
      <c r="D39" s="86">
        <f>D27/D33</f>
        <v>0</v>
      </c>
      <c r="E39" s="86">
        <f>E27/E33</f>
        <v>0</v>
      </c>
    </row>
    <row r="40" spans="1:9" ht="15" customHeight="1">
      <c r="A40" s="149"/>
      <c r="B40" s="146" t="s">
        <v>176</v>
      </c>
      <c r="C40" s="156" t="s">
        <v>111</v>
      </c>
      <c r="D40" s="86">
        <f>D28/D33</f>
        <v>239.83179012345678</v>
      </c>
      <c r="E40" s="86">
        <f>E28/E33</f>
        <v>239.83179012345678</v>
      </c>
    </row>
    <row r="41" spans="1:9" ht="15" customHeight="1">
      <c r="A41" s="149"/>
      <c r="B41" s="146" t="s">
        <v>177</v>
      </c>
      <c r="C41" s="156" t="s">
        <v>112</v>
      </c>
      <c r="D41" s="86">
        <f>D29/D33</f>
        <v>0</v>
      </c>
      <c r="E41" s="86">
        <f>E29/E33</f>
        <v>0</v>
      </c>
    </row>
    <row r="42" spans="1:9" ht="15" customHeight="1">
      <c r="A42" s="149"/>
      <c r="B42" s="146" t="s">
        <v>178</v>
      </c>
      <c r="C42" s="156" t="s">
        <v>113</v>
      </c>
      <c r="D42" s="86">
        <f>D30/D33</f>
        <v>1383.750462962963</v>
      </c>
      <c r="E42" s="86">
        <f>E30/E33</f>
        <v>1383.750462962963</v>
      </c>
    </row>
    <row r="43" spans="1:9" ht="15" customHeight="1">
      <c r="A43" s="149"/>
      <c r="B43" s="146" t="s">
        <v>179</v>
      </c>
      <c r="C43" s="156" t="s">
        <v>114</v>
      </c>
      <c r="D43" s="86">
        <f>D31/D33</f>
        <v>616.33844135802474</v>
      </c>
      <c r="E43" s="86">
        <f>E31/E33</f>
        <v>616.33844135802474</v>
      </c>
    </row>
    <row r="44" spans="1:9" ht="15" customHeight="1">
      <c r="A44" s="149"/>
      <c r="B44" s="148" t="s">
        <v>180</v>
      </c>
      <c r="C44" s="155" t="s">
        <v>115</v>
      </c>
      <c r="D44" s="86">
        <f>D32/D33</f>
        <v>920.3789660493826</v>
      </c>
      <c r="E44" s="86">
        <f>E32/E33</f>
        <v>920.3789660493826</v>
      </c>
    </row>
    <row r="45" spans="1:9" ht="15" customHeight="1"/>
    <row r="46" spans="1:9" ht="15" customHeight="1">
      <c r="C46" s="76" t="s">
        <v>121</v>
      </c>
    </row>
    <row r="47" spans="1:9" ht="15" customHeight="1">
      <c r="B47" s="146" t="s">
        <v>181</v>
      </c>
      <c r="C47" s="163" t="s">
        <v>106</v>
      </c>
      <c r="D47" s="165"/>
      <c r="E47" s="191" t="str">
        <f>IF(E13&lt;&gt;"",E13,"")</f>
        <v>82824GA0040021</v>
      </c>
    </row>
    <row r="48" spans="1:9" ht="15" customHeight="1">
      <c r="B48" s="146" t="s">
        <v>182</v>
      </c>
      <c r="C48" s="163" t="s">
        <v>122</v>
      </c>
      <c r="D48" s="166"/>
      <c r="E48" s="236">
        <f>'Wksh 1 - Market Experience'!F46</f>
        <v>1240.21</v>
      </c>
    </row>
    <row r="49" spans="2:5" ht="15" customHeight="1">
      <c r="B49" s="146" t="s">
        <v>183</v>
      </c>
      <c r="C49" s="163" t="s">
        <v>123</v>
      </c>
      <c r="D49" s="166"/>
      <c r="E49" s="193">
        <v>0.72699999999999998</v>
      </c>
    </row>
    <row r="50" spans="2:5" ht="15" customHeight="1">
      <c r="B50" s="146" t="s">
        <v>184</v>
      </c>
      <c r="C50" s="163" t="s">
        <v>124</v>
      </c>
      <c r="D50" s="166"/>
      <c r="E50" s="193">
        <v>1</v>
      </c>
    </row>
    <row r="51" spans="2:5" ht="15" customHeight="1">
      <c r="B51" s="148" t="s">
        <v>185</v>
      </c>
      <c r="C51" s="164" t="s">
        <v>125</v>
      </c>
      <c r="D51" s="167"/>
      <c r="E51" s="193">
        <v>1</v>
      </c>
    </row>
    <row r="52" spans="2:5" ht="15" customHeight="1">
      <c r="C52" s="77" t="s">
        <v>133</v>
      </c>
    </row>
    <row r="53" spans="2:5" ht="15" customHeight="1">
      <c r="B53" s="146" t="s">
        <v>186</v>
      </c>
      <c r="C53" s="172" t="s">
        <v>134</v>
      </c>
      <c r="D53" s="165"/>
      <c r="E53" s="196">
        <v>5.8500000000000003E-2</v>
      </c>
    </row>
    <row r="54" spans="2:5" ht="15" customHeight="1">
      <c r="B54" s="146" t="s">
        <v>187</v>
      </c>
      <c r="C54" s="172" t="s">
        <v>135</v>
      </c>
      <c r="D54" s="166"/>
      <c r="E54" s="196">
        <v>2.0799999999999999E-2</v>
      </c>
    </row>
    <row r="55" spans="2:5" ht="15" customHeight="1">
      <c r="B55" s="146" t="s">
        <v>188</v>
      </c>
      <c r="C55" s="172" t="s">
        <v>12</v>
      </c>
      <c r="D55" s="166"/>
      <c r="E55" s="196">
        <v>5.6099999999999997E-2</v>
      </c>
    </row>
    <row r="56" spans="2:5" ht="15" customHeight="1">
      <c r="B56" s="146" t="s">
        <v>189</v>
      </c>
      <c r="C56" s="163" t="s">
        <v>126</v>
      </c>
      <c r="D56" s="166"/>
      <c r="E56" s="193">
        <v>1</v>
      </c>
    </row>
    <row r="57" spans="2:5" ht="15" customHeight="1">
      <c r="B57" s="148" t="s">
        <v>190</v>
      </c>
      <c r="C57" s="173" t="s">
        <v>79</v>
      </c>
      <c r="D57" s="167"/>
      <c r="E57" s="195">
        <f>($E$48*PRODUCT(E49:E51)*E56)/(1-SUM(E53:E55))</f>
        <v>1042.8321420309969</v>
      </c>
    </row>
    <row r="58" spans="2:5" ht="15" customHeight="1"/>
    <row r="59" spans="2:5" ht="15" customHeight="1">
      <c r="B59" s="146" t="s">
        <v>191</v>
      </c>
      <c r="C59" s="156" t="s">
        <v>127</v>
      </c>
      <c r="D59" s="208">
        <v>0.56840000000000002</v>
      </c>
      <c r="E59" s="206">
        <f>IF(D59&lt;&gt;"", D59, "")</f>
        <v>0.56840000000000002</v>
      </c>
    </row>
    <row r="60" spans="2:5" ht="15" customHeight="1">
      <c r="B60" s="146" t="s">
        <v>192</v>
      </c>
      <c r="C60" s="156" t="s">
        <v>128</v>
      </c>
      <c r="D60" s="208">
        <v>0.99770000000000003</v>
      </c>
      <c r="E60" s="206">
        <f>IF(D60&lt;&gt;"", D60, "")</f>
        <v>0.99770000000000003</v>
      </c>
    </row>
    <row r="61" spans="2:5" ht="15" customHeight="1">
      <c r="B61" s="146" t="s">
        <v>193</v>
      </c>
      <c r="C61" s="156" t="s">
        <v>129</v>
      </c>
      <c r="D61" s="208">
        <v>1</v>
      </c>
      <c r="E61" s="206">
        <f>IF(D61&lt;&gt;"", D61, "")</f>
        <v>1</v>
      </c>
    </row>
    <row r="62" spans="2:5" ht="15" customHeight="1">
      <c r="B62" s="148" t="s">
        <v>194</v>
      </c>
      <c r="C62" s="171" t="s">
        <v>136</v>
      </c>
      <c r="D62" s="170"/>
      <c r="E62" s="195">
        <f>E57*(PRODUCT($E$59:$E$61))</f>
        <v>591.38247421449876</v>
      </c>
    </row>
    <row r="63" spans="2:5" ht="15" customHeight="1"/>
    <row r="64" spans="2:5" ht="15" customHeight="1">
      <c r="C64" s="76" t="s">
        <v>130</v>
      </c>
    </row>
    <row r="65" spans="2:5" ht="15" customHeight="1">
      <c r="B65" s="146" t="s">
        <v>195</v>
      </c>
      <c r="C65" s="152" t="s">
        <v>106</v>
      </c>
      <c r="D65" s="174" t="s">
        <v>2</v>
      </c>
      <c r="E65" s="90" t="str">
        <f>IF(E13&lt;&gt;"",E13,"")</f>
        <v>82824GA0040021</v>
      </c>
    </row>
    <row r="66" spans="2:5" ht="15" customHeight="1">
      <c r="B66" s="146" t="s">
        <v>196</v>
      </c>
      <c r="C66" s="152" t="s">
        <v>86</v>
      </c>
      <c r="D66" s="159">
        <f>SUM(E66:E66)</f>
        <v>808911.2</v>
      </c>
      <c r="E66" s="187">
        <v>808911.2</v>
      </c>
    </row>
    <row r="67" spans="2:5" ht="15" customHeight="1">
      <c r="B67" s="146" t="s">
        <v>197</v>
      </c>
      <c r="C67" s="152" t="s">
        <v>87</v>
      </c>
      <c r="D67" s="159">
        <f>SUM(E67:E67)</f>
        <v>0</v>
      </c>
      <c r="E67" s="187">
        <v>0</v>
      </c>
    </row>
    <row r="68" spans="2:5" ht="15" customHeight="1">
      <c r="B68" s="146" t="s">
        <v>198</v>
      </c>
      <c r="C68" s="152" t="s">
        <v>111</v>
      </c>
      <c r="D68" s="159">
        <f>SUM(E68:E68)</f>
        <v>220877.78</v>
      </c>
      <c r="E68" s="187">
        <v>220877.78</v>
      </c>
    </row>
    <row r="69" spans="2:5" ht="15" customHeight="1">
      <c r="B69" s="146" t="s">
        <v>199</v>
      </c>
      <c r="C69" s="152" t="s">
        <v>112</v>
      </c>
      <c r="D69" s="159">
        <f>SUM(E69:E69)</f>
        <v>0</v>
      </c>
      <c r="E69" s="187">
        <v>0</v>
      </c>
    </row>
    <row r="70" spans="2:5" ht="15" customHeight="1">
      <c r="B70" s="146" t="s">
        <v>200</v>
      </c>
      <c r="C70" s="152" t="s">
        <v>113</v>
      </c>
      <c r="D70" s="159">
        <f>D66-D67-D68-D69</f>
        <v>588033.41999999993</v>
      </c>
      <c r="E70" s="159">
        <f>E66-E67-E68-E69</f>
        <v>588033.41999999993</v>
      </c>
    </row>
    <row r="71" spans="2:5" ht="15" customHeight="1">
      <c r="B71" s="146" t="s">
        <v>201</v>
      </c>
      <c r="C71" s="152" t="s">
        <v>114</v>
      </c>
      <c r="D71" s="159">
        <f>SUM(E71:E71)</f>
        <v>36270.9</v>
      </c>
      <c r="E71" s="187">
        <v>36270.9</v>
      </c>
    </row>
    <row r="72" spans="2:5" ht="15" customHeight="1">
      <c r="B72" s="146" t="s">
        <v>202</v>
      </c>
      <c r="C72" s="152" t="s">
        <v>115</v>
      </c>
      <c r="D72" s="159">
        <f>SUM(E72:E72)</f>
        <v>638200.34</v>
      </c>
      <c r="E72" s="187">
        <v>638200.34</v>
      </c>
    </row>
    <row r="73" spans="2:5" ht="15" customHeight="1">
      <c r="B73" s="146" t="s">
        <v>203</v>
      </c>
      <c r="C73" s="152" t="s">
        <v>4</v>
      </c>
      <c r="D73" s="176">
        <f>SUM(E73:E73)</f>
        <v>612</v>
      </c>
      <c r="E73" s="218">
        <v>612</v>
      </c>
    </row>
    <row r="74" spans="2:5" ht="15" customHeight="1">
      <c r="B74" s="148" t="s">
        <v>204</v>
      </c>
      <c r="C74" s="170" t="s">
        <v>118</v>
      </c>
      <c r="D74" s="89">
        <f>D70/(D71+D72)</f>
        <v>0.87184357927552247</v>
      </c>
      <c r="E74" s="89">
        <f>E70/(E71+E72)</f>
        <v>0.87184357927552247</v>
      </c>
    </row>
    <row r="75" spans="2:5" ht="15" customHeight="1">
      <c r="C75" s="78" t="s">
        <v>120</v>
      </c>
    </row>
    <row r="76" spans="2:5" ht="15" customHeight="1">
      <c r="B76" s="146" t="s">
        <v>205</v>
      </c>
      <c r="C76" s="152" t="s">
        <v>86</v>
      </c>
      <c r="D76" s="107">
        <f>D66/D73</f>
        <v>1321.7503267973855</v>
      </c>
      <c r="E76" s="107">
        <f>E66/E73</f>
        <v>1321.7503267973855</v>
      </c>
    </row>
    <row r="77" spans="2:5" ht="15" customHeight="1">
      <c r="B77" s="146" t="s">
        <v>206</v>
      </c>
      <c r="C77" s="152" t="s">
        <v>87</v>
      </c>
      <c r="D77" s="86">
        <f>D67/D73</f>
        <v>0</v>
      </c>
      <c r="E77" s="86">
        <f>E67/E73</f>
        <v>0</v>
      </c>
    </row>
    <row r="78" spans="2:5" ht="15" customHeight="1">
      <c r="B78" s="146" t="s">
        <v>207</v>
      </c>
      <c r="C78" s="152" t="s">
        <v>111</v>
      </c>
      <c r="D78" s="107">
        <f>D68/D73</f>
        <v>360.91140522875816</v>
      </c>
      <c r="E78" s="107">
        <f>E68/E73</f>
        <v>360.91140522875816</v>
      </c>
    </row>
    <row r="79" spans="2:5" ht="15" customHeight="1">
      <c r="B79" s="146" t="s">
        <v>208</v>
      </c>
      <c r="C79" s="152" t="s">
        <v>112</v>
      </c>
      <c r="D79" s="107">
        <f>D69/D73</f>
        <v>0</v>
      </c>
      <c r="E79" s="107">
        <f>E69/E73</f>
        <v>0</v>
      </c>
    </row>
    <row r="80" spans="2:5" ht="15" customHeight="1">
      <c r="B80" s="146" t="s">
        <v>209</v>
      </c>
      <c r="C80" s="152" t="s">
        <v>113</v>
      </c>
      <c r="D80" s="107">
        <f>D70/D73</f>
        <v>960.83892156862737</v>
      </c>
      <c r="E80" s="107">
        <f>E70/E73</f>
        <v>960.83892156862737</v>
      </c>
    </row>
    <row r="81" spans="2:5" ht="15" customHeight="1">
      <c r="B81" s="146" t="s">
        <v>210</v>
      </c>
      <c r="C81" s="152" t="s">
        <v>114</v>
      </c>
      <c r="D81" s="107">
        <f>D71/D73</f>
        <v>59.266176470588235</v>
      </c>
      <c r="E81" s="107">
        <f>E71/E73</f>
        <v>59.266176470588235</v>
      </c>
    </row>
    <row r="82" spans="2:5" ht="15" customHeight="1">
      <c r="B82" s="148" t="s">
        <v>211</v>
      </c>
      <c r="C82" s="170" t="s">
        <v>115</v>
      </c>
      <c r="D82" s="107">
        <f>D72/D73</f>
        <v>1042.8110130718953</v>
      </c>
      <c r="E82" s="107">
        <f>E72/E73</f>
        <v>1042.8110130718953</v>
      </c>
    </row>
    <row r="83" spans="2:5" ht="15" customHeight="1"/>
  </sheetData>
  <sheetProtection algorithmName="SHA-512" hashValue="w495fjD2DY9uSvTPhC6P/DIx0wWZJXFBBRd1GQ8oIUkErV0+GbNaNXUshb/L+o2vCxcwE6raqVC1fddK4PhV4w==" saltValue="0Uk2U9PoxedWDaQ0Wyl6QQ==" spinCount="100000" sheet="1" objects="1"/>
  <mergeCells count="1">
    <mergeCell ref="C7:V8"/>
  </mergeCells>
  <dataValidations disablePrompts="1" xWindow="756" yWindow="613" count="38">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F3C4E1C7-8A53-4C50-A22F-9590CB3F8534}">
      <formula1>0</formula1>
    </dataValidation>
    <dataValidation allowBlank="1" showInputMessage="1" showErrorMessage="1" promptTitle="Required:" prompt="Enter the Premium for each plan for the projection period as a dollar amount greater than or equal to 0, with up to 16 characters including decimal place." sqref="E72" xr:uid="{5350A848-2351-4C51-B7B2-069DDB110CDF}"/>
    <dataValidation allowBlank="1" showInputMessage="1" showErrorMessage="1" promptTitle="Required:" prompt="Enter the Risk Adjustment Transfer Amount for the benefit plan for the projection period as a dollar value with up to 16 characters including decimal place." sqref="E71" xr:uid="{6827D3A7-D891-44ED-B8C1-73354F55A6A4}"/>
    <dataValidation allowBlank="1" showInputMessage="1" showErrorMessage="1" promptTitle="Required:" prompt="Enter the Cost Sharing Reduction for the benefit plan for the projection period as a dollar value with up to 16 characters including decimal place." sqref="E69" xr:uid="{E456CBA0-B292-41BA-8418-DB76C7F80089}"/>
    <dataValidation allowBlank="1" showInputMessage="1" showErrorMessage="1" promptTitle="Required:" prompt="Enter the Member Cost Sharing for the benefit plan for the projection period as a dollar value with up to 16 characters including decimal place." sqref="E68" xr:uid="{ED8164A4-4346-476A-BF73-7BDD141963C5}"/>
    <dataValidation allowBlank="1" showInputMessage="1" showErrorMessage="1" promptTitle="Required:" prompt="Enter the Reinsurance for the benefit plan for the projection period as a dollar value with up to 16 characters including decimal place." sqref="E67" xr:uid="{3830D9BA-D905-498D-AE4C-F6CEF565B253}"/>
    <dataValidation allowBlank="1" showInputMessage="1" showErrorMessage="1" promptTitle="Required:" prompt="Enter the total allowed claims for the benefit plan for the projection period as a dollar value with up to 16 characters including decimal place." sqref="E66" xr:uid="{5E4B51C4-DAE6-4EA2-B890-59E9B9B63676}"/>
    <dataValidation allowBlank="1" showInputMessage="1" showErrorMessage="1" promptTitle="Required:" prompt="Enter the Catastrophic Adjustment for each plan as a numeric value greater than or equal to 0 with up to 16 characters including decimal place." sqref="E56" xr:uid="{7180AE39-9972-48F5-A57C-9D805E666048}"/>
    <dataValidation allowBlank="1" showInputMessage="1" showErrorMessage="1" promptTitle="Required:" prompt="Enter the Profit and Risk Load as a percentage up to 16 characters including decimal place." sqref="E55" xr:uid="{B131D17F-9675-45FC-8DAF-197985FE9C61}"/>
    <dataValidation allowBlank="1" showInputMessage="1" showErrorMessage="1" promptTitle="Required:" prompt="Enter the Taxes and Fees as a percentage up to 16 characters including decimal place." sqref="E54" xr:uid="{EC374B4E-4395-44C3-9D62-BFD42BADE56B}"/>
    <dataValidation allowBlank="1" showInputMessage="1" showErrorMessage="1" promptTitle="Required:" prompt="Enter the Administrative Expense as a percentage up to 16 characters including decimal place." sqref="E53" xr:uid="{D1FC86B9-054D-44B6-918A-9F381A70A4D7}"/>
    <dataValidation allowBlank="1" showInputMessage="1" showErrorMessage="1" promptTitle="Required:" prompt="Enter the Benefits in Addition to EHB as a numeric value up to 16 characters including decimal place." sqref="E51" xr:uid="{302988C5-C34B-4FD5-80F9-467FDE4ACC65}"/>
    <dataValidation allowBlank="1" showInputMessage="1" showErrorMessage="1" promptTitle="Required:" prompt="Enter the Provider Network Adjustment as a numeric value up to 16 characters including decimal place." sqref="E50" xr:uid="{A34845A1-4EC8-4471-AA56-41C7F5E19E94}"/>
    <dataValidation allowBlank="1" showInputMessage="1" showErrorMessage="1" promptTitle="Required:" prompt="Enter the AV Cost Sharing Design of Plan as a numeric value up to 16 characters including decimal place." sqref="E49" xr:uid="{18F7A64E-FF03-456C-951E-9DB4A4397A9A}"/>
    <dataValidation allowBlank="1" showInputMessage="1" showErrorMessage="1" promptTitle="Required:" prompt="Enter the Current Premium PMPM as a dollar amount greater than or equal to 0, with up to 16 characters including decimal place." sqref="E35" xr:uid="{EE323B95-8E13-4DD6-BBB7-843362C93782}"/>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7E403D90-2699-45C3-9A8C-E56A4B857910}">
      <formula1>0</formula1>
    </dataValidation>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EDF57E39-8CFD-4322-B6B3-E1AE7C1EF1B0}">
      <formula1>0</formula1>
    </dataValidation>
    <dataValidation allowBlank="1" showInputMessage="1" showErrorMessage="1" promptTitle="Required:" prompt="Enter the Premium for each plan during the experience period as a dollar amount greater than or equal to 0, with up to 16 characters including decimal place." sqref="E32" xr:uid="{1821721B-102D-4BC0-9878-4E6401C1A439}"/>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8D780389-6B53-4FFE-8041-D60E97FEEDE9}"/>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CC140F87-5DBA-4FB4-A99F-FD6B9C488C26}">
      <formula1>AND(ISNUMBER(E30),IF(ISNUMBER(SEARCH(".", E30)),LEN(E30)-SEARCH(".", E30)&lt;3,1))</formula1>
    </dataValidation>
    <dataValidation allowBlank="1" showInputMessage="1" showErrorMessage="1" promptTitle="Required:" prompt="Enter the Cost Sharing Reduction for the benefit plan with service dates within the experience period as a dollar value with up to 16 characters including decimal place." sqref="E29" xr:uid="{4B912C09-6E89-4212-8A60-EBEB83D0F7E2}"/>
    <dataValidation allowBlank="1" showInputMessage="1" showErrorMessage="1" promptTitle="Required:" prompt="Enter the Member Cost Sharing for the benefit plan with service dates within the experience period as a dollar value with up to 16 characters including decimal place." sqref="E28" xr:uid="{C8D88870-9CDE-47F4-BDBC-B4FCB7D2005E}"/>
    <dataValidation allowBlank="1" showInputMessage="1" showErrorMessage="1" promptTitle="Required:" prompt="Enter Reinsurance for the benefit plan with service dates within the experience period as a dollar value with up to 16 characters including decimal place." sqref="E27" xr:uid="{5E3C1E55-0925-4AB2-8757-00DE9AF633C9}"/>
    <dataValidation allowBlank="1" showInputMessage="1" showErrorMessage="1" promptTitle="Required:" prompt="Enter the total allowed claims for the benefit plan with service dates within the experience period as a dollar value with up to 16 characters including decimal place." sqref="E26" xr:uid="{3497ADBC-E982-45CD-971C-B5FCD624341A}"/>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CA11D690-F659-49F4-AD60-65876594F142}"/>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5156F2EB-A103-4E10-80BB-01CEC7DE8DE2}">
      <formula1>40179</formula1>
    </dataValidation>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7012605A-FDD3-41AE-882D-B537649727F4}">
      <formula1>YesNo</formula1>
    </dataValidation>
    <dataValidation allowBlank="1" showInputMessage="1" showErrorMessage="1" promptTitle="Required:" prompt="Enter the AV Metal Value for the designated plan as a numeric value between 0 and 1, with up to 16 characters including decimal place." sqref="E15" xr:uid="{A7D589B0-7C40-44AB-BB1B-B4249924CF1E}"/>
    <dataValidation type="list" operator="greaterThan" allowBlank="1" showInputMessage="1" showErrorMessage="1" errorTitle="Value not valid:" error="Select a value from the list." promptTitle="Required:" prompt="Select the Plan Category for the designated plan." sqref="E16" xr:uid="{C11B0407-77D2-4D2D-A4B2-30F052B3C89A}">
      <formula1>CategoryList</formula1>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155C98A7-550D-41E0-9AB7-D1BB556E69CD}">
      <formula1>14</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1A85EC71-F469-4035-9CD5-35A25F31C466}">
      <formula1>1</formula1>
      <formula2>100</formula2>
    </dataValidation>
    <dataValidation type="list" operator="greaterThan" allowBlank="1" showInputMessage="1" showErrorMessage="1" errorTitle="Value not valid:" error="Select a value from the list." promptTitle="Required:" prompt="Select the Metal for the designated plan." sqref="E14" xr:uid="{72A39772-99A1-4799-B7C5-EA32F5DCF64C}">
      <formula1>MetalLevels</formula1>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E372BC99-C8C3-4CE0-B726-232DECD30697}">
      <formula1>10</formula1>
      <formula2>10</formula2>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63F8A5FC-C4E0-40EE-9E5F-8C2432AAD42E}">
      <formula1>0</formula1>
      <formula2>100</formula2>
    </dataValidation>
    <dataValidation type="list" allowBlank="1" showInputMessage="1" showErrorMessage="1" errorTitle="Value not valid:" error="Select a value from the list." promptTitle="Required:" prompt="Select the Plan Type for the designated plan." sqref="E17" xr:uid="{5BED7309-EB52-4262-BF85-5051763FB4EE}">
      <formula1>"HMO, PPO, Indemnity, EPO, POS"</formula1>
    </dataValidation>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5</xdr:col>
                    <xdr:colOff>1038225</xdr:colOff>
                    <xdr:row>1</xdr:row>
                    <xdr:rowOff>47625</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9525</xdr:colOff>
                    <xdr:row>0</xdr:row>
                    <xdr:rowOff>0</xdr:rowOff>
                  </from>
                  <to>
                    <xdr:col>8</xdr:col>
                    <xdr:colOff>9525</xdr:colOff>
                    <xdr:row>1</xdr:row>
                    <xdr:rowOff>47625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19050</xdr:colOff>
                    <xdr:row>0</xdr:row>
                    <xdr:rowOff>0</xdr:rowOff>
                  </from>
                  <to>
                    <xdr:col>9</xdr:col>
                    <xdr:colOff>9525</xdr:colOff>
                    <xdr:row>1</xdr:row>
                    <xdr:rowOff>47625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9525</xdr:colOff>
                    <xdr:row>0</xdr:row>
                    <xdr:rowOff>0</xdr:rowOff>
                  </from>
                  <to>
                    <xdr:col>7</xdr:col>
                    <xdr:colOff>0</xdr:colOff>
                    <xdr:row>1</xdr:row>
                    <xdr:rowOff>47625</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228600</xdr:colOff>
                    <xdr:row>0</xdr:row>
                    <xdr:rowOff>0</xdr:rowOff>
                  </from>
                  <to>
                    <xdr:col>10</xdr:col>
                    <xdr:colOff>219075</xdr:colOff>
                    <xdr:row>1</xdr:row>
                    <xdr:rowOff>47625</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228600</xdr:colOff>
                    <xdr:row>0</xdr:row>
                    <xdr:rowOff>0</xdr:rowOff>
                  </from>
                  <to>
                    <xdr:col>10</xdr:col>
                    <xdr:colOff>209550</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21"/>
  <sheetViews>
    <sheetView zoomScaleNormal="100" workbookViewId="0">
      <selection activeCell="E6" sqref="E6"/>
    </sheetView>
  </sheetViews>
  <sheetFormatPr defaultColWidth="0" defaultRowHeight="15"/>
  <cols>
    <col min="1" max="1" width="28.7109375" style="87" customWidth="1"/>
    <col min="2" max="2" width="28.7109375" style="91" customWidth="1"/>
    <col min="3" max="14" width="9.140625" customWidth="1"/>
    <col min="15" max="16384" width="9.140625" hidden="1"/>
  </cols>
  <sheetData>
    <row r="1" spans="1:5" ht="15.75">
      <c r="A1" s="81" t="s">
        <v>222</v>
      </c>
      <c r="B1"/>
      <c r="C1" s="99" t="s">
        <v>217</v>
      </c>
    </row>
    <row r="2" spans="1:5">
      <c r="A2" s="100" t="s">
        <v>227</v>
      </c>
      <c r="B2"/>
      <c r="C2" s="99" t="s">
        <v>218</v>
      </c>
    </row>
    <row r="3" spans="1:5">
      <c r="A3"/>
      <c r="B3"/>
      <c r="C3" s="99" t="s">
        <v>215</v>
      </c>
    </row>
    <row r="4" spans="1:5">
      <c r="A4"/>
      <c r="B4"/>
      <c r="C4" s="99" t="s">
        <v>216</v>
      </c>
    </row>
    <row r="5" spans="1:5">
      <c r="A5" s="79" t="s">
        <v>131</v>
      </c>
      <c r="B5" s="80" t="s">
        <v>132</v>
      </c>
      <c r="C5" s="99"/>
    </row>
    <row r="6" spans="1:5">
      <c r="A6" s="87" t="s">
        <v>236</v>
      </c>
      <c r="B6" s="91">
        <v>1.2944</v>
      </c>
      <c r="E6" s="233"/>
    </row>
    <row r="7" spans="1:5">
      <c r="A7" s="87" t="s">
        <v>237</v>
      </c>
      <c r="B7" s="91">
        <v>1.0587</v>
      </c>
    </row>
    <row r="8" spans="1:5">
      <c r="A8" s="87" t="s">
        <v>238</v>
      </c>
      <c r="B8" s="91">
        <v>1</v>
      </c>
    </row>
    <row r="9" spans="1:5">
      <c r="A9" s="87" t="s">
        <v>239</v>
      </c>
      <c r="B9" s="91">
        <v>1.1656</v>
      </c>
    </row>
    <row r="10" spans="1:5">
      <c r="A10" s="87" t="s">
        <v>240</v>
      </c>
      <c r="B10" s="91">
        <v>0.99050000000000005</v>
      </c>
    </row>
    <row r="11" spans="1:5">
      <c r="A11" s="87" t="s">
        <v>241</v>
      </c>
      <c r="B11" s="91">
        <v>1.1160000000000001</v>
      </c>
    </row>
    <row r="12" spans="1:5">
      <c r="A12" s="87" t="s">
        <v>242</v>
      </c>
      <c r="B12" s="91">
        <v>1.27</v>
      </c>
    </row>
    <row r="13" spans="1:5">
      <c r="A13" s="87" t="s">
        <v>243</v>
      </c>
      <c r="B13" s="91">
        <v>0.99219999999999997</v>
      </c>
    </row>
    <row r="14" spans="1:5">
      <c r="A14" s="87" t="s">
        <v>244</v>
      </c>
      <c r="B14" s="91">
        <v>1.1345000000000001</v>
      </c>
    </row>
    <row r="15" spans="1:5">
      <c r="A15" s="87" t="s">
        <v>245</v>
      </c>
      <c r="B15" s="91">
        <v>1.0851999999999999</v>
      </c>
    </row>
    <row r="16" spans="1:5">
      <c r="A16" s="87" t="s">
        <v>246</v>
      </c>
      <c r="B16" s="91">
        <v>1.1657</v>
      </c>
    </row>
    <row r="17" spans="1:2">
      <c r="A17" s="87" t="s">
        <v>247</v>
      </c>
      <c r="B17" s="91">
        <v>0.9929</v>
      </c>
    </row>
    <row r="18" spans="1:2">
      <c r="A18" s="87" t="s">
        <v>248</v>
      </c>
      <c r="B18" s="91">
        <v>1.1396999999999999</v>
      </c>
    </row>
    <row r="19" spans="1:2">
      <c r="A19" s="87" t="s">
        <v>249</v>
      </c>
      <c r="B19" s="91">
        <v>1.0370999999999999</v>
      </c>
    </row>
    <row r="20" spans="1:2">
      <c r="A20" s="87" t="s">
        <v>250</v>
      </c>
      <c r="B20" s="91">
        <v>1.2270000000000001</v>
      </c>
    </row>
    <row r="21" spans="1:2">
      <c r="A21" s="87" t="s">
        <v>251</v>
      </c>
      <c r="B21" s="91">
        <v>1.0976999999999999</v>
      </c>
    </row>
  </sheetData>
  <sheetProtection algorithmName="SHA-512" hashValue="alq4l10kd9LTJbgex2R9LtGYghAJke8MV4VKE7BIo1JlQpfxrF8xR+WgZKHWnf8fY4iXEYNRUck00ZSTQp1MRg==" saltValue="ZI6Lb66WZrAVPqfT9UOO7g==" spinCount="100000" sheet="1" objects="1" scenarios="1"/>
  <dataValidations disablePrompts="1"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1647825</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47625</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140625" bestFit="1" customWidth="1"/>
    <col min="2" max="2" width="7.5703125" customWidth="1"/>
    <col min="3" max="3" width="43.85546875" customWidth="1"/>
    <col min="4" max="4" width="14.5703125" customWidth="1"/>
    <col min="5" max="5" width="15" customWidth="1"/>
    <col min="6" max="6" width="12.140625" customWidth="1"/>
    <col min="7" max="7" width="14.855468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140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85546875" customWidth="1"/>
    <col min="24" max="24" width="15.28515625" customWidth="1"/>
    <col min="25" max="25" width="13.85546875" customWidth="1"/>
  </cols>
  <sheetData>
    <row r="1" spans="2:23" ht="18.75">
      <c r="C1" s="16" t="s">
        <v>13</v>
      </c>
      <c r="D1" s="16"/>
      <c r="E1" s="3"/>
      <c r="F1" s="3"/>
      <c r="G1" s="3"/>
      <c r="H1" s="3"/>
      <c r="I1" s="4"/>
      <c r="J1" s="1"/>
      <c r="K1" s="1"/>
      <c r="L1" s="1"/>
      <c r="M1" s="1"/>
      <c r="N1" s="1"/>
      <c r="O1" s="1"/>
      <c r="P1" s="1"/>
      <c r="Q1" s="1"/>
      <c r="R1" s="1"/>
      <c r="S1" s="1"/>
      <c r="T1" s="1"/>
      <c r="U1" s="1"/>
      <c r="V1" s="1"/>
    </row>
    <row r="2" spans="2:23" ht="18.75">
      <c r="C2" s="3"/>
      <c r="D2" s="3"/>
      <c r="E2" s="3"/>
      <c r="F2" s="3"/>
      <c r="G2" s="3"/>
      <c r="H2" s="3"/>
      <c r="I2" s="4"/>
      <c r="J2" s="1"/>
      <c r="K2" s="1"/>
      <c r="L2" s="1"/>
      <c r="M2" s="1"/>
      <c r="N2" s="1"/>
      <c r="O2" s="1"/>
      <c r="P2" s="1"/>
      <c r="Q2" s="1"/>
      <c r="R2" s="1"/>
      <c r="S2" s="1"/>
      <c r="T2" s="1"/>
      <c r="U2" s="1"/>
      <c r="V2" s="1"/>
    </row>
    <row r="3" spans="2:23" ht="18.75">
      <c r="C3" s="6" t="s">
        <v>5</v>
      </c>
      <c r="D3" s="3" t="str">
        <f>IF('Wksh 1 - Market Experience'!C3&lt;&gt;"", 'Wksh 1 - Market Experience'!C3,"")</f>
        <v>Aetna Health Inc.  (a GA corp.)</v>
      </c>
      <c r="F3" s="3"/>
      <c r="G3" s="21"/>
      <c r="J3" s="1"/>
      <c r="K3" s="1"/>
      <c r="N3" s="6" t="s">
        <v>7</v>
      </c>
      <c r="O3" s="74" t="str">
        <f>IF('Wksh 1 - Market Experience'!E4="","",'Wksh 1 - Market Experience'!E4)</f>
        <v>GA</v>
      </c>
      <c r="P3" s="1"/>
    </row>
    <row r="4" spans="2:23" ht="18.75">
      <c r="C4" s="7" t="s">
        <v>6</v>
      </c>
      <c r="D4" s="4">
        <f>IF('Wksh 1 - Market Experience'!C4&lt;&gt;"", 'Wksh 1 - Market Experience'!C4,"")</f>
        <v>82824</v>
      </c>
      <c r="F4" s="3"/>
      <c r="G4" s="68"/>
      <c r="J4" s="1"/>
      <c r="K4" s="1"/>
      <c r="N4" s="6" t="s">
        <v>9</v>
      </c>
      <c r="O4" s="74" t="str">
        <f>IF('Wksh 1 - Market Experience'!E5="","",'Wksh 1 - Market Experience'!E5)</f>
        <v>Small Group</v>
      </c>
      <c r="P4" s="1"/>
    </row>
    <row r="5" spans="2:23" ht="18.75">
      <c r="C5" s="6" t="s">
        <v>14</v>
      </c>
      <c r="D5" s="83" t="e">
        <f>IF('Wksh 1 - Market Experience'!#REF!&lt;&gt;"", 'Wksh 1 - Market Experience'!#REF!,"")</f>
        <v>#REF!</v>
      </c>
      <c r="F5" s="3"/>
      <c r="G5" s="259"/>
      <c r="H5" s="259"/>
      <c r="I5" s="260"/>
      <c r="J5" s="1"/>
      <c r="K5" s="1"/>
      <c r="L5" s="1"/>
      <c r="M5" s="1"/>
      <c r="N5" s="1"/>
      <c r="O5" s="1"/>
      <c r="P5" s="1"/>
      <c r="Q5" s="1"/>
      <c r="R5" s="1"/>
      <c r="S5" s="1"/>
      <c r="T5" s="1"/>
      <c r="U5" s="1"/>
      <c r="V5" s="1"/>
    </row>
    <row r="6" spans="2:23">
      <c r="C6" s="1"/>
      <c r="D6" s="1"/>
      <c r="E6" s="1"/>
      <c r="F6" s="1"/>
      <c r="G6" s="1"/>
      <c r="H6" s="1"/>
      <c r="I6" s="2"/>
      <c r="J6" s="1"/>
      <c r="K6" s="1"/>
      <c r="L6" s="1"/>
      <c r="M6" s="1"/>
      <c r="N6" s="1"/>
      <c r="O6" s="1"/>
      <c r="P6" s="1"/>
      <c r="Q6" s="1"/>
      <c r="R6" s="1"/>
      <c r="S6" s="1"/>
      <c r="T6" s="1"/>
      <c r="U6" s="1"/>
      <c r="V6" s="1"/>
    </row>
    <row r="7" spans="2:23">
      <c r="C7" s="15" t="s">
        <v>15</v>
      </c>
      <c r="D7" s="23"/>
      <c r="E7" s="8"/>
      <c r="F7" s="8"/>
      <c r="G7" s="8"/>
      <c r="H7" s="8"/>
      <c r="I7" s="9"/>
      <c r="J7" s="8"/>
      <c r="K7" s="8"/>
      <c r="L7" s="8"/>
      <c r="M7" s="8"/>
      <c r="N7" s="8"/>
      <c r="O7" s="8"/>
      <c r="P7" s="8"/>
      <c r="Q7" s="8"/>
      <c r="R7" s="8"/>
      <c r="S7" s="8"/>
      <c r="T7" s="8"/>
      <c r="U7" s="8"/>
      <c r="V7" s="8"/>
      <c r="W7" s="10"/>
    </row>
    <row r="8" spans="2:23">
      <c r="C8" s="11"/>
      <c r="D8" s="12"/>
      <c r="E8" s="12"/>
      <c r="F8" s="12"/>
      <c r="G8" s="12"/>
      <c r="H8" s="12"/>
      <c r="I8" s="13"/>
      <c r="J8" s="12"/>
      <c r="K8" s="12"/>
      <c r="L8" s="12"/>
      <c r="M8" s="12"/>
      <c r="N8" s="12"/>
      <c r="O8" s="12"/>
      <c r="P8" s="12"/>
      <c r="Q8" s="12"/>
      <c r="R8" s="12"/>
      <c r="S8" s="12"/>
      <c r="T8" s="12"/>
      <c r="U8" s="12"/>
      <c r="V8" s="12"/>
      <c r="W8" s="14"/>
    </row>
    <row r="9" spans="2:23">
      <c r="B9" s="75" t="s">
        <v>103</v>
      </c>
      <c r="C9" s="19" t="s">
        <v>77</v>
      </c>
      <c r="D9" s="19"/>
      <c r="E9" s="17"/>
      <c r="F9" s="17"/>
      <c r="G9" s="17"/>
      <c r="H9" s="17"/>
      <c r="I9" s="18"/>
      <c r="J9" s="17"/>
      <c r="K9" s="17"/>
      <c r="L9" s="17"/>
      <c r="M9" s="17"/>
      <c r="N9" s="17"/>
      <c r="O9" s="17"/>
      <c r="P9" s="17"/>
      <c r="Q9" s="17"/>
      <c r="R9" s="17"/>
      <c r="S9" s="17"/>
      <c r="T9" s="17"/>
      <c r="U9" s="17"/>
      <c r="V9" s="17"/>
    </row>
    <row r="10" spans="2:23">
      <c r="B10" s="146" t="s">
        <v>155</v>
      </c>
      <c r="C10" s="147" t="s">
        <v>104</v>
      </c>
      <c r="D10" s="261"/>
      <c r="E10" s="177"/>
      <c r="I10" s="70"/>
      <c r="J10" s="70"/>
      <c r="K10" s="70" t="s">
        <v>236</v>
      </c>
      <c r="L10" s="67" t="s">
        <v>27</v>
      </c>
      <c r="M10" s="70" t="s">
        <v>81</v>
      </c>
      <c r="N10" s="70" t="s">
        <v>139</v>
      </c>
      <c r="O10" s="70" t="s">
        <v>145</v>
      </c>
    </row>
    <row r="11" spans="2:23">
      <c r="B11" s="146" t="s">
        <v>156</v>
      </c>
      <c r="C11" s="147" t="s">
        <v>105</v>
      </c>
      <c r="D11" s="262"/>
      <c r="E11" s="177"/>
      <c r="I11" s="70"/>
      <c r="J11" s="70"/>
      <c r="K11" s="70" t="s">
        <v>237</v>
      </c>
      <c r="L11" s="67" t="s">
        <v>28</v>
      </c>
      <c r="M11" s="70" t="s">
        <v>82</v>
      </c>
      <c r="N11" s="70" t="s">
        <v>140</v>
      </c>
      <c r="O11" s="70" t="s">
        <v>146</v>
      </c>
    </row>
    <row r="12" spans="2:23">
      <c r="B12" s="146" t="s">
        <v>157</v>
      </c>
      <c r="C12" s="147" t="s">
        <v>10</v>
      </c>
      <c r="D12" s="262"/>
      <c r="E12" s="179"/>
      <c r="I12" s="70"/>
      <c r="J12" s="70"/>
      <c r="K12" s="70" t="s">
        <v>238</v>
      </c>
      <c r="L12" s="67" t="s">
        <v>29</v>
      </c>
      <c r="M12" s="70" t="s">
        <v>83</v>
      </c>
      <c r="N12" s="70" t="s">
        <v>141</v>
      </c>
    </row>
    <row r="13" spans="2:23">
      <c r="B13" s="146" t="s">
        <v>158</v>
      </c>
      <c r="C13" s="147" t="s">
        <v>106</v>
      </c>
      <c r="D13" s="262"/>
      <c r="E13" s="180"/>
      <c r="I13" s="70"/>
      <c r="K13" s="70" t="s">
        <v>239</v>
      </c>
      <c r="L13" s="67" t="s">
        <v>30</v>
      </c>
      <c r="N13" s="70" t="s">
        <v>142</v>
      </c>
    </row>
    <row r="14" spans="2:23">
      <c r="B14" s="146" t="s">
        <v>159</v>
      </c>
      <c r="C14" s="147" t="s">
        <v>107</v>
      </c>
      <c r="D14" s="262"/>
      <c r="E14" s="181"/>
      <c r="K14" s="70" t="s">
        <v>240</v>
      </c>
      <c r="L14" s="67" t="s">
        <v>31</v>
      </c>
      <c r="N14" s="70" t="s">
        <v>143</v>
      </c>
    </row>
    <row r="15" spans="2:23">
      <c r="B15" s="146" t="s">
        <v>160</v>
      </c>
      <c r="C15" s="147" t="s">
        <v>26</v>
      </c>
      <c r="D15" s="262"/>
      <c r="E15" s="182"/>
      <c r="K15" s="70" t="s">
        <v>241</v>
      </c>
      <c r="L15" s="67" t="s">
        <v>32</v>
      </c>
      <c r="N15" s="70" t="s">
        <v>144</v>
      </c>
    </row>
    <row r="16" spans="2:23">
      <c r="B16" s="146" t="s">
        <v>161</v>
      </c>
      <c r="C16" s="147" t="s">
        <v>80</v>
      </c>
      <c r="D16" s="262"/>
      <c r="E16" s="179"/>
      <c r="K16" t="s">
        <v>242</v>
      </c>
      <c r="L16" s="67" t="s">
        <v>33</v>
      </c>
    </row>
    <row r="17" spans="1:12">
      <c r="B17" s="146" t="s">
        <v>154</v>
      </c>
      <c r="C17" s="147" t="s">
        <v>108</v>
      </c>
      <c r="D17" s="262"/>
      <c r="E17" s="179"/>
      <c r="K17" t="s">
        <v>243</v>
      </c>
      <c r="L17" s="67" t="s">
        <v>35</v>
      </c>
    </row>
    <row r="18" spans="1:12">
      <c r="B18" s="146" t="s">
        <v>153</v>
      </c>
      <c r="C18" s="147" t="s">
        <v>16</v>
      </c>
      <c r="D18" s="262"/>
      <c r="E18" s="183"/>
      <c r="K18" t="s">
        <v>244</v>
      </c>
      <c r="L18" s="67" t="s">
        <v>34</v>
      </c>
    </row>
    <row r="19" spans="1:12">
      <c r="B19" s="146" t="s">
        <v>149</v>
      </c>
      <c r="C19" s="147" t="s">
        <v>25</v>
      </c>
      <c r="D19" s="262"/>
      <c r="E19" s="184"/>
      <c r="K19" t="s">
        <v>245</v>
      </c>
      <c r="L19" s="67" t="s">
        <v>36</v>
      </c>
    </row>
    <row r="20" spans="1:12">
      <c r="B20" s="146" t="s">
        <v>150</v>
      </c>
      <c r="C20" s="147" t="s">
        <v>109</v>
      </c>
      <c r="D20" s="262"/>
      <c r="E20" s="185"/>
      <c r="K20" t="s">
        <v>246</v>
      </c>
      <c r="L20" s="67" t="s">
        <v>37</v>
      </c>
    </row>
    <row r="21" spans="1:12">
      <c r="B21" s="146" t="s">
        <v>151</v>
      </c>
      <c r="C21" s="147" t="s">
        <v>84</v>
      </c>
      <c r="D21" s="262"/>
      <c r="E21" s="178"/>
      <c r="K21" t="s">
        <v>247</v>
      </c>
      <c r="L21" s="67" t="s">
        <v>38</v>
      </c>
    </row>
    <row r="22" spans="1:12">
      <c r="B22" s="148" t="s">
        <v>152</v>
      </c>
      <c r="C22" s="138" t="s">
        <v>212</v>
      </c>
      <c r="D22" s="263"/>
      <c r="E22" s="178"/>
      <c r="K22" t="s">
        <v>248</v>
      </c>
      <c r="L22" s="67" t="s">
        <v>39</v>
      </c>
    </row>
    <row r="23" spans="1:12">
      <c r="E23" s="73"/>
      <c r="K23" t="s">
        <v>249</v>
      </c>
      <c r="L23" s="67" t="s">
        <v>40</v>
      </c>
    </row>
    <row r="24" spans="1:12" ht="18.75">
      <c r="A24" s="6"/>
      <c r="B24" s="75"/>
      <c r="C24" s="78" t="s">
        <v>110</v>
      </c>
      <c r="D24" s="1"/>
      <c r="E24" s="17"/>
      <c r="K24" t="s">
        <v>250</v>
      </c>
      <c r="L24" s="67" t="s">
        <v>41</v>
      </c>
    </row>
    <row r="25" spans="1:12" ht="18.75">
      <c r="A25" s="6"/>
      <c r="B25" s="146" t="s">
        <v>162</v>
      </c>
      <c r="C25" s="147" t="s">
        <v>106</v>
      </c>
      <c r="D25" s="186" t="s">
        <v>2</v>
      </c>
      <c r="E25" s="90" t="str">
        <f>IF(E13&lt;&gt;"",E13,"")</f>
        <v/>
      </c>
      <c r="K25" t="s">
        <v>251</v>
      </c>
      <c r="L25" s="67" t="s">
        <v>42</v>
      </c>
    </row>
    <row r="26" spans="1:12" ht="18.75">
      <c r="A26" s="6"/>
      <c r="B26" s="146" t="s">
        <v>163</v>
      </c>
      <c r="C26" s="147" t="s">
        <v>86</v>
      </c>
      <c r="D26" s="159">
        <f>SUM(E26:XFD26)</f>
        <v>0</v>
      </c>
      <c r="E26" s="187"/>
      <c r="L26" s="67" t="s">
        <v>43</v>
      </c>
    </row>
    <row r="27" spans="1:12" ht="18.75">
      <c r="A27" s="6"/>
      <c r="B27" s="146" t="s">
        <v>164</v>
      </c>
      <c r="C27" s="152" t="s">
        <v>87</v>
      </c>
      <c r="D27" s="159">
        <f>SUM(E27:XFD27)</f>
        <v>0</v>
      </c>
      <c r="E27" s="187"/>
      <c r="L27" s="67" t="s">
        <v>44</v>
      </c>
    </row>
    <row r="28" spans="1:12" ht="18.75">
      <c r="A28" s="6"/>
      <c r="B28" s="146" t="s">
        <v>165</v>
      </c>
      <c r="C28" s="152" t="s">
        <v>111</v>
      </c>
      <c r="D28" s="160">
        <f>SUM(E28:XFD28)</f>
        <v>0</v>
      </c>
      <c r="E28" s="187"/>
      <c r="L28" s="67" t="s">
        <v>45</v>
      </c>
    </row>
    <row r="29" spans="1:12" ht="18.75">
      <c r="A29" s="6"/>
      <c r="B29" s="146" t="s">
        <v>166</v>
      </c>
      <c r="C29" s="152" t="s">
        <v>112</v>
      </c>
      <c r="D29" s="160">
        <f>SUM(E29:XFD29)</f>
        <v>0</v>
      </c>
      <c r="E29" s="187"/>
      <c r="L29" s="67" t="s">
        <v>46</v>
      </c>
    </row>
    <row r="30" spans="1:12" ht="18.75">
      <c r="A30" s="6"/>
      <c r="B30" s="146" t="s">
        <v>167</v>
      </c>
      <c r="C30" s="152" t="s">
        <v>113</v>
      </c>
      <c r="D30" s="160">
        <f>D26-D27-D28-D29</f>
        <v>0</v>
      </c>
      <c r="E30" s="217">
        <f>E26-E27-E28-E29</f>
        <v>0</v>
      </c>
      <c r="L30" s="67" t="s">
        <v>47</v>
      </c>
    </row>
    <row r="31" spans="1:12" ht="18.75">
      <c r="A31" s="6"/>
      <c r="B31" s="146" t="s">
        <v>168</v>
      </c>
      <c r="C31" s="152" t="s">
        <v>114</v>
      </c>
      <c r="D31" s="160">
        <f>SUM(E31:XFD31)</f>
        <v>0</v>
      </c>
      <c r="E31" s="187"/>
      <c r="L31" s="67" t="s">
        <v>48</v>
      </c>
    </row>
    <row r="32" spans="1:12" ht="18.75">
      <c r="A32" s="6"/>
      <c r="B32" s="146" t="s">
        <v>169</v>
      </c>
      <c r="C32" s="152" t="s">
        <v>115</v>
      </c>
      <c r="D32" s="160">
        <f>SUM(E32:XFD32)</f>
        <v>0</v>
      </c>
      <c r="E32" s="187"/>
      <c r="L32" s="67" t="s">
        <v>49</v>
      </c>
    </row>
    <row r="33" spans="1:12" ht="18.75">
      <c r="A33" s="6"/>
      <c r="B33" s="146" t="s">
        <v>170</v>
      </c>
      <c r="C33" s="152" t="s">
        <v>22</v>
      </c>
      <c r="D33" s="161">
        <f>SUM(E33:XFD33)</f>
        <v>0</v>
      </c>
      <c r="E33" s="218"/>
      <c r="L33" s="67" t="s">
        <v>50</v>
      </c>
    </row>
    <row r="34" spans="1:12" ht="18.75">
      <c r="A34" s="6"/>
      <c r="B34" s="146" t="s">
        <v>171</v>
      </c>
      <c r="C34" s="152" t="s">
        <v>116</v>
      </c>
      <c r="D34" s="161">
        <f>SUM(E34:XFD34)</f>
        <v>0</v>
      </c>
      <c r="E34" s="218"/>
      <c r="L34" s="67" t="s">
        <v>51</v>
      </c>
    </row>
    <row r="35" spans="1:12" ht="18.75">
      <c r="A35" s="6"/>
      <c r="B35" s="146" t="s">
        <v>172</v>
      </c>
      <c r="C35" s="152" t="s">
        <v>117</v>
      </c>
      <c r="D35" s="162" t="e">
        <f>SUMPRODUCT(E35:XFD35,E34:XFD34)/D34</f>
        <v>#DIV/0!</v>
      </c>
      <c r="E35" s="188"/>
      <c r="L35" s="67" t="s">
        <v>52</v>
      </c>
    </row>
    <row r="36" spans="1:12" ht="18.75">
      <c r="A36" s="6"/>
      <c r="B36" s="148" t="s">
        <v>173</v>
      </c>
      <c r="C36" s="170" t="s">
        <v>118</v>
      </c>
      <c r="D36" s="88" t="e">
        <f>D30/(D31+D32)</f>
        <v>#DIV/0!</v>
      </c>
      <c r="E36" s="88" t="e">
        <f>E30/(E31+E32)</f>
        <v>#DIV/0!</v>
      </c>
      <c r="L36" s="67" t="s">
        <v>53</v>
      </c>
    </row>
    <row r="37" spans="1:12" ht="18.75">
      <c r="A37" s="6"/>
      <c r="B37" s="75"/>
      <c r="C37" s="78" t="s">
        <v>120</v>
      </c>
      <c r="D37" s="6"/>
      <c r="L37" s="67" t="s">
        <v>54</v>
      </c>
    </row>
    <row r="38" spans="1:12" ht="18.75">
      <c r="A38" s="6"/>
      <c r="B38" s="146" t="s">
        <v>174</v>
      </c>
      <c r="C38" s="152" t="s">
        <v>86</v>
      </c>
      <c r="D38" s="86" t="e">
        <f>D26/D33</f>
        <v>#DIV/0!</v>
      </c>
      <c r="E38" s="86" t="e">
        <f>E26/E33</f>
        <v>#DIV/0!</v>
      </c>
      <c r="L38" s="67" t="s">
        <v>55</v>
      </c>
    </row>
    <row r="39" spans="1:12" ht="18.75">
      <c r="A39" s="6"/>
      <c r="B39" s="146" t="s">
        <v>175</v>
      </c>
      <c r="C39" s="152" t="s">
        <v>87</v>
      </c>
      <c r="D39" s="86" t="e">
        <f>D27/D33</f>
        <v>#DIV/0!</v>
      </c>
      <c r="E39" s="86" t="e">
        <f>E27/E33</f>
        <v>#DIV/0!</v>
      </c>
      <c r="L39" s="67" t="s">
        <v>56</v>
      </c>
    </row>
    <row r="40" spans="1:12" ht="18.75">
      <c r="A40" s="6"/>
      <c r="B40" s="146" t="s">
        <v>176</v>
      </c>
      <c r="C40" s="152" t="s">
        <v>111</v>
      </c>
      <c r="D40" s="86" t="e">
        <f>D28/D33</f>
        <v>#DIV/0!</v>
      </c>
      <c r="E40" s="86" t="e">
        <f>E28/E33</f>
        <v>#DIV/0!</v>
      </c>
      <c r="L40" s="67" t="s">
        <v>57</v>
      </c>
    </row>
    <row r="41" spans="1:12" ht="18.75">
      <c r="A41" s="6"/>
      <c r="B41" s="146" t="s">
        <v>177</v>
      </c>
      <c r="C41" s="152" t="s">
        <v>112</v>
      </c>
      <c r="D41" s="86" t="e">
        <f>D29/D33</f>
        <v>#DIV/0!</v>
      </c>
      <c r="E41" s="86" t="e">
        <f>E29/E33</f>
        <v>#DIV/0!</v>
      </c>
      <c r="L41" s="67" t="s">
        <v>58</v>
      </c>
    </row>
    <row r="42" spans="1:12" ht="18.75">
      <c r="A42" s="6"/>
      <c r="B42" s="146" t="s">
        <v>178</v>
      </c>
      <c r="C42" s="152" t="s">
        <v>113</v>
      </c>
      <c r="D42" s="86" t="e">
        <f>D30/D33</f>
        <v>#DIV/0!</v>
      </c>
      <c r="E42" s="86" t="e">
        <f>E30/E33</f>
        <v>#DIV/0!</v>
      </c>
      <c r="L42" s="67" t="s">
        <v>59</v>
      </c>
    </row>
    <row r="43" spans="1:12" ht="18.75">
      <c r="A43" s="6"/>
      <c r="B43" s="146" t="s">
        <v>179</v>
      </c>
      <c r="C43" s="152" t="s">
        <v>114</v>
      </c>
      <c r="D43" s="86" t="e">
        <f>D31/D33</f>
        <v>#DIV/0!</v>
      </c>
      <c r="E43" s="86" t="e">
        <f>E31/E33</f>
        <v>#DIV/0!</v>
      </c>
      <c r="G43" s="5"/>
      <c r="L43" s="67" t="s">
        <v>60</v>
      </c>
    </row>
    <row r="44" spans="1:12" ht="18.75">
      <c r="A44" s="6"/>
      <c r="B44" s="148" t="s">
        <v>180</v>
      </c>
      <c r="C44" s="170"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6" t="s">
        <v>181</v>
      </c>
      <c r="C47" s="189" t="s">
        <v>106</v>
      </c>
      <c r="D47" s="264"/>
      <c r="E47" s="191" t="str">
        <f>IF(E13&lt;&gt;"",E13,"")</f>
        <v/>
      </c>
      <c r="L47" s="67" t="s">
        <v>64</v>
      </c>
    </row>
    <row r="48" spans="1:12" ht="18.75">
      <c r="A48" s="6"/>
      <c r="B48" s="146" t="s">
        <v>182</v>
      </c>
      <c r="C48" s="189" t="s">
        <v>122</v>
      </c>
      <c r="D48" s="265"/>
      <c r="E48" s="192">
        <f>'Wksh 1 - Market Experience'!F46</f>
        <v>1240.21</v>
      </c>
      <c r="L48" s="67" t="s">
        <v>65</v>
      </c>
    </row>
    <row r="49" spans="1:12" ht="18.75">
      <c r="A49" s="6"/>
      <c r="B49" s="146" t="s">
        <v>183</v>
      </c>
      <c r="C49" s="189" t="s">
        <v>123</v>
      </c>
      <c r="D49" s="265"/>
      <c r="E49" s="193"/>
      <c r="L49" s="67" t="s">
        <v>66</v>
      </c>
    </row>
    <row r="50" spans="1:12" ht="18.75">
      <c r="A50" s="6"/>
      <c r="B50" s="146" t="s">
        <v>184</v>
      </c>
      <c r="C50" s="189" t="s">
        <v>124</v>
      </c>
      <c r="D50" s="265"/>
      <c r="E50" s="193"/>
      <c r="L50" s="67" t="s">
        <v>67</v>
      </c>
    </row>
    <row r="51" spans="1:12" ht="18.75">
      <c r="A51" s="6"/>
      <c r="B51" s="148" t="s">
        <v>185</v>
      </c>
      <c r="C51" s="190" t="s">
        <v>125</v>
      </c>
      <c r="D51" s="266"/>
      <c r="E51" s="193"/>
      <c r="L51" s="67" t="s">
        <v>68</v>
      </c>
    </row>
    <row r="52" spans="1:12" ht="18.75">
      <c r="A52" s="6"/>
      <c r="C52" s="82" t="s">
        <v>133</v>
      </c>
      <c r="D52" s="6"/>
      <c r="L52" s="67" t="s">
        <v>69</v>
      </c>
    </row>
    <row r="53" spans="1:12" ht="18.75">
      <c r="A53" s="6"/>
      <c r="B53" s="146" t="s">
        <v>186</v>
      </c>
      <c r="C53" s="172" t="s">
        <v>134</v>
      </c>
      <c r="D53" s="264"/>
      <c r="E53" s="196"/>
      <c r="F53" s="5"/>
      <c r="L53" s="67" t="s">
        <v>70</v>
      </c>
    </row>
    <row r="54" spans="1:12" ht="18.75">
      <c r="A54" s="6"/>
      <c r="B54" s="146" t="s">
        <v>187</v>
      </c>
      <c r="C54" s="172" t="s">
        <v>135</v>
      </c>
      <c r="D54" s="265"/>
      <c r="E54" s="196"/>
      <c r="F54" s="5"/>
      <c r="L54" s="67" t="s">
        <v>71</v>
      </c>
    </row>
    <row r="55" spans="1:12" ht="18.75">
      <c r="A55" s="6"/>
      <c r="B55" s="146" t="s">
        <v>188</v>
      </c>
      <c r="C55" s="172" t="s">
        <v>12</v>
      </c>
      <c r="D55" s="265"/>
      <c r="E55" s="196"/>
      <c r="F55" s="5"/>
      <c r="L55" s="67" t="s">
        <v>72</v>
      </c>
    </row>
    <row r="56" spans="1:12" ht="18.75">
      <c r="A56" s="6"/>
      <c r="B56" s="146" t="s">
        <v>189</v>
      </c>
      <c r="C56" s="189" t="s">
        <v>126</v>
      </c>
      <c r="D56" s="265"/>
      <c r="E56" s="193"/>
      <c r="F56" s="5"/>
      <c r="L56" s="67" t="s">
        <v>73</v>
      </c>
    </row>
    <row r="57" spans="1:12" ht="18.75">
      <c r="A57" s="6"/>
      <c r="B57" s="148" t="s">
        <v>190</v>
      </c>
      <c r="C57" s="194" t="s">
        <v>79</v>
      </c>
      <c r="D57" s="266"/>
      <c r="E57" s="195">
        <f>($E$48*PRODUCT(E49:E51)*E56)/(1-SUM(E53:E55))</f>
        <v>0</v>
      </c>
      <c r="F57" s="5"/>
      <c r="L57" s="67" t="s">
        <v>74</v>
      </c>
    </row>
    <row r="58" spans="1:12" ht="17.25" customHeight="1">
      <c r="A58" s="6"/>
      <c r="C58" s="6"/>
      <c r="D58" s="6"/>
      <c r="F58" s="5"/>
      <c r="L58" s="67" t="s">
        <v>75</v>
      </c>
    </row>
    <row r="59" spans="1:12" ht="18.75">
      <c r="A59" s="6"/>
      <c r="B59" s="146" t="s">
        <v>191</v>
      </c>
      <c r="C59" s="189" t="s">
        <v>127</v>
      </c>
      <c r="D59" s="209"/>
      <c r="E59" s="206" t="str">
        <f>IF(D59&lt;&gt;"", D59, "")</f>
        <v/>
      </c>
      <c r="F59" s="5"/>
      <c r="L59" s="67" t="s">
        <v>8</v>
      </c>
    </row>
    <row r="60" spans="1:12" ht="18.75">
      <c r="A60" s="6"/>
      <c r="B60" s="146" t="s">
        <v>192</v>
      </c>
      <c r="C60" s="189" t="s">
        <v>128</v>
      </c>
      <c r="D60" s="209"/>
      <c r="E60" s="206" t="str">
        <f>IF(D60&lt;&gt;"", D60, "")</f>
        <v/>
      </c>
      <c r="F60" s="5"/>
      <c r="L60" s="67" t="s">
        <v>76</v>
      </c>
    </row>
    <row r="61" spans="1:12" ht="18.75">
      <c r="A61" s="6"/>
      <c r="B61" s="146" t="s">
        <v>193</v>
      </c>
      <c r="C61" s="189" t="s">
        <v>129</v>
      </c>
      <c r="D61" s="209"/>
      <c r="E61" s="206" t="str">
        <f>IF(D61&lt;&gt;"", D61, "")</f>
        <v/>
      </c>
      <c r="F61" s="5"/>
      <c r="L61" s="31"/>
    </row>
    <row r="62" spans="1:12">
      <c r="B62" s="148" t="s">
        <v>194</v>
      </c>
      <c r="C62" s="194" t="s">
        <v>136</v>
      </c>
      <c r="D62" s="197"/>
      <c r="E62" s="195">
        <f>E57*(PRODUCT($E$59:$E$61))</f>
        <v>0</v>
      </c>
      <c r="F62" s="5"/>
      <c r="L62" s="31"/>
    </row>
    <row r="63" spans="1:12" ht="18.75">
      <c r="B63" s="75"/>
      <c r="C63" s="6"/>
      <c r="D63" s="6"/>
      <c r="F63" s="5"/>
      <c r="L63" s="31"/>
    </row>
    <row r="64" spans="1:12" ht="18.75">
      <c r="C64" s="30" t="s">
        <v>130</v>
      </c>
      <c r="D64" s="6"/>
      <c r="F64" s="5"/>
      <c r="L64" s="31"/>
    </row>
    <row r="65" spans="2:12">
      <c r="B65" s="146" t="s">
        <v>195</v>
      </c>
      <c r="C65" s="152" t="s">
        <v>106</v>
      </c>
      <c r="D65" s="174" t="s">
        <v>2</v>
      </c>
      <c r="E65" s="90" t="str">
        <f>IF(E13&lt;&gt;"",E13,"")</f>
        <v/>
      </c>
      <c r="F65" s="5"/>
      <c r="L65" s="31"/>
    </row>
    <row r="66" spans="2:12">
      <c r="B66" s="146" t="s">
        <v>196</v>
      </c>
      <c r="C66" s="152" t="s">
        <v>86</v>
      </c>
      <c r="D66" s="198">
        <f>SUM(E66:XFD66)</f>
        <v>0</v>
      </c>
      <c r="E66" s="187"/>
      <c r="F66" s="5"/>
    </row>
    <row r="67" spans="2:12">
      <c r="B67" s="146" t="s">
        <v>197</v>
      </c>
      <c r="C67" s="152" t="s">
        <v>87</v>
      </c>
      <c r="D67" s="198">
        <f>SUM(E67:XFD67)</f>
        <v>0</v>
      </c>
      <c r="E67" s="187"/>
      <c r="F67" s="5"/>
    </row>
    <row r="68" spans="2:12">
      <c r="B68" s="146" t="s">
        <v>198</v>
      </c>
      <c r="C68" s="152" t="s">
        <v>111</v>
      </c>
      <c r="D68" s="198">
        <f>SUM(E68:XFD68)</f>
        <v>0</v>
      </c>
      <c r="E68" s="187"/>
      <c r="F68" s="5"/>
    </row>
    <row r="69" spans="2:12">
      <c r="B69" s="146" t="s">
        <v>199</v>
      </c>
      <c r="C69" s="152" t="s">
        <v>112</v>
      </c>
      <c r="D69" s="198">
        <f>SUM(E69:XFD69)</f>
        <v>0</v>
      </c>
      <c r="E69" s="187"/>
      <c r="F69" s="5"/>
    </row>
    <row r="70" spans="2:12">
      <c r="B70" s="146" t="s">
        <v>200</v>
      </c>
      <c r="C70" s="152" t="s">
        <v>113</v>
      </c>
      <c r="D70" s="198">
        <f>D66-D67-D68-D69</f>
        <v>0</v>
      </c>
      <c r="E70" s="159">
        <f>E66-E67-E68-E69</f>
        <v>0</v>
      </c>
      <c r="F70" s="5"/>
    </row>
    <row r="71" spans="2:12">
      <c r="B71" s="146" t="s">
        <v>201</v>
      </c>
      <c r="C71" s="152" t="s">
        <v>114</v>
      </c>
      <c r="D71" s="198">
        <f>SUM(E71:XFD71)</f>
        <v>0</v>
      </c>
      <c r="E71" s="187"/>
      <c r="F71" s="5"/>
    </row>
    <row r="72" spans="2:12">
      <c r="B72" s="146" t="s">
        <v>202</v>
      </c>
      <c r="C72" s="152" t="s">
        <v>115</v>
      </c>
      <c r="D72" s="198">
        <f>SUM(E72:XFD72)</f>
        <v>0</v>
      </c>
      <c r="E72" s="187"/>
      <c r="F72" s="5"/>
    </row>
    <row r="73" spans="2:12">
      <c r="B73" s="146" t="s">
        <v>203</v>
      </c>
      <c r="C73" s="152" t="s">
        <v>4</v>
      </c>
      <c r="D73" s="199">
        <f>SUM(E73:XFD73)</f>
        <v>0</v>
      </c>
      <c r="E73" s="218"/>
      <c r="F73" s="5"/>
    </row>
    <row r="74" spans="2:12">
      <c r="B74" s="148" t="s">
        <v>204</v>
      </c>
      <c r="C74" s="170" t="s">
        <v>118</v>
      </c>
      <c r="D74" s="175" t="e">
        <f>D70/(D71+D72)</f>
        <v>#DIV/0!</v>
      </c>
      <c r="E74" s="89" t="e">
        <f>E70/(E71+E72)</f>
        <v>#DIV/0!</v>
      </c>
      <c r="F74" s="5"/>
    </row>
    <row r="75" spans="2:12" ht="18.75">
      <c r="C75" s="78" t="s">
        <v>120</v>
      </c>
      <c r="D75" s="6"/>
      <c r="F75" s="5"/>
    </row>
    <row r="76" spans="2:12">
      <c r="B76" s="146" t="s">
        <v>205</v>
      </c>
      <c r="C76" s="152" t="s">
        <v>86</v>
      </c>
      <c r="D76" s="107" t="e">
        <f>D66/D73</f>
        <v>#DIV/0!</v>
      </c>
      <c r="E76" s="107" t="e">
        <f>E66/E73</f>
        <v>#DIV/0!</v>
      </c>
      <c r="F76" s="5"/>
    </row>
    <row r="77" spans="2:12">
      <c r="B77" s="146" t="s">
        <v>206</v>
      </c>
      <c r="C77" s="152" t="s">
        <v>87</v>
      </c>
      <c r="D77" s="86" t="e">
        <f>D67/D73</f>
        <v>#DIV/0!</v>
      </c>
      <c r="E77" s="86" t="e">
        <f>E67/E73</f>
        <v>#DIV/0!</v>
      </c>
      <c r="F77" s="5"/>
    </row>
    <row r="78" spans="2:12">
      <c r="B78" s="146" t="s">
        <v>207</v>
      </c>
      <c r="C78" s="152" t="s">
        <v>111</v>
      </c>
      <c r="D78" s="107" t="e">
        <f>D68/D73</f>
        <v>#DIV/0!</v>
      </c>
      <c r="E78" s="107" t="e">
        <f>E68/E73</f>
        <v>#DIV/0!</v>
      </c>
      <c r="F78" s="5"/>
    </row>
    <row r="79" spans="2:12">
      <c r="B79" s="146" t="s">
        <v>208</v>
      </c>
      <c r="C79" s="152" t="s">
        <v>112</v>
      </c>
      <c r="D79" s="107" t="e">
        <f>D69/D73</f>
        <v>#DIV/0!</v>
      </c>
      <c r="E79" s="107" t="e">
        <f>E69/E73</f>
        <v>#DIV/0!</v>
      </c>
      <c r="F79" s="5"/>
    </row>
    <row r="80" spans="2:12">
      <c r="B80" s="146" t="s">
        <v>209</v>
      </c>
      <c r="C80" s="147" t="s">
        <v>113</v>
      </c>
      <c r="D80" s="107" t="e">
        <f>D70/D73</f>
        <v>#DIV/0!</v>
      </c>
      <c r="E80" s="107" t="e">
        <f>E70/E73</f>
        <v>#DIV/0!</v>
      </c>
      <c r="F80" s="5"/>
    </row>
    <row r="81" spans="2:6">
      <c r="B81" s="146" t="s">
        <v>210</v>
      </c>
      <c r="C81" s="147" t="s">
        <v>114</v>
      </c>
      <c r="D81" s="107" t="e">
        <f>D71/D73</f>
        <v>#DIV/0!</v>
      </c>
      <c r="E81" s="107" t="e">
        <f>E71/E73</f>
        <v>#DIV/0!</v>
      </c>
      <c r="F81" s="5"/>
    </row>
    <row r="82" spans="2:6">
      <c r="B82" s="148" t="s">
        <v>211</v>
      </c>
      <c r="C82" s="138" t="s">
        <v>115</v>
      </c>
      <c r="D82" s="107" t="e">
        <f>D72/D73</f>
        <v>#DIV/0!</v>
      </c>
      <c r="E82" s="107" t="e">
        <f>E72/E73</f>
        <v>#DIV/0!</v>
      </c>
      <c r="F82" s="5"/>
    </row>
    <row r="83" spans="2:6">
      <c r="F83" s="5"/>
    </row>
    <row r="84" spans="2:6">
      <c r="F84" s="5"/>
    </row>
    <row r="85" spans="2:6" ht="14.4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4c/Otbz1KmVxpOX6MekhG4LKqvT3Kgt3kxKfU34c0a/z7I449u53Wvg0Gi3HrCefYwCH1gJlA+ikZDveYOgRLQ==" saltValue="vcmz5m7Q/dUNhjDq630KtQ==" spinCount="100000" sheet="1" object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5" ma:contentTypeDescription="Create a new document." ma:contentTypeScope="" ma:versionID="51ea80c5e305430dd1fa6bb394d68430">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c44eddd528bcfed5796ba6f9120a30ad"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843cd8e-b180-420a-af90-bd892b9b7a1b">
      <Terms xmlns="http://schemas.microsoft.com/office/infopath/2007/PartnerControls"/>
    </lcf76f155ced4ddcb4097134ff3c332f>
    <TaxCatchAll xmlns="be616c46-e0d1-41bc-b79c-3bf75d8f213d"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2.xml><?xml version="1.0" encoding="utf-8"?>
<ds:datastoreItem xmlns:ds="http://schemas.openxmlformats.org/officeDocument/2006/customXml" ds:itemID="{5FE4752E-3F89-4BD6-94D0-82C1AB8CB451}"/>
</file>

<file path=customXml/itemProps3.xml><?xml version="1.0" encoding="utf-8"?>
<ds:datastoreItem xmlns:ds="http://schemas.openxmlformats.org/officeDocument/2006/customXml" ds:itemID="{8BA26A6A-6337-4ED7-A649-960EFD22D054}">
  <ds:schemaRefs>
    <ds:schemaRef ds:uri="23122ce3-e390-4335-9b15-d6b7a376e4c4"/>
    <ds:schemaRef ds:uri="http://schemas.microsoft.com/office/2006/documentManagement/types"/>
    <ds:schemaRef ds:uri="http://schemas.microsoft.com/office/2006/metadata/properties"/>
    <ds:schemaRef ds:uri="280e8d07-9461-4c4e-895a-3eca43e3694b"/>
    <ds:schemaRef ds:uri="http://purl.org/dc/elements/1.1/"/>
    <ds:schemaRef ds:uri="http://schemas.microsoft.com/sharepoint/v3"/>
    <ds:schemaRef ds:uri="http://schemas.openxmlformats.org/package/2006/metadata/core-properties"/>
    <ds:schemaRef ds:uri="http://purl.org/dc/terms/"/>
    <ds:schemaRef ds:uri="http://schemas.microsoft.com/office/infopath/2007/PartnerControls"/>
    <ds:schemaRef ds:uri="9c6a2b74-e026-42b8-a021-582d892bcfcc"/>
    <ds:schemaRef ds:uri="http://www.w3.org/XML/1998/namespace"/>
    <ds:schemaRef ds:uri="http://purl.org/dc/dcmitype/"/>
    <ds:schemaRef ds:uri="a1027b0e-b76a-4f87-8a3e-5c0955473ea1"/>
    <ds:schemaRef ds:uri="a7eddb22-ec30-47fe-81c9-a147b8ade4a5"/>
  </ds:schemaRefs>
</ds:datastoreItem>
</file>

<file path=customXml/itemProps4.xml><?xml version="1.0" encoding="utf-8"?>
<ds:datastoreItem xmlns:ds="http://schemas.openxmlformats.org/officeDocument/2006/customXml" ds:itemID="{B2B381E5-0FF6-4BCA-B6C5-7880D8936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Laventure, Dieny</cp:lastModifiedBy>
  <dcterms:created xsi:type="dcterms:W3CDTF">2013-12-09T20:12:41Z</dcterms:created>
  <dcterms:modified xsi:type="dcterms:W3CDTF">2023-06-22T17:34:35Z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MediaServiceImageTags">
    <vt:lpwstr/>
  </property>
  <property fmtid="{D5CDD505-2E9C-101B-9397-08002B2CF9AE}" pid="6" name="SV_QUERY_LIST_4F35BF76-6C0D-4D9B-82B2-816C12CF3733">
    <vt:lpwstr>empty_477D106A-C0D6-4607-AEBD-E2C9D60EA279</vt:lpwstr>
  </property>
  <property fmtid="{D5CDD505-2E9C-101B-9397-08002B2CF9AE}" pid="7" name="SV_HIDDEN_GRID_QUERY_LIST_4F35BF76-6C0D-4D9B-82B2-816C12CF3733">
    <vt:lpwstr>empty_477D106A-C0D6-4607-AEBD-E2C9D60EA279</vt:lpwstr>
  </property>
</Properties>
</file>